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c8116e619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e1214205973403b"/>
    <x:sheet xmlns:r="http://schemas.openxmlformats.org/officeDocument/2006/relationships" name="Seven_Steps" sheetId="2" r:id="Rd76a3899cc32452b"/>
    <x:sheet xmlns:r="http://schemas.openxmlformats.org/officeDocument/2006/relationships" name="Asset_Value" sheetId="3" r:id="R50d34a41339f4a57"/>
    <x:sheet xmlns:r="http://schemas.openxmlformats.org/officeDocument/2006/relationships" name="Value_Crosswalk" sheetId="4" r:id="R63a84ac44f2a4cbe"/>
    <x:sheet xmlns:r="http://schemas.openxmlformats.org/officeDocument/2006/relationships" name="Failure_Units" sheetId="5" r:id="R540e8d416432437c"/>
    <x:sheet xmlns:r="http://schemas.openxmlformats.org/officeDocument/2006/relationships" name="Candidate_Audit" sheetId="6" r:id="Rd51709e40211400d"/>
    <x:sheet xmlns:r="http://schemas.openxmlformats.org/officeDocument/2006/relationships" name="Site_Adapter" sheetId="7" r:id="R895349322e734e95"/>
    <x:sheet xmlns:r="http://schemas.openxmlformats.org/officeDocument/2006/relationships" name="Legacy_Audit" sheetId="8" r:id="R227a689844134022"/>
    <x:sheet xmlns:r="http://schemas.openxmlformats.org/officeDocument/2006/relationships" name="Claim_Register" sheetId="9" r:id="Rbb5f362c94944edc"/>
    <x:sheet xmlns:r="http://schemas.openxmlformats.org/officeDocument/2006/relationships" name="Source_Register" sheetId="10" r:id="R85237f5a25374633"/>
    <x:sheet xmlns:r="http://schemas.openxmlformats.org/officeDocument/2006/relationships" name="Parameter_Tiers" sheetId="11" r:id="R70ea21f5dd57421c"/>
    <x:sheet xmlns:r="http://schemas.openxmlformats.org/officeDocument/2006/relationships" name="QA_Checks" sheetId="12" r:id="R2b66808cb7d4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%"/>
    <x:numFmt numFmtId="202" formatCode="#,##0.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6579"/>
      <x:name val="Carlito"/>
    </x:font>
    <x:font>
      <x:b/>
      <x:sz val="11"/>
      <x:color rgb="FFFFFFFF"/>
      <x:name val="Carlito"/>
    </x:font>
    <x:font>
      <x:sz val="10"/>
      <x:color rgb="FF26364A"/>
      <x:name val="Carlito"/>
    </x:font>
    <x:font>
      <x:b/>
      <x:sz val="11"/>
      <x:color rgb="FF26364A"/>
      <x:name val="Carlito"/>
    </x:font>
    <x:font>
      <x:b/>
      <x:sz val="10"/>
      <x:color rgb="FF1987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B"/>
      </x:patternFill>
    </x:fill>
    <x:fill>
      <x:patternFill patternType="solid">
        <x:fgColor rgb="FFDCE8F7"/>
      </x:patternFill>
    </x:fill>
    <x:fill>
      <x:patternFill patternType="solid">
        <x:fgColor rgb="FF0F766E"/>
      </x:patternFill>
    </x:fill>
    <x:fill>
      <x:patternFill patternType="solid">
        <x:fgColor rgb="FFFCE8C5"/>
      </x:patternFill>
    </x:fill>
    <x:fill>
      <x:patternFill patternType="solid">
        <x:fgColor rgb="FFDCF3E5"/>
      </x:patternFill>
    </x:fill>
  </x:fills>
  <x:borders count="12">
    <x:border/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bottom style="thin">
        <x:color rgb="FFCFD8E3"/>
      </x:bottom>
    </x:border>
    <x:border>
      <x:top style="thin">
        <x:color rgb="FFCFD8E3"/>
      </x:top>
    </x:border>
    <x:border>
      <x:left style="thin">
        <x:color rgb="FFD19A2B"/>
      </x:left>
      <x:top style="thin">
        <x:color rgb="FFD19A2B"/>
      </x:top>
    </x:border>
    <x:border>
      <x:top style="thin">
        <x:color rgb="FFD19A2B"/>
      </x:top>
    </x:border>
    <x:border>
      <x:right style="thin">
        <x:color rgb="FFD19A2B"/>
      </x:right>
      <x:top style="thin">
        <x:color rgb="FFD19A2B"/>
      </x:top>
    </x:border>
    <x:border>
      <x:left style="thin">
        <x:color rgb="FFD19A2B"/>
      </x:left>
      <x:bottom style="thin">
        <x:color rgb="FFD19A2B"/>
      </x:bottom>
    </x:border>
    <x:border>
      <x:bottom style="thin">
        <x:color rgb="FFD19A2B"/>
      </x:bottom>
    </x:border>
    <x:border>
      <x:right style="thin">
        <x:color rgb="FFD19A2B"/>
      </x:right>
      <x:bottom style="thin">
        <x:color rgb="FFD19A2B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d9d672bb74634" /><Relationship Type="http://schemas.openxmlformats.org/officeDocument/2006/relationships/theme" Target="/xl/theme/theme1.xml" Id="Rfaaa4f53f16d4882" /><Relationship Type="http://schemas.microsoft.com/office/2022/11/relationships/FeaturePropertyBag" Target="/xl/featurePropertyBag/featurePropertyBag.xml" Id="Rbb0677cbecb84170" /><Relationship Type="http://schemas.openxmlformats.org/officeDocument/2006/relationships/sharedStrings" Target="/xl/sharedStrings.xml" Id="R7fd7133a5bbb4ed9" /><Relationship Type="http://schemas.openxmlformats.org/officeDocument/2006/relationships/worksheet" Target="/xl/worksheets/sheet1.xml" Id="R8e1214205973403b" /><Relationship Type="http://schemas.openxmlformats.org/officeDocument/2006/relationships/worksheet" Target="/xl/worksheets/sheet2.xml" Id="Rd76a3899cc32452b" /><Relationship Type="http://schemas.openxmlformats.org/officeDocument/2006/relationships/worksheet" Target="/xl/worksheets/sheet3.xml" Id="R50d34a41339f4a57" /><Relationship Type="http://schemas.openxmlformats.org/officeDocument/2006/relationships/worksheet" Target="/xl/worksheets/sheet4.xml" Id="R63a84ac44f2a4cbe" /><Relationship Type="http://schemas.openxmlformats.org/officeDocument/2006/relationships/worksheet" Target="/xl/worksheets/sheet5.xml" Id="R540e8d416432437c" /><Relationship Type="http://schemas.openxmlformats.org/officeDocument/2006/relationships/worksheet" Target="/xl/worksheets/sheet6.xml" Id="Rd51709e40211400d" /><Relationship Type="http://schemas.openxmlformats.org/officeDocument/2006/relationships/worksheet" Target="/xl/worksheets/sheet7.xml" Id="R895349322e734e95" /><Relationship Type="http://schemas.openxmlformats.org/officeDocument/2006/relationships/worksheet" Target="/xl/worksheets/sheet8.xml" Id="R227a689844134022" /><Relationship Type="http://schemas.openxmlformats.org/officeDocument/2006/relationships/worksheet" Target="/xl/worksheets/sheet9.xml" Id="Rbb5f362c94944edc" /><Relationship Type="http://schemas.openxmlformats.org/officeDocument/2006/relationships/worksheet" Target="/xl/worksheets/sheet10.xml" Id="R85237f5a25374633" /><Relationship Type="http://schemas.openxmlformats.org/officeDocument/2006/relationships/worksheet" Target="/xl/worksheets/sheet11.xml" Id="R70ea21f5dd57421c" /><Relationship Type="http://schemas.openxmlformats.org/officeDocument/2006/relationships/worksheet" Target="/xl/worksheets/sheet12.xml" Id="R2b66808cb7d446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10" hidden="0" customWidth="1"/>
    <x:col min="5" max="5" width="28" hidden="0" customWidth="1"/>
    <x:col min="6" max="6" width="58" hidden="0" customWidth="1"/>
  </x:cols>
  <x:sheetData>
    <x:row r="1" ht="26" customHeight="1">
      <x:c r="A1" s="2" t="str">
        <x:v>Hail × onshore wind — audit workbook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Proposed model v0.1/docs r1 • noncanonical • zero runtime curves • every damage/loss metric withheld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Identity</x:v>
      </x:c>
      <x:c r="B4" s="14" t="str">
        <x:v>Value</x:v>
      </x:c>
      <x:c r="C4" s="15" t="str">
        <x:v>Invariant</x:v>
      </x:c>
      <x:c r="D4" t="str">
        <x:v>Order</x:v>
      </x:c>
      <x:c r="E4" t="str">
        <x:v>Sheet</x:v>
      </x:c>
      <x:c r="F4" t="str">
        <x:v>Purpose</x:v>
      </x:c>
    </x:row>
    <x:row r="5">
      <x:c r="A5" s="27" t="str">
        <x:v>Cell ID</x:v>
      </x:c>
      <x:c r="B5" s="27" t="str">
        <x:v>hail_wind</x:v>
      </x:c>
      <x:c r="C5" s="27" t="str">
        <x:v>one governed hazard × asset cell</x:v>
      </x:c>
      <x:c r="D5" t="n">
        <x:v>1</x:v>
      </x:c>
      <x:c r="E5" t="str">
        <x:v>README</x:v>
      </x:c>
      <x:c r="F5" t="str">
        <x:v>Identity, status, and map</x:v>
      </x:c>
    </x:row>
    <x:row r="6">
      <x:c r="A6" s="28" t="str">
        <x:v>Pathway ID</x:v>
      </x:c>
      <x:c r="B6" s="28" t="str">
        <x:v>hail_impact</x:v>
      </x:c>
      <x:c r="C6" s="28" t="str">
        <x:v>exact match; no fallback</x:v>
      </x:c>
      <x:c r="D6" t="n">
        <x:v>2</x:v>
      </x:c>
      <x:c r="E6" t="str">
        <x:v>Seven_Steps</x:v>
      </x:c>
      <x:c r="F6" t="str">
        <x:v>Gate-by-gate audit</x:v>
      </x:c>
    </x:row>
    <x:row r="7">
      <x:c r="A7" s="28" t="str">
        <x:v>Damage code ID</x:v>
      </x:c>
      <x:c r="B7" s="28" t="str">
        <x:v>HAIL_WIND_PROPOSED_V0_1</x:v>
      </x:c>
      <x:c r="C7" s="28" t="str">
        <x:v>noncanonical scaffold</x:v>
      </x:c>
      <x:c r="D7" t="n">
        <x:v>3</x:v>
      </x:c>
      <x:c r="E7" t="str">
        <x:v>Asset_Value</x:v>
      </x:c>
      <x:c r="F7" t="str">
        <x:v>Reference value reconciliation</x:v>
      </x:c>
    </x:row>
    <x:row r="8">
      <x:c r="A8" s="28" t="str">
        <x:v>Semantic model</x:v>
      </x:c>
      <x:c r="B8" s="28" t="str">
        <x:v>model v0.1</x:v>
      </x:c>
      <x:c r="C8" s="28" t="str">
        <x:v>not v1.0 without runtime curve</x:v>
      </x:c>
      <x:c r="D8" t="n">
        <x:v>4</x:v>
      </x:c>
      <x:c r="E8" t="str">
        <x:v>Value_Crosswalk</x:v>
      </x:c>
      <x:c r="F8" t="str">
        <x:v>Row-level value mapping</x:v>
      </x:c>
    </x:row>
    <x:row r="9">
      <x:c r="A9" s="28" t="str">
        <x:v>Documentation</x:v>
      </x:c>
      <x:c r="B9" s="28" t="str">
        <x:v>docs r1</x:v>
      </x:c>
      <x:c r="C9" s="28" t="str">
        <x:v>proof trail only</x:v>
      </x:c>
      <x:c r="D9" t="n">
        <x:v>5</x:v>
      </x:c>
      <x:c r="E9" t="str">
        <x:v>Failure_Units</x:v>
      </x:c>
      <x:c r="F9" t="str">
        <x:v>Physical/spatial units and blockers</x:v>
      </x:c>
    </x:row>
    <x:row r="10">
      <x:c r="A10" s="28" t="str">
        <x:v>Lifecycle</x:v>
      </x:c>
      <x:c r="B10" s="28" t="str">
        <x:v>scaffold / proposed / pressure-tested</x:v>
      </x:c>
      <x:c r="C10" s="28" t="str">
        <x:v>repository presence is not release</x:v>
      </x:c>
      <x:c r="D10" t="n">
        <x:v>6</x:v>
      </x:c>
      <x:c r="E10" t="str">
        <x:v>Candidate_Audit</x:v>
      </x:c>
      <x:c r="F10" t="str">
        <x:v>Candidate numerical evidence disposition</x:v>
      </x:c>
    </x:row>
    <x:row r="11">
      <x:c r="A11" s="28" t="str">
        <x:v>Runtime curve count</x:v>
      </x:c>
      <x:c r="B11" s="28" t="n">
        <x:v>0</x:v>
      </x:c>
      <x:c r="C11" s="28" t="str">
        <x:v>must remain zero</x:v>
      </x:c>
      <x:c r="D11" t="n">
        <x:v>7</x:v>
      </x:c>
      <x:c r="E11" t="str">
        <x:v>Site_Adapter</x:v>
      </x:c>
      <x:c r="F11" t="str">
        <x:v>Field roles and fail-closed behavior</x:v>
      </x:c>
    </x:row>
    <x:row r="12">
      <x:c r="A12" s="28" t="str">
        <x:v>Canonical runtime artifact</x:v>
      </x:c>
      <x:c r="B12" s="29" t="b">
        <x:v>0</x:v>
      </x:c>
      <x:c r="C12" s="28" t="str">
        <x:v>must remain false</x:v>
      </x:c>
      <x:c r="D12" t="n">
        <x:v>8</x:v>
      </x:c>
      <x:c r="E12" t="str">
        <x:v>Legacy_Audit</x:v>
      </x:c>
      <x:c r="F12" t="str">
        <x:v>Rejected/migration evidence</x:v>
      </x:c>
    </x:row>
    <x:row r="13">
      <x:c r="A13" s="28" t="str">
        <x:v>Runtime reason</x:v>
      </x:c>
      <x:c r="B13" s="28" t="str">
        <x:v>NO_RUNTIME_CURVE</x:v>
      </x:c>
      <x:c r="C13" s="28" t="str">
        <x:v>null is not zero</x:v>
      </x:c>
      <x:c r="D13" t="n">
        <x:v>9</x:v>
      </x:c>
      <x:c r="E13" t="str">
        <x:v>Claim_Register</x:v>
      </x:c>
      <x:c r="F13" t="str">
        <x:v>Claims and transfer limits</x:v>
      </x:c>
    </x:row>
    <x:row r="14">
      <x:c r="A14" s="30" t="str">
        <x:v>Package release</x:v>
      </x:c>
      <x:c r="B14" s="30" t="str">
        <x:v>unreleased</x:v>
      </x:c>
      <x:c r="C14" s="30" t="str">
        <x:v>no consumer pin</x:v>
      </x:c>
      <x:c r="D14" t="n">
        <x:v>10</x:v>
      </x:c>
      <x:c r="E14" t="str">
        <x:v>Source_Register</x:v>
      </x:c>
      <x:c r="F14" t="str">
        <x:v>Citations, locators, and tiers</x:v>
      </x:c>
    </x:row>
    <x:row r="15">
      <x:c r="A15"/>
      <x:c r="B15"/>
      <x:c r="C15"/>
      <x:c r="D15" t="n">
        <x:v>11</x:v>
      </x:c>
      <x:c r="E15" t="str">
        <x:v>Parameter_Tiers</x:v>
      </x:c>
      <x:c r="F15" t="str">
        <x:v>Parameters, status, and triggers</x:v>
      </x:c>
    </x:row>
    <x:row r="16">
      <x:c r="A16"/>
      <x:c r="B16"/>
      <x:c r="C16"/>
      <x:c r="D16" t="n">
        <x:v>12</x:v>
      </x:c>
      <x:c r="E16" t="str">
        <x:v>QA_Checks</x:v>
      </x:c>
      <x:c r="F16" t="str">
        <x:v>Formula-driven integrity assertions</x:v>
      </x:c>
    </x:row>
    <x:row r="17" ht="28" customHeight="1">
      <x:c r="A17" s="39" t="str">
        <x:v>Interpretation guardrail: cumulative coating lifetime, coupon/simulation response, generic repair costs, and the rejected real-estate legacy curve are audit evidence only—not occurrence economic DR or loss outputs.</x:v>
      </x:c>
      <x:c r="B17" s="40"/>
      <x:c r="C17" s="40"/>
      <x:c r="D17" s="40"/>
      <x:c r="E17" s="40"/>
      <x:c r="F17" s="40"/>
      <x:c r="G17" s="40"/>
      <x:c r="H17" s="41"/>
    </x:row>
    <x:row r="18" ht="28" customHeight="1">
      <x:c r="A18" s="42"/>
      <x:c r="B18" s="43"/>
      <x:c r="C18" s="43"/>
      <x:c r="D18" s="43"/>
      <x:c r="E18" s="43"/>
      <x:c r="F18" s="43"/>
      <x:c r="G18" s="43"/>
      <x:c r="H18" s="44"/>
    </x:row>
  </x:sheetData>
  <x:mergeCells>
    <x:mergeCell ref="A1:H1"/>
    <x:mergeCell ref="A2:H2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30" hidden="0" customWidth="1"/>
    <x:col min="4" max="4" width="52" hidden="0" customWidth="1"/>
    <x:col min="5" max="5" width="44" hidden="0" customWidth="1"/>
    <x:col min="6" max="6" width="40" hidden="0" customWidth="1"/>
  </x:cols>
  <x:sheetData>
    <x:row r="1" ht="26" customHeight="1">
      <x:c r="A1" s="2" t="str">
        <x:v>Seven-step audit</x:v>
      </x:c>
      <x:c r="B1" s="2"/>
      <x:c r="C1" s="2"/>
      <x:c r="D1" s="2"/>
      <x:c r="E1" s="2"/>
      <x:c r="F1" s="2"/>
    </x:row>
    <x:row r="2" ht="22" customHeight="1">
      <x:c r="A2" s="4" t="str">
        <x:v>Every step has an explicit outcome; the final result is withholding, not a provisional curve</x:v>
      </x:c>
      <x:c r="B2" s="4"/>
      <x:c r="C2" s="4"/>
      <x:c r="D2" s="4"/>
      <x:c r="E2" s="4"/>
      <x:c r="F2" s="4"/>
    </x:row>
    <x:row r="4">
      <x:c r="A4" s="13" t="str">
        <x:v>Step</x:v>
      </x:c>
      <x:c r="B4" s="14" t="str">
        <x:v>Question</x:v>
      </x:c>
      <x:c r="C4" s="14" t="str">
        <x:v>Status</x:v>
      </x:c>
      <x:c r="D4" s="14" t="str">
        <x:v>Evidence/result</x:v>
      </x:c>
      <x:c r="E4" s="14" t="str">
        <x:v>Blocking seam</x:v>
      </x:c>
      <x:c r="F4" s="15" t="str">
        <x:v>Promotion output</x:v>
      </x:c>
    </x:row>
    <x:row r="5">
      <x:c r="A5" s="27" t="n">
        <x:v>1</x:v>
      </x:c>
      <x:c r="B5" s="27" t="str">
        <x:v>Define asset and boundary</x:v>
      </x:c>
      <x:c r="C5" s="27" t="str">
        <x:v>PASS_REFERENCE_ARCHETYPE_ONLY</x:v>
      </x:c>
      <x:c r="D5" s="27" t="str">
        <x:v>Occurrence direct hail impact; onshore wind; chronic degradation and adjacent hazards excluded</x:v>
      </x:c>
      <x:c r="E5" s="27" t="str">
        <x:v>Site/OEM configuration external</x:v>
      </x:c>
      <x:c r="F5" s="27" t="str">
        <x:v>Approved scope/pathway</x:v>
      </x:c>
    </x:row>
    <x:row r="6">
      <x:c r="A6" s="28" t="n">
        <x:v>2</x:v>
      </x:c>
      <x:c r="B6" s="28" t="str">
        <x:v>Decompose failure units</x:v>
      </x:c>
      <x:c r="C6" s="28" t="str">
        <x:v>PARTIAL_DEPENDENCY_SAFE_SKELETON</x:v>
      </x:c>
      <x:c r="D6" s="28" t="str">
        <x:v>Blade assembly candidate; BOP subjects explicit and withheld</x:v>
      </x:c>
      <x:c r="E6" s="28" t="str">
        <x:v>Exposed/protected BOP splits</x:v>
      </x:c>
      <x:c r="F6" s="28" t="str">
        <x:v>Approved unit/dependency map</x:v>
      </x:c>
    </x:row>
    <x:row r="7">
      <x:c r="A7" s="28" t="n">
        <x:v>3</x:v>
      </x:c>
      <x:c r="B7" s="28" t="str">
        <x:v>Choose y-axis/value basis</x:v>
      </x:c>
      <x:c r="C7" s="28" t="str">
        <x:v>PASS_REFERENCE_BASIS</x:v>
      </x:c>
      <x:c r="D7" s="28" t="str">
        <x:v>Same-unit direct cost ratio; CWER reference anatomy</x:v>
      </x:c>
      <x:c r="E7" s="28" t="str">
        <x:v>Site/unit values external</x:v>
      </x:c>
      <x:c r="F7" s="28" t="str">
        <x:v>Frozen ordinate and denominator</x:v>
      </x:c>
    </x:row>
    <x:row r="8">
      <x:c r="A8" s="28" t="n">
        <x:v>4</x:v>
      </x:c>
      <x:c r="B8" s="28" t="str">
        <x:v>Split value rows</x:v>
      </x:c>
      <x:c r="C8" s="28" t="str">
        <x:v>PARTIAL_ROW_GROUPS_ONLY</x:v>
      </x:c>
      <x:c r="D8" s="28" t="str">
        <x:v>All Wind_Map rows reconciled</x:v>
      </x:c>
      <x:c r="E8" s="28" t="str">
        <x:v>Blade coating and mixed electrical/civil allocation</x:v>
      </x:c>
      <x:c r="F8" s="28" t="str">
        <x:v>Exact unit/SOV split</x:v>
      </x:c>
    </x:row>
    <x:row r="9">
      <x:c r="A9" s="28" t="n">
        <x:v>5</x:v>
      </x:c>
      <x:c r="B9" s="28" t="str">
        <x:v>Allocate value/exposure</x:v>
      </x:c>
      <x:c r="C9" s="28" t="str">
        <x:v>PARTIAL_FAIL_CLOSED</x:v>
      </x:c>
      <x:c r="D9" s="28" t="str">
        <x:v>Per-turbine point; line/network; GSU yard; support once</x:v>
      </x:c>
      <x:c r="E9" s="28" t="str">
        <x:v>Actual geometry, ownership, at-risk shares</x:v>
      </x:c>
      <x:c r="F9" s="28" t="str">
        <x:v>Site adapter with measurements</x:v>
      </x:c>
    </x:row>
    <x:row r="10">
      <x:c r="A10" s="28" t="n">
        <x:v>6</x:v>
      </x:c>
      <x:c r="B10" s="28" t="str">
        <x:v>Build site/event adapter</x:v>
      </x:c>
      <x:c r="C10" s="28" t="str">
        <x:v>SPECIFIED_NOT_PARAMETERIZED</x:v>
      </x:c>
      <x:c r="D10" s="28" t="str">
        <x:v>Source hail, bridge, selectors, conditioners and exposure separated</x:v>
      </x:c>
      <x:c r="E10" s="28" t="str">
        <x:v>No qualified contact bridge or modifiers</x:v>
      </x:c>
      <x:c r="F10" s="28" t="str">
        <x:v>Versioned bridge + KATs</x:v>
      </x:c>
    </x:row>
    <x:row r="11">
      <x:c r="A11" s="30" t="n">
        <x:v>7</x:v>
      </x:c>
      <x:c r="B11" s="30" t="str">
        <x:v>Apply curves/reconcile loss</x:v>
      </x:c>
      <x:c r="C11" s="30" t="str">
        <x:v>WITHHELD_NO_RUNTIME_CURVE</x:v>
      </x:c>
      <x:c r="D11" s="30" t="str">
        <x:v>curve_records=[]; all metrics withheld</x:v>
      </x:c>
      <x:c r="E11" s="30" t="str">
        <x:v>No matched occurrence state/cost chain</x:v>
      </x:c>
      <x:c r="F11" s="30" t="str">
        <x:v>Reviewed model v1.0 runtime package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4" hidden="0" customWidth="1"/>
    <x:col min="5" max="5" width="62" hidden="0" customWidth="1"/>
  </x:cols>
  <x:sheetData>
    <x:row r="1" ht="26" customHeight="1">
      <x:c r="A1" s="2" t="str">
        <x:v>Wind reference value reconciliation</x:v>
      </x:c>
      <x:c r="B1" s="2"/>
      <x:c r="C1" s="2"/>
      <x:c r="D1" s="2"/>
      <x:c r="E1" s="2"/>
    </x:row>
    <x:row r="2" ht="22" customHeight="1">
      <x:c r="A2" s="4" t="str">
        <x:v>NREL CWER 2024 • 2023 USD/kW • anatomy only, never vulnerability or a site appraisal</x:v>
      </x:c>
      <x:c r="B2" s="4"/>
      <x:c r="C2" s="4"/>
      <x:c r="D2" s="4"/>
      <x:c r="E2" s="4"/>
    </x:row>
    <x:row r="4">
      <x:c r="A4" s="13" t="str">
        <x:v>Layer</x:v>
      </x:c>
      <x:c r="B4" s="15" t="str">
        <x:v>2023 USD/kW</x:v>
      </x:c>
      <x:c r="D4" s="13" t="str">
        <x:v>Control</x:v>
      </x:c>
      <x:c r="E4" s="15" t="str">
        <x:v>Rule</x:v>
      </x:c>
    </x:row>
    <x:row r="5">
      <x:c r="A5" s="27" t="str">
        <x:v>Blade hardware</x:v>
      </x:c>
      <x:c r="B5" s="45" t="n">
        <x:v>282</x:v>
      </x:c>
      <x:c r="D5" s="27" t="str">
        <x:v>Blade denominator</x:v>
      </x:c>
      <x:c r="E5" s="27" t="str">
        <x:v>Same-blade direct value; aggregate CWER row is reference only</x:v>
      </x:c>
    </x:row>
    <x:row r="6">
      <x:c r="A6" s="28" t="str">
        <x:v>Other turbine equipment</x:v>
      </x:c>
      <x:c r="B6" s="46" t="n">
        <x:v>808</x:v>
      </x:c>
      <x:c r="D6" s="28" t="str">
        <x:v>Other equipment</x:v>
      </x:c>
      <x:c r="E6" s="28" t="str">
        <x:v>Explicit withheld value; no blade-curve transfer</x:v>
      </x:c>
    </x:row>
    <x:row r="7">
      <x:c r="A7" s="28" t="str">
        <x:v>Turbine equipment total</x:v>
      </x:c>
      <x:c r="B7" s="46" t="n">
        <x:f>SUM(B5:B6)</x:f>
        <x:v>1090</x:v>
      </x:c>
      <x:c r="D7" s="28" t="str">
        <x:v>Support</x:v>
      </x:c>
      <x:c r="E7" s="28" t="str">
        <x:v>Allocate once after disposition</x:v>
      </x:c>
    </x:row>
    <x:row r="8">
      <x:c r="A8" s="28" t="str">
        <x:v>Foundation + civil + electrical</x:v>
      </x:c>
      <x:c r="B8" s="46" t="n">
        <x:v>239</x:v>
      </x:c>
      <x:c r="D8" s="28" t="str">
        <x:v>Excluded</x:v>
      </x:c>
      <x:c r="E8" s="28" t="str">
        <x:v>Never reintroduced as physical damage</x:v>
      </x:c>
    </x:row>
    <x:row r="9">
      <x:c r="A9" s="28" t="str">
        <x:v>Support/transport once</x:v>
      </x:c>
      <x:c r="B9" s="46" t="n">
        <x:v>294</x:v>
      </x:c>
      <x:c r="D9" s="28" t="str">
        <x:v>Exposure</x:v>
      </x:c>
      <x:c r="E9" s="28" t="str">
        <x:v>Actual subject geometry/value; no lease default</x:v>
      </x:c>
    </x:row>
    <x:row r="10">
      <x:c r="A10" s="28" t="str">
        <x:v>Physical reference</x:v>
      </x:c>
      <x:c r="B10" s="46" t="n">
        <x:f>SUM(B7:B9)</x:f>
        <x:v>1623</x:v>
      </x:c>
      <x:c r="D10" s="30" t="str">
        <x:v>Site override</x:v>
      </x:c>
      <x:c r="E10" s="30" t="str">
        <x:v>Required before scenario loss</x:v>
      </x:c>
    </x:row>
    <x:row r="11">
      <x:c r="A11" s="28" t="str">
        <x:v>Excluded soft/sunk/nonphysical</x:v>
      </x:c>
      <x:c r="B11" s="46" t="n">
        <x:v>345</x:v>
      </x:c>
    </x:row>
    <x:row r="12">
      <x:c r="A12" s="28" t="str">
        <x:v>Installed reference</x:v>
      </x:c>
      <x:c r="B12" s="46" t="n">
        <x:f>SUM(B10:B11)</x:f>
        <x:v>1968</x:v>
      </x:c>
    </x:row>
    <x:row r="13">
      <x:c r="A13" s="28" t="str">
        <x:v>Blade / physical share</x:v>
      </x:c>
      <x:c r="B13" s="47" t="n">
        <x:f>B5/B10</x:f>
        <x:v>0.17375231053604437</x:v>
      </x:c>
    </x:row>
    <x:row r="14">
      <x:c r="A14" s="30" t="str">
        <x:v>Blade / installed share</x:v>
      </x:c>
      <x:c r="B14" s="48" t="n">
        <x:f>B5/B12</x:f>
        <x:v>0.14329268292682926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22" hidden="0" customWidth="1"/>
    <x:col min="5" max="5" width="42" hidden="0" customWidth="1"/>
    <x:col min="6" max="6" width="24" hidden="0" customWidth="1"/>
    <x:col min="7" max="7" width="14" hidden="0" customWidth="1"/>
    <x:col min="8" max="8" width="24" hidden="0" customWidth="1"/>
    <x:col min="9" max="9" width="60" hidden="0" customWidth="1"/>
  </x:cols>
  <x:sheetData>
    <x:row r="1" ht="26" customHeight="1">
      <x:c r="A1" s="2" t="str">
        <x:v>Row-level value crosswalk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4" t="str">
        <x:v>Every reference row has one treatment; mixed, support, and excluded value remain visible</x:v>
      </x:c>
      <x:c r="B2" s="4"/>
      <x:c r="C2" s="4"/>
      <x:c r="D2" s="4"/>
      <x:c r="E2" s="4"/>
      <x:c r="F2" s="4"/>
      <x:c r="G2" s="4"/>
      <x:c r="H2" s="4"/>
      <x:c r="I2" s="4"/>
    </x:row>
    <x:row r="4">
      <x:c r="A4" s="13" t="str">
        <x:v>Row ID</x:v>
      </x:c>
      <x:c r="B4" s="14" t="str">
        <x:v>Label</x:v>
      </x:c>
      <x:c r="C4" s="14" t="str">
        <x:v>Value</x:v>
      </x:c>
      <x:c r="D4" s="14" t="str">
        <x:v>Unit</x:v>
      </x:c>
      <x:c r="E4" s="14" t="str">
        <x:v>Failure unit(s)</x:v>
      </x:c>
      <x:c r="F4" s="14" t="str">
        <x:v>Role</x:v>
      </x:c>
      <x:c r="G4" s="14" t="str">
        <x:v>Direct denom?</x:v>
      </x:c>
      <x:c r="H4" s="14" t="str">
        <x:v>Status</x:v>
      </x:c>
      <x:c r="I4" s="15" t="str">
        <x:v>Guardrail</x:v>
      </x:c>
    </x:row>
    <x:row r="5">
      <x:c r="A5" s="27" t="str">
        <x:v>WIND_VALUE_002_BLADE</x:v>
      </x:c>
      <x:c r="B5" s="27" t="str">
        <x:v>Blades</x:v>
      </x:c>
      <x:c r="C5" s="49" t="n">
        <x:v>282</x:v>
      </x:c>
      <x:c r="D5" s="27" t="str">
        <x:v>2023_USD_per_kW</x:v>
      </x:c>
      <x:c r="E5" s="27" t="str">
        <x:v>WT_BLADE_ASSEMBLY</x:v>
      </x:c>
      <x:c r="F5" s="27" t="str">
        <x:v>direct_vulnerable_value</x:v>
      </x:c>
      <x:c r="G5" s="27" t="str">
        <x:v>true</x:v>
      </x:c>
      <x:c r="H5" s="27" t="str">
        <x:v>mapped_no_curve</x:v>
      </x:c>
      <x:c r="I5" s="27" t="str">
        <x:v>Do not add coating repair and terminal blade replacement for the same state.</x:v>
      </x:c>
    </x:row>
    <x:row r="6">
      <x:c r="A6" s="28" t="str">
        <x:v>WIND_VALUE_003_PITCH</x:v>
      </x:c>
      <x:c r="B6" s="28" t="str">
        <x:v>Pitch assembly</x:v>
      </x:c>
      <x:c r="C6" s="50" t="n">
        <x:v>13</x:v>
      </x:c>
      <x:c r="D6" s="28" t="str">
        <x:v>2023_USD_per_kW</x:v>
      </x:c>
      <x:c r="E6" s="28" t="str">
        <x:v>WT_NACELLE_EXPOSED_ASSEMBLY</x:v>
      </x:c>
      <x:c r="F6" s="28" t="str">
        <x:v>withheld_direct_value</x:v>
      </x:c>
      <x:c r="G6" s="28" t="str">
        <x:v>false</x:v>
      </x:c>
      <x:c r="H6" s="28" t="str">
        <x:v>withheld</x:v>
      </x:c>
      <x:c r="I6" s="28" t="str">
        <x:v>Do not charge pitch value merely because pitch state modifies blade demand.</x:v>
      </x:c>
    </x:row>
    <x:row r="7">
      <x:c r="A7" s="28" t="str">
        <x:v>WIND_VALUE_004_HUB</x:v>
      </x:c>
      <x:c r="B7" s="28" t="str">
        <x:v>Hub assembly</x:v>
      </x:c>
      <x:c r="C7" s="50" t="n">
        <x:v>42</x:v>
      </x:c>
      <x:c r="D7" s="28" t="str">
        <x:v>2023_USD_per_kW</x:v>
      </x:c>
      <x:c r="E7" s="28" t="str">
        <x:v>WT_NACELLE_EXPOSED_ASSEMBLY</x:v>
      </x:c>
      <x:c r="F7" s="28" t="str">
        <x:v>withheld_direct_value</x:v>
      </x:c>
      <x:c r="G7" s="28" t="str">
        <x:v>false</x:v>
      </x:c>
      <x:c r="H7" s="28" t="str">
        <x:v>withheld</x:v>
      </x:c>
      <x:c r="I7" s="28" t="str">
        <x:v>Do not infer hub damage from blade coupon/simulation evidence.</x:v>
      </x:c>
    </x:row>
    <x:row r="8">
      <x:c r="A8" s="28" t="str">
        <x:v>WIND_VALUE_005_NACELLE_STRUCTURE</x:v>
      </x:c>
      <x:c r="B8" s="28" t="str">
        <x:v>Nacelle structural assembly</x:v>
      </x:c>
      <x:c r="C8" s="50" t="n">
        <x:v>76</x:v>
      </x:c>
      <x:c r="D8" s="28" t="str">
        <x:v>2023_USD_per_kW</x:v>
      </x:c>
      <x:c r="E8" s="28" t="str">
        <x:v>WT_NACELLE_EXPOSED_ASSEMBLY</x:v>
      </x:c>
      <x:c r="F8" s="28" t="str">
        <x:v>split_required</x:v>
      </x:c>
      <x:c r="G8" s="28" t="str">
        <x:v>false</x:v>
      </x:c>
      <x:c r="H8" s="28" t="str">
        <x:v>withheld</x:v>
      </x:c>
      <x:c r="I8" s="28" t="str">
        <x:v>Do not treat the full nacelle row as exposed to hail.</x:v>
      </x:c>
    </x:row>
    <x:row r="9">
      <x:c r="A9" s="28" t="str">
        <x:v>WIND_VALUE_006_DRIVETRAIN</x:v>
      </x:c>
      <x:c r="B9" s="28" t="str">
        <x:v>Drivetrain assembly</x:v>
      </x:c>
      <x:c r="C9" s="50" t="n">
        <x:v>236</x:v>
      </x:c>
      <x:c r="D9" s="28" t="str">
        <x:v>2023_USD_per_kW</x:v>
      </x:c>
      <x:c r="E9" s="28" t="str">
        <x:v>WT_NACELLE_EXPOSED_ASSEMBLY</x:v>
      </x:c>
      <x:c r="F9" s="28" t="str">
        <x:v>protected_split_required</x:v>
      </x:c>
      <x:c r="G9" s="28" t="str">
        <x:v>false</x:v>
      </x:c>
      <x:c r="H9" s="28" t="str">
        <x:v>withheld</x:v>
      </x:c>
      <x:c r="I9" s="28" t="str">
        <x:v>Do not infer internal replacement from external hail impact or shutdown.</x:v>
      </x:c>
    </x:row>
    <x:row r="10">
      <x:c r="A10" s="28" t="str">
        <x:v>WIND_VALUE_007_POWER_ELECTRONICS</x:v>
      </x:c>
      <x:c r="B10" s="28" t="str">
        <x:v>Nacelle electrical assembly</x:v>
      </x:c>
      <x:c r="C10" s="50" t="n">
        <x:v>137</x:v>
      </x:c>
      <x:c r="D10" s="28" t="str">
        <x:v>2023_USD_per_kW</x:v>
      </x:c>
      <x:c r="E10" s="28" t="str">
        <x:v>WT_NACELLE_EXPOSED_ASSEMBLY</x:v>
      </x:c>
      <x:c r="F10" s="28" t="str">
        <x:v>protected_split_required</x:v>
      </x:c>
      <x:c r="G10" s="28" t="str">
        <x:v>false</x:v>
      </x:c>
      <x:c r="H10" s="28" t="str">
        <x:v>withheld</x:v>
      </x:c>
      <x:c r="I10" s="28" t="str">
        <x:v>Do not treat grid trip or derating as physical destruction.</x:v>
      </x:c>
    </x:row>
    <x:row r="11">
      <x:c r="A11" s="28" t="str">
        <x:v>WIND_VALUE_008_YAW</x:v>
      </x:c>
      <x:c r="B11" s="28" t="str">
        <x:v>Yaw assembly</x:v>
      </x:c>
      <x:c r="C11" s="50" t="n">
        <x:v>28</x:v>
      </x:c>
      <x:c r="D11" s="28" t="str">
        <x:v>2023_USD_per_kW</x:v>
      </x:c>
      <x:c r="E11" s="28" t="str">
        <x:v>WT_NACELLE_EXPOSED_ASSEMBLY</x:v>
      </x:c>
      <x:c r="F11" s="28" t="str">
        <x:v>protected_split_required</x:v>
      </x:c>
      <x:c r="G11" s="28" t="str">
        <x:v>false</x:v>
      </x:c>
      <x:c r="H11" s="28" t="str">
        <x:v>withheld</x:v>
      </x:c>
      <x:c r="I11" s="28" t="str">
        <x:v>Do not charge yaw value because azimuth enters the blade bridge.</x:v>
      </x:c>
    </x:row>
    <x:row r="12">
      <x:c r="A12" s="28" t="str">
        <x:v>WIND_VALUE_009_TOWER</x:v>
      </x:c>
      <x:c r="B12" s="28" t="str">
        <x:v>Tower module</x:v>
      </x:c>
      <x:c r="C12" s="50" t="n">
        <x:v>276</x:v>
      </x:c>
      <x:c r="D12" s="28" t="str">
        <x:v>2023_USD_per_kW</x:v>
      </x:c>
      <x:c r="E12" s="28" t="str">
        <x:v>WT_TOWER_AND_EXTERNAL_FIXTURES</x:v>
      </x:c>
      <x:c r="F12" s="28" t="str">
        <x:v>split_required</x:v>
      </x:c>
      <x:c r="G12" s="28" t="str">
        <x:v>false</x:v>
      </x:c>
      <x:c r="H12" s="28" t="str">
        <x:v>withheld</x:v>
      </x:c>
      <x:c r="I12" s="28" t="str">
        <x:v>Do not apply blade response or call the whole tower immune without review.</x:v>
      </x:c>
    </x:row>
    <x:row r="13">
      <x:c r="A13" s="28" t="str">
        <x:v>WIND_VALUE_010_FOUNDATION</x:v>
      </x:c>
      <x:c r="B13" s="28" t="str">
        <x:v>Foundation</x:v>
      </x:c>
      <x:c r="C13" s="50" t="n">
        <x:v>120</x:v>
      </x:c>
      <x:c r="D13" s="28" t="str">
        <x:v>2023_USD_per_kW</x:v>
      </x:c>
      <x:c r="E13" s="28" t="str">
        <x:v>WT_FOUNDATION</x:v>
      </x:c>
      <x:c r="F13" s="28" t="str">
        <x:v>geometry_screened</x:v>
      </x:c>
      <x:c r="G13" s="28" t="str">
        <x:v>false</x:v>
      </x:c>
      <x:c r="H13" s="28" t="str">
        <x:v>withheld</x:v>
      </x:c>
      <x:c r="I13" s="28" t="str">
        <x:v>Do not infer flood/scour or call withheld value damaged/immune.</x:v>
      </x:c>
    </x:row>
    <x:row r="14">
      <x:c r="A14" s="28" t="str">
        <x:v>WIND_VALUE_011_CIVIL</x:v>
      </x:c>
      <x:c r="B14" s="28" t="str">
        <x:v>Site access, staging, and facilities</x:v>
      </x:c>
      <x:c r="C14" s="50" t="n">
        <x:v>47</x:v>
      </x:c>
      <x:c r="D14" s="28" t="str">
        <x:v>2023_USD_per_kW</x:v>
      </x:c>
      <x:c r="E14" s="28" t="str">
        <x:v>WT_CIVIL_INFRA</x:v>
      </x:c>
      <x:c r="F14" s="28" t="str">
        <x:v>split_required</x:v>
      </x:c>
      <x:c r="G14" s="28" t="str">
        <x:v>false</x:v>
      </x:c>
      <x:c r="H14" s="28" t="str">
        <x:v>withheld</x:v>
      </x:c>
      <x:c r="I14" s="28" t="str">
        <x:v>Do not scale by hit-turbine fraction or blade DR.</x:v>
      </x:c>
    </x:row>
    <x:row r="15">
      <x:c r="A15" s="28" t="str">
        <x:v>WIND_VALUE_012_ELECTRICAL</x:v>
      </x:c>
      <x:c r="B15" s="28" t="str">
        <x:v>Electrical infrastructure</x:v>
      </x:c>
      <x:c r="C15" s="50" t="n">
        <x:v>72</x:v>
      </x:c>
      <x:c r="D15" s="28" t="str">
        <x:v>2023_USD_per_kW</x:v>
      </x:c>
      <x:c r="E15" s="28" t="str">
        <x:v>WT_PAD_ELECTRICAL|WT_COLLECTION_NETWORK|WT_GSU_SUBSTATION|WT_CONTROL_AND_MET_STATION</x:v>
      </x:c>
      <x:c r="F15" s="28" t="str">
        <x:v>split_required</x:v>
      </x:c>
      <x:c r="G15" s="28" t="str">
        <x:v>false</x:v>
      </x:c>
      <x:c r="H15" s="28" t="str">
        <x:v>withheld</x:v>
      </x:c>
      <x:c r="I15" s="28" t="str">
        <x:v>Do not use one turbine point or whole electrical row for every subject.</x:v>
      </x:c>
    </x:row>
    <x:row r="16">
      <x:c r="A16" s="28" t="str">
        <x:v>WIND_VALUE_013_FIELDWORK</x:v>
      </x:c>
      <x:c r="B16" s="28" t="str">
        <x:v>Assembly and installation</x:v>
      </x:c>
      <x:c r="C16" s="50" t="n">
        <x:v>100</x:v>
      </x:c>
      <x:c r="D16" s="28" t="str">
        <x:v>2023_USD_per_kW</x:v>
      </x:c>
      <x:c r="E16" s="28" t="str">
        <x:v>SUPPORT_FIELDWORK</x:v>
      </x:c>
      <x:c r="F16" s="28" t="str">
        <x:v>support_once</x:v>
      </x:c>
      <x:c r="G16" s="28" t="str">
        <x:v>false</x:v>
      </x:c>
      <x:c r="H16" s="28" t="str">
        <x:v>mapped_support_rule_open</x:v>
      </x:c>
      <x:c r="I16" s="28" t="str">
        <x:v>No independent hail fragility and no automatic proportional scaling.</x:v>
      </x:c>
    </x:row>
    <x:row r="17">
      <x:c r="A17" s="28" t="str">
        <x:v>WIND_VALUE_014_TRANSPORT</x:v>
      </x:c>
      <x:c r="B17" s="28" t="str">
        <x:v>Wind turbine transport</x:v>
      </x:c>
      <x:c r="C17" s="50" t="n">
        <x:v>194</x:v>
      </x:c>
      <x:c r="D17" s="28" t="str">
        <x:v>2023_USD_per_kW</x:v>
      </x:c>
      <x:c r="E17" s="28" t="str">
        <x:v>SUPPORT_TRANSPORT_LOGISTICS</x:v>
      </x:c>
      <x:c r="F17" s="28" t="str">
        <x:v>support_once</x:v>
      </x:c>
      <x:c r="G17" s="28" t="str">
        <x:v>false</x:v>
      </x:c>
      <x:c r="H17" s="28" t="str">
        <x:v>mapped_support_rule_open</x:v>
      </x:c>
      <x:c r="I17" s="28" t="str">
        <x:v>Do not include in intrinsic DR denominator and add again downstream.</x:v>
      </x:c>
    </x:row>
    <x:row r="18">
      <x:c r="A18" s="28" t="str">
        <x:v>WIND_VALUE_015_ENGINEERING_DEVELOPMENT</x:v>
      </x:c>
      <x:c r="B18" s="28" t="str">
        <x:v>Engineering and development</x:v>
      </x:c>
      <x:c r="C18" s="50" t="n">
        <x:v>36</x:v>
      </x:c>
      <x:c r="D18" s="28" t="str">
        <x:v>2023_USD_per_kW</x:v>
      </x:c>
      <x:c r="E18" s="28" t="str">
        <x:v>OUTSIDE_PHYSICAL_CELL</x:v>
      </x:c>
      <x:c r="F18" s="28" t="str">
        <x:v>excluded</x:v>
      </x:c>
      <x:c r="G18" s="28" t="str">
        <x:v>false</x:v>
      </x:c>
      <x:c r="H18" s="28" t="str">
        <x:v>excluded</x:v>
      </x:c>
      <x:c r="I18" s="28" t="str">
        <x:v>Do not reintroduce without an explicit insured-value boundary.</x:v>
      </x:c>
    </x:row>
    <x:row r="19">
      <x:c r="A19" s="28" t="str">
        <x:v>WIND_VALUE_016_PROJECT_MANAGEMENT</x:v>
      </x:c>
      <x:c r="B19" s="28" t="str">
        <x:v>Project management</x:v>
      </x:c>
      <x:c r="C19" s="50" t="n">
        <x:v>14</x:v>
      </x:c>
      <x:c r="D19" s="28" t="str">
        <x:v>2023_USD_per_kW</x:v>
      </x:c>
      <x:c r="E19" s="28" t="str">
        <x:v>OUTSIDE_PHYSICAL_CELL</x:v>
      </x:c>
      <x:c r="F19" s="28" t="str">
        <x:v>excluded</x:v>
      </x:c>
      <x:c r="G19" s="28" t="str">
        <x:v>false</x:v>
      </x:c>
      <x:c r="H19" s="28" t="str">
        <x:v>excluded</x:v>
      </x:c>
      <x:c r="I19" s="28" t="str">
        <x:v>Do not reintroduce through support scaling.</x:v>
      </x:c>
    </x:row>
    <x:row r="20">
      <x:c r="A20" s="28" t="str">
        <x:v>WIND_VALUE_017_FINANCE</x:v>
      </x:c>
      <x:c r="B20" s="28" t="str">
        <x:v>Construction finance</x:v>
      </x:c>
      <x:c r="C20" s="50" t="n">
        <x:v>111</x:v>
      </x:c>
      <x:c r="D20" s="28" t="str">
        <x:v>2023_USD_per_kW</x:v>
      </x:c>
      <x:c r="E20" s="28" t="str">
        <x:v>OUTSIDE_PHYSICAL_CELL</x:v>
      </x:c>
      <x:c r="F20" s="28" t="str">
        <x:v>excluded</x:v>
      </x:c>
      <x:c r="G20" s="28" t="str">
        <x:v>false</x:v>
      </x:c>
      <x:c r="H20" s="28" t="str">
        <x:v>excluded</x:v>
      </x:c>
      <x:c r="I20" s="28" t="str">
        <x:v>Financial cost is not repair value.</x:v>
      </x:c>
    </x:row>
    <x:row r="21">
      <x:c r="A21" s="28" t="str">
        <x:v>WIND_VALUE_018_CONTINGENCY</x:v>
      </x:c>
      <x:c r="B21" s="28" t="str">
        <x:v>Contingency</x:v>
      </x:c>
      <x:c r="C21" s="50" t="n">
        <x:v>54</x:v>
      </x:c>
      <x:c r="D21" s="28" t="str">
        <x:v>2023_USD_per_kW</x:v>
      </x:c>
      <x:c r="E21" s="28" t="str">
        <x:v>OUTSIDE_PHYSICAL_CELL</x:v>
      </x:c>
      <x:c r="F21" s="28" t="str">
        <x:v>excluded</x:v>
      </x:c>
      <x:c r="G21" s="28" t="str">
        <x:v>false</x:v>
      </x:c>
      <x:c r="H21" s="28" t="str">
        <x:v>excluded</x:v>
      </x:c>
      <x:c r="I21" s="28" t="str">
        <x:v>Do not use as curve uncertainty or support automatically.</x:v>
      </x:c>
    </x:row>
    <x:row r="22">
      <x:c r="A22" s="28" t="str">
        <x:v>WIND_VALUE_019_WARRANTY</x:v>
      </x:c>
      <x:c r="B22" s="28" t="str">
        <x:v>Wind turbine warranty</x:v>
      </x:c>
      <x:c r="C22" s="50" t="n">
        <x:v>130</x:v>
      </x:c>
      <x:c r="D22" s="28" t="str">
        <x:v>2023_USD_per_kW</x:v>
      </x:c>
      <x:c r="E22" s="28" t="str">
        <x:v>OUTSIDE_PHYSICAL_CELL</x:v>
      </x:c>
      <x:c r="F22" s="28" t="str">
        <x:v>excluded</x:v>
      </x:c>
      <x:c r="G22" s="28" t="str">
        <x:v>false</x:v>
      </x:c>
      <x:c r="H22" s="28" t="str">
        <x:v>excluded</x:v>
      </x:c>
      <x:c r="I22" s="28" t="str">
        <x:v>Warranty value is not replacement damage.</x:v>
      </x:c>
    </x:row>
    <x:row r="23">
      <x:c r="A23" s="28" t="str">
        <x:v>BLADE_REFERENCE_TOTAL</x:v>
      </x:c>
      <x:c r="B23" s="28" t="str">
        <x:v>Blade hardware reference</x:v>
      </x:c>
      <x:c r="C23" s="50" t="n">
        <x:v>282</x:v>
      </x:c>
      <x:c r="D23" s="28" t="str">
        <x:v>2023_USD_per_kW</x:v>
      </x:c>
      <x:c r="E23" s="28" t="str">
        <x:v>WT_BLADE_ASSEMBLY</x:v>
      </x:c>
      <x:c r="F23" s="28" t="str">
        <x:v>direct_vulnerable_value</x:v>
      </x:c>
      <x:c r="G23" s="28" t="str">
        <x:v>true</x:v>
      </x:c>
      <x:c r="H23" s="28" t="str">
        <x:v>mapped_no_curve</x:v>
      </x:c>
      <x:c r="I23" s="28" t="str">
        <x:v>Reference value is not coating value, DR cap or exposure share.</x:v>
      </x:c>
    </x:row>
    <x:row r="24">
      <x:c r="A24" s="28" t="str">
        <x:v>OTHER_TURBINE_EQUIPMENT_TOTAL</x:v>
      </x:c>
      <x:c r="B24" s="28" t="str">
        <x:v>Other turbine equipment</x:v>
      </x:c>
      <x:c r="C24" s="50" t="n">
        <x:v>808</x:v>
      </x:c>
      <x:c r="D24" s="28" t="str">
        <x:v>2023_USD_per_kW</x:v>
      </x:c>
      <x:c r="E24" s="28" t="str">
        <x:v>WT_NACELLE_EXPOSED_ASSEMBLY|WT_TOWER_AND_EXTERNAL_FIXTURES</x:v>
      </x:c>
      <x:c r="F24" s="28" t="str">
        <x:v>split_required</x:v>
      </x:c>
      <x:c r="G24" s="28" t="str">
        <x:v>false</x:v>
      </x:c>
      <x:c r="H24" s="28" t="str">
        <x:v>withheld</x:v>
      </x:c>
      <x:c r="I24" s="28" t="str">
        <x:v>Do not pool into blade or whole-turbine hail DR.</x:v>
      </x:c>
    </x:row>
    <x:row r="25">
      <x:c r="A25" s="28" t="str">
        <x:v>TURBINE_EQUIPMENT_TOTAL</x:v>
      </x:c>
      <x:c r="B25" s="28" t="str">
        <x:v>Turbine equipment total</x:v>
      </x:c>
      <x:c r="C25" s="50" t="n">
        <x:v>1090</x:v>
      </x:c>
      <x:c r="D25" s="28" t="str">
        <x:v>2023_USD_per_kW</x:v>
      </x:c>
      <x:c r="E25" s="28" t="str">
        <x:v>MULTIPLE_WITHHELD_UNITS</x:v>
      </x:c>
      <x:c r="F25" s="28" t="str">
        <x:v>reference</x:v>
      </x:c>
      <x:c r="G25" s="28" t="str">
        <x:v>false</x:v>
      </x:c>
      <x:c r="H25" s="28" t="str">
        <x:v>reconciled</x:v>
      </x:c>
      <x:c r="I25" s="28" t="str">
        <x:v>No pooled turbine DR may bypass blade/non-blade splits.</x:v>
      </x:c>
    </x:row>
    <x:row r="26">
      <x:c r="A26" s="28" t="str">
        <x:v>WITHHELD_DIRECT_OTHER_TOTAL</x:v>
      </x:c>
      <x:c r="B26" s="28" t="str">
        <x:v>Foundation plus civil plus external electrical</x:v>
      </x:c>
      <x:c r="C26" s="50" t="n">
        <x:v>239</x:v>
      </x:c>
      <x:c r="D26" s="28" t="str">
        <x:v>2023_USD_per_kW</x:v>
      </x:c>
      <x:c r="E26" s="28" t="str">
        <x:v>MULTIPLE_WITHHELD_UNITS</x:v>
      </x:c>
      <x:c r="F26" s="28" t="str">
        <x:v>split_required</x:v>
      </x:c>
      <x:c r="G26" s="28" t="str">
        <x:v>false</x:v>
      </x:c>
      <x:c r="H26" s="28" t="str">
        <x:v>withheld</x:v>
      </x:c>
      <x:c r="I26" s="28" t="str">
        <x:v>Do not treat withheld as zero or inherit blade DR.</x:v>
      </x:c>
    </x:row>
    <x:row r="27">
      <x:c r="A27" s="28" t="str">
        <x:v>SUPPORT_TOTAL</x:v>
      </x:c>
      <x:c r="B27" s="28" t="str">
        <x:v>Fieldwork plus transport/logistics</x:v>
      </x:c>
      <x:c r="C27" s="50" t="n">
        <x:v>294</x:v>
      </x:c>
      <x:c r="D27" s="28" t="str">
        <x:v>2023_USD_per_kW</x:v>
      </x:c>
      <x:c r="E27" s="28" t="str">
        <x:v>SUPPORT_ONCE</x:v>
      </x:c>
      <x:c r="F27" s="28" t="str">
        <x:v>support_once</x:v>
      </x:c>
      <x:c r="G27" s="28" t="str">
        <x:v>false</x:v>
      </x:c>
      <x:c r="H27" s="28" t="str">
        <x:v>mapped_support_rule_open</x:v>
      </x:c>
      <x:c r="I27" s="28" t="str">
        <x:v>Do not give support its own DR or scale twice.</x:v>
      </x:c>
    </x:row>
    <x:row r="28">
      <x:c r="A28" s="28" t="str">
        <x:v>PHYSICAL_REFERENCE_TOTAL</x:v>
      </x:c>
      <x:c r="B28" s="28" t="str">
        <x:v>Physical replaceable reference basis</x:v>
      </x:c>
      <x:c r="C28" s="50" t="n">
        <x:v>1623</x:v>
      </x:c>
      <x:c r="D28" s="28" t="str">
        <x:v>2023_USD_per_kW</x:v>
      </x:c>
      <x:c r="E28" s="28" t="str">
        <x:v>REFERENCE_DENOMINATOR_ONLY</x:v>
      </x:c>
      <x:c r="F28" s="28" t="str">
        <x:v>reference</x:v>
      </x:c>
      <x:c r="G28" s="28" t="str">
        <x:v>false</x:v>
      </x:c>
      <x:c r="H28" s="28" t="str">
        <x:v>reconciled</x:v>
      </x:c>
      <x:c r="I28" s="28" t="str">
        <x:v>No pooled physical-base DR may bypass unit/exposure/support rules.</x:v>
      </x:c>
    </x:row>
    <x:row r="29">
      <x:c r="A29" s="28" t="str">
        <x:v>EXCLUDED_TOTAL</x:v>
      </x:c>
      <x:c r="B29" s="28" t="str">
        <x:v>Sunk/soft/nonphysical excluded</x:v>
      </x:c>
      <x:c r="C29" s="50" t="n">
        <x:v>345</x:v>
      </x:c>
      <x:c r="D29" s="28" t="str">
        <x:v>2023_USD_per_kW</x:v>
      </x:c>
      <x:c r="E29" s="28" t="str">
        <x:v>OUTSIDE_PHYSICAL_CELL</x:v>
      </x:c>
      <x:c r="F29" s="28" t="str">
        <x:v>excluded</x:v>
      </x:c>
      <x:c r="G29" s="28" t="str">
        <x:v>false</x:v>
      </x:c>
      <x:c r="H29" s="28" t="str">
        <x:v>reconciled</x:v>
      </x:c>
      <x:c r="I29" s="28" t="str">
        <x:v>Do not reintroduce through damage or support scaling.</x:v>
      </x:c>
    </x:row>
    <x:row r="30">
      <x:c r="A30" s="30" t="str">
        <x:v>INSTALLED_REFERENCE_TOTAL</x:v>
      </x:c>
      <x:c r="B30" s="30" t="str">
        <x:v>Installed CAPEX reference basis</x:v>
      </x:c>
      <x:c r="C30" s="51" t="n">
        <x:v>1968</x:v>
      </x:c>
      <x:c r="D30" s="30" t="str">
        <x:v>2023_USD_per_kW</x:v>
      </x:c>
      <x:c r="E30" s="30" t="str">
        <x:v>REFERENCE_REPORTING_DENOMINATOR</x:v>
      </x:c>
      <x:c r="F30" s="30" t="str">
        <x:v>reference</x:v>
      </x:c>
      <x:c r="G30" s="30" t="str">
        <x:v>false</x:v>
      </x:c>
      <x:c r="H30" s="30" t="str">
        <x:v>reconciled</x:v>
      </x:c>
      <x:c r="I30" s="30" t="str">
        <x:v>No implicit full-TIV curve or loss is published.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52" hidden="0" customWidth="1"/>
    <x:col min="4" max="4" width="18" hidden="0" customWidth="1"/>
    <x:col min="5" max="5" width="32" hidden="0" customWidth="1"/>
    <x:col min="6" max="6" width="18" hidden="0" customWidth="1"/>
    <x:col min="7" max="7" width="34" hidden="0" customWidth="1"/>
    <x:col min="8" max="8" width="54" hidden="0" customWidth="1"/>
  </x:cols>
  <x:sheetData>
    <x:row r="1" ht="26" customHeight="1">
      <x:c r="A1" s="2" t="str">
        <x:v>Failure-unit and spatial-grain registry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Withheld is not zero; support is not vulnerable hardware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Failure unit</x:v>
      </x:c>
      <x:c r="B4" s="14" t="str">
        <x:v>Subsystem</x:v>
      </x:c>
      <x:c r="C4" s="14" t="str">
        <x:v>Component/boundary</x:v>
      </x:c>
      <x:c r="D4" s="14" t="str">
        <x:v>Pathway</x:v>
      </x:c>
      <x:c r="E4" s="14" t="str">
        <x:v>Treatment</x:v>
      </x:c>
      <x:c r="F4" s="14" t="str">
        <x:v>Ordinate</x:v>
      </x:c>
      <x:c r="G4" s="14" t="str">
        <x:v>Exposure grain</x:v>
      </x:c>
      <x:c r="H4" s="15" t="str">
        <x:v>Open split / blocker</x:v>
      </x:c>
    </x:row>
    <x:row r="5">
      <x:c r="A5" s="27" t="str">
        <x:v>WT_BLADE_ASSEMBLY</x:v>
      </x:c>
      <x:c r="B5" s="27" t="str">
        <x:v>ROTOR</x:v>
      </x:c>
      <x:c r="C5" s="27" t="str">
        <x:v>LEADING_EDGE_COATING_SHELL_LAMINATE_AND_BLADE_STRUCTURE</x:v>
      </x:c>
      <x:c r="D5" s="27" t="str">
        <x:v>hail_impact</x:v>
      </x:c>
      <x:c r="E5" s="27" t="str">
        <x:v>candidate_primary_no_curve</x:v>
      </x:c>
      <x:c r="F5" s="27" t="str">
        <x:v>withheld</x:v>
      </x:c>
      <x:c r="G5" s="27" t="str">
        <x:v>per_blade_or_rotor_at_turbine_point</x:v>
      </x:c>
      <x:c r="H5" s="27" t="str">
        <x:v>mutually exclusive coating repair, structural repair and replacement states</x:v>
      </x:c>
    </x:row>
    <x:row r="6">
      <x:c r="A6" s="28" t="str">
        <x:v>WT_NACELLE_EXPOSED_ASSEMBLY</x:v>
      </x:c>
      <x:c r="B6" s="28" t="str">
        <x:v>NACELLE</x:v>
      </x:c>
      <x:c r="C6" s="28" t="str">
        <x:v>COVER_COOLERS_SENSORS_AND_PROTECTED_INTERNAL_EQUIPMENT_SPLIT</x:v>
      </x:c>
      <x:c r="D6" s="28" t="str">
        <x:v>hail_impact</x:v>
      </x:c>
      <x:c r="E6" s="28" t="str">
        <x:v>decomposition_gate_no_curve</x:v>
      </x:c>
      <x:c r="F6" s="28" t="str">
        <x:v>withheld</x:v>
      </x:c>
      <x:c r="G6" s="28" t="str">
        <x:v>per_turbine_point_and_exposed_subject</x:v>
      </x:c>
      <x:c r="H6" s="28" t="str">
        <x:v>exposed/protected split and hail response</x:v>
      </x:c>
    </x:row>
    <x:row r="7">
      <x:c r="A7" s="28" t="str">
        <x:v>WT_TOWER_AND_EXTERNAL_FIXTURES</x:v>
      </x:c>
      <x:c r="B7" s="28" t="str">
        <x:v>TOWER</x:v>
      </x:c>
      <x:c r="C7" s="28" t="str">
        <x:v>TOWER_SHELL_COATING_AND_EXTERNAL_FIXTURES</x:v>
      </x:c>
      <x:c r="D7" s="28" t="str">
        <x:v>hail_impact</x:v>
      </x:c>
      <x:c r="E7" s="28" t="str">
        <x:v>decomposition_gate_no_curve</x:v>
      </x:c>
      <x:c r="F7" s="28" t="str">
        <x:v>withheld</x:v>
      </x:c>
      <x:c r="G7" s="28" t="str">
        <x:v>per_turbine_vertical_subject</x:v>
      </x:c>
      <x:c r="H7" s="28" t="str">
        <x:v>tower/appurtenance split and response</x:v>
      </x:c>
    </x:row>
    <x:row r="8">
      <x:c r="A8" s="28" t="str">
        <x:v>WT_PAD_ELECTRICAL</x:v>
      </x:c>
      <x:c r="B8" s="28" t="str">
        <x:v>PLANT_ELECTRICAL</x:v>
      </x:c>
      <x:c r="C8" s="28" t="str">
        <x:v>PAD_TRANSFORMER_SWITCHGEAR_ENCLOSURES_AND_EXPOSED_APPARATUS</x:v>
      </x:c>
      <x:c r="D8" s="28" t="str">
        <x:v>hail_impact</x:v>
      </x:c>
      <x:c r="E8" s="28" t="str">
        <x:v>decomposition_gate_no_curve</x:v>
      </x:c>
      <x:c r="F8" s="28" t="str">
        <x:v>withheld</x:v>
      </x:c>
      <x:c r="G8" s="28" t="str">
        <x:v>per_turbine_point_or_pad_polygon</x:v>
      </x:c>
      <x:c r="H8" s="28" t="str">
        <x:v>BOM, protection, value and response</x:v>
      </x:c>
    </x:row>
    <x:row r="9">
      <x:c r="A9" s="28" t="str">
        <x:v>WT_COLLECTION_NETWORK</x:v>
      </x:c>
      <x:c r="B9" s="28" t="str">
        <x:v>PLANT_ELECTRICAL</x:v>
      </x:c>
      <x:c r="C9" s="28" t="str">
        <x:v>BURIED_OR_OVERHEAD_COLLECTION_SEGMENTS_AND_COMPONENTS</x:v>
      </x:c>
      <x:c r="D9" s="28" t="str">
        <x:v>hail_impact</x:v>
      </x:c>
      <x:c r="E9" s="28" t="str">
        <x:v>decomposition_gate_no_curve</x:v>
      </x:c>
      <x:c r="F9" s="28" t="str">
        <x:v>withheld</x:v>
      </x:c>
      <x:c r="G9" s="28" t="str">
        <x:v>line_or_network</x:v>
      </x:c>
      <x:c r="H9" s="28" t="str">
        <x:v>topology, component split and direct-impact evidence</x:v>
      </x:c>
    </x:row>
    <x:row r="10">
      <x:c r="A10" s="28" t="str">
        <x:v>WT_GSU_SUBSTATION</x:v>
      </x:c>
      <x:c r="B10" s="28" t="str">
        <x:v>PLANT_ELECTRICAL</x:v>
      </x:c>
      <x:c r="C10" s="28" t="str">
        <x:v>GSU_SWITCHYARD_CONTROL_BUILDING_AND_EXPOSED_APPARATUS</x:v>
      </x:c>
      <x:c r="D10" s="28" t="str">
        <x:v>hail_impact</x:v>
      </x:c>
      <x:c r="E10" s="28" t="str">
        <x:v>decomposition_gate_no_curve</x:v>
      </x:c>
      <x:c r="F10" s="28" t="str">
        <x:v>withheld</x:v>
      </x:c>
      <x:c r="G10" s="28" t="str">
        <x:v>shared_point_or_yard_polygon</x:v>
      </x:c>
      <x:c r="H10" s="28" t="str">
        <x:v>ownership, BOM/SOV, protection, exposure and response</x:v>
      </x:c>
    </x:row>
    <x:row r="11">
      <x:c r="A11" s="28" t="str">
        <x:v>WT_CONTROL_AND_MET_STATION</x:v>
      </x:c>
      <x:c r="B11" s="28" t="str">
        <x:v>PLANT_CONTROLS</x:v>
      </x:c>
      <x:c r="C11" s="28" t="str">
        <x:v>CONTROL_BUILDING_MET_MAST_AND_EXPOSED_INSTRUMENTS</x:v>
      </x:c>
      <x:c r="D11" s="28" t="str">
        <x:v>hail_impact</x:v>
      </x:c>
      <x:c r="E11" s="28" t="str">
        <x:v>decomposition_gate_no_curve</x:v>
      </x:c>
      <x:c r="F11" s="28" t="str">
        <x:v>withheld</x:v>
      </x:c>
      <x:c r="G11" s="28" t="str">
        <x:v>point_or_polygon</x:v>
      </x:c>
      <x:c r="H11" s="28" t="str">
        <x:v>subject inventory, dependency, value and response</x:v>
      </x:c>
    </x:row>
    <x:row r="12">
      <x:c r="A12" s="28" t="str">
        <x:v>WT_FOUNDATION</x:v>
      </x:c>
      <x:c r="B12" s="28" t="str">
        <x:v>FOUNDATION</x:v>
      </x:c>
      <x:c r="C12" s="28" t="str">
        <x:v>TURBINE_FOUNDATION_OR_BASE</x:v>
      </x:c>
      <x:c r="D12" s="28" t="str">
        <x:v>hail_impact</x:v>
      </x:c>
      <x:c r="E12" s="28" t="str">
        <x:v>geometry_screened_no_curve_not_zero</x:v>
      </x:c>
      <x:c r="F12" s="28" t="str">
        <x:v>withheld</x:v>
      </x:c>
      <x:c r="G12" s="28" t="str">
        <x:v>per_turbine_point</x:v>
      </x:c>
      <x:c r="H12" s="28" t="str">
        <x:v>direct hail path unqualified; accumulation/flood separate</x:v>
      </x:c>
    </x:row>
    <x:row r="13">
      <x:c r="A13" s="28" t="str">
        <x:v>WT_CIVIL_INFRA</x:v>
      </x:c>
      <x:c r="B13" s="28" t="str">
        <x:v>PLANT_CIVIL</x:v>
      </x:c>
      <x:c r="C13" s="28" t="str">
        <x:v>ROADS_CRANE_PADS_BUILDINGS_FENCES_AND_DRAINAGE</x:v>
      </x:c>
      <x:c r="D13" s="28" t="str">
        <x:v>hail_impact</x:v>
      </x:c>
      <x:c r="E13" s="28" t="str">
        <x:v>decomposition_gate_no_curve</x:v>
      </x:c>
      <x:c r="F13" s="28" t="str">
        <x:v>withheld</x:v>
      </x:c>
      <x:c r="G13" s="28" t="str">
        <x:v>line_network_or_polygon_split_required</x:v>
      </x:c>
      <x:c r="H13" s="28" t="str">
        <x:v>subject split and neighboring accumulation/flood routing</x:v>
      </x:c>
    </x:row>
    <x:row r="14">
      <x:c r="A14" s="28" t="str">
        <x:v>SUPPORT_FIELDWORK</x:v>
      </x:c>
      <x:c r="B14" s="28" t="str">
        <x:v>SUPPORT</x:v>
      </x:c>
      <x:c r="C14" s="28" t="str">
        <x:v>INSPECTION_ACCESS_ASSEMBLY_AND_INSTALLATION</x:v>
      </x:c>
      <x:c r="D14" s="28" t="str">
        <x:v>all_shared</x:v>
      </x:c>
      <x:c r="E14" s="28" t="str">
        <x:v>support_cost_allocate_once_no_curve</x:v>
      </x:c>
      <x:c r="F14" s="28" t="str">
        <x:v>not_applicable</x:v>
      </x:c>
      <x:c r="G14" s="28" t="str">
        <x:v>post_damage_repair_scope</x:v>
      </x:c>
      <x:c r="H14" s="28" t="str">
        <x:v>claims/site allocation rule</x:v>
      </x:c>
    </x:row>
    <x:row r="15">
      <x:c r="A15" s="30" t="str">
        <x:v>SUPPORT_TRANSPORT_LOGISTICS</x:v>
      </x:c>
      <x:c r="B15" s="30" t="str">
        <x:v>SUPPORT</x:v>
      </x:c>
      <x:c r="C15" s="30" t="str">
        <x:v>TRANSPORT_CRANE_AND_REPLACEMENT_LOGISTICS</x:v>
      </x:c>
      <x:c r="D15" s="30" t="str">
        <x:v>all_shared</x:v>
      </x:c>
      <x:c r="E15" s="30" t="str">
        <x:v>support_cost_allocate_once_no_curve</x:v>
      </x:c>
      <x:c r="F15" s="30" t="str">
        <x:v>not_applicable</x:v>
      </x:c>
      <x:c r="G15" s="30" t="str">
        <x:v>post_damage_replacement_scope</x:v>
      </x:c>
      <x:c r="H15" s="30" t="str">
        <x:v>distance, crane, access and replacement rule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54" hidden="0" customWidth="1"/>
    <x:col min="4" max="4" width="24" hidden="0" customWidth="1"/>
    <x:col min="5" max="5" width="20" hidden="0" customWidth="1"/>
    <x:col min="6" max="6" width="18" hidden="0" customWidth="1"/>
    <x:col min="7" max="7" width="22" hidden="0" customWidth="1"/>
    <x:col min="8" max="8" width="60" hidden="0" customWidth="1"/>
  </x:cols>
  <x:sheetData>
    <x:row r="1" ht="26" customHeight="1">
      <x:c r="A1" s="2" t="str">
        <x:v>Numerical candidate audit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Numbers remain in source-native audit context and never become runtime economic DR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Candidate</x:v>
      </x:c>
      <x:c r="B4" s="14" t="str">
        <x:v>Endpoint</x:v>
      </x:c>
      <x:c r="C4" s="14" t="str">
        <x:v>Useful variables/result</x:v>
      </x:c>
      <x:c r="D4" s="14" t="str">
        <x:v>Target match</x:v>
      </x:c>
      <x:c r="E4" s="14" t="str">
        <x:v>Economic endpoint?</x:v>
      </x:c>
      <x:c r="F4" s="14" t="str">
        <x:v>Runtime enabled</x:v>
      </x:c>
      <x:c r="G4" s="14" t="str">
        <x:v>Decision</x:v>
      </x:c>
      <x:c r="H4" s="15" t="str">
        <x:v>Reason</x:v>
      </x:c>
    </x:row>
    <x:row r="5">
      <x:c r="A5" s="27" t="str">
        <x:v>Repeated simulated hail ice</x:v>
      </x:c>
      <x:c r="B5" s="27" t="str">
        <x:v>GFRP coupon mass/optical/SEM response</x:v>
      </x:c>
      <x:c r="C5" s="27" t="str">
        <x:v>5–20 mm; 50–95 m/s test matrix</x:v>
      </x:c>
      <x:c r="D5" s="27" t="str">
        <x:v>partial</x:v>
      </x:c>
      <x:c r="E5" s="27" t="str">
        <x:v>no</x:v>
      </x:c>
      <x:c r="F5" s="56" t="b">
        <x:v>0</x:v>
      </x:c>
      <x:c r="G5" s="27" t="str">
        <x:v>candidate only</x:v>
      </x:c>
      <x:c r="H5" s="27" t="str">
        <x:v>Coupon/repeated-impact state is not field disposition/cost</x:v>
      </x:c>
    </x:row>
    <x:row r="6">
      <x:c r="A6" s="28" t="str">
        <x:v>Blade impingement simulation</x:v>
      </x:c>
      <x:c r="B6" s="28" t="str">
        <x:v>Particle impact/delamination ratio on one 1.5-MW blade</x:v>
      </x:c>
      <x:c r="C6" s="28" t="str">
        <x:v>Relative velocity, angle, radial position, material</x:v>
      </x:c>
      <x:c r="D6" s="28" t="str">
        <x:v>partial</x:v>
      </x:c>
      <x:c r="E6" s="28" t="str">
        <x:v>no</x:v>
      </x:c>
      <x:c r="F6" s="29" t="b">
        <x:v>0</x:v>
      </x:c>
      <x:c r="G6" s="28" t="str">
        <x:v>candidate only</x:v>
      </x:c>
      <x:c r="H6" s="28" t="str">
        <x:v>Paper damage ratio is not economic DR</x:v>
      </x:c>
    </x:row>
    <x:row r="7">
      <x:c r="A7" s="28" t="str">
        <x:v>Pryor/Barthelmie ADF</x:v>
      </x:c>
      <x:c r="B7" s="28" t="str">
        <x:v>Mixed rain/hail cumulative coating lifetime</x:v>
      </x:c>
      <x:c r="C7" s="28" t="str">
        <x:v>Episodic impact stress and hail contribution</x:v>
      </x:c>
      <x:c r="D7" s="28" t="str">
        <x:v>asset yes; temporal no</x:v>
      </x:c>
      <x:c r="E7" s="28" t="str">
        <x:v>no</x:v>
      </x:c>
      <x:c r="F7" s="29" t="b">
        <x:v>0</x:v>
      </x:c>
      <x:c r="G7" s="28" t="str">
        <x:v>adjacent only</x:v>
      </x:c>
      <x:c r="H7" s="28" t="str">
        <x:v>Lifetime degradation is not occurrence destruction</x:v>
      </x:c>
    </x:row>
    <x:row r="8">
      <x:c r="A8" s="28" t="str">
        <x:v>Leading-edge classification</x:v>
      </x:c>
      <x:c r="B8" s="28" t="str">
        <x:v>Visual/mass/aero/structural state dimensions</x:v>
      </x:c>
      <x:c r="C8" s="28" t="str">
        <x:v>Candidate inspected-state vocabulary</x:v>
      </x:c>
      <x:c r="D8" s="28" t="str">
        <x:v>partial</x:v>
      </x:c>
      <x:c r="E8" s="28" t="str">
        <x:v>no</x:v>
      </x:c>
      <x:c r="F8" s="29" t="b">
        <x:v>0</x:v>
      </x:c>
      <x:c r="G8" s="28" t="str">
        <x:v>candidate only</x:v>
      </x:c>
      <x:c r="H8" s="28" t="str">
        <x:v>No hail probabilities or costs</x:v>
      </x:c>
    </x:row>
    <x:row r="9">
      <x:c r="A9" s="28" t="str">
        <x:v>Generic blade repair costs</x:v>
      </x:c>
      <x:c r="B9" s="28" t="str">
        <x:v>Mixed-cause repair anatomy</x:v>
      </x:c>
      <x:c r="C9" s="28" t="str">
        <x:v>Materials, labor, access, transport, downtime</x:v>
      </x:c>
      <x:c r="D9" s="28" t="str">
        <x:v>partial</x:v>
      </x:c>
      <x:c r="E9" s="28" t="str">
        <x:v>partial/mixed</x:v>
      </x:c>
      <x:c r="F9" s="29" t="b">
        <x:v>0</x:v>
      </x:c>
      <x:c r="G9" s="28" t="str">
        <x:v>pressure test only</x:v>
      </x:c>
      <x:c r="H9" s="28" t="str">
        <x:v>No hail-conditioned state mapping; downtime excluded</x:v>
      </x:c>
    </x:row>
    <x:row r="10">
      <x:c r="A10" s="30" t="str">
        <x:v>Legacy alleged wind hail MDR</x:v>
      </x:c>
      <x:c r="B10" s="30" t="str">
        <x:v>Real Estate_Hail array mislabeled as wind</x:v>
      </x:c>
      <x:c r="C10" s="30" t="str">
        <x:v>Wrong asset, source identity, units and extension</x:v>
      </x:c>
      <x:c r="D10" s="30" t="str">
        <x:v>none</x:v>
      </x:c>
      <x:c r="E10" s="30" t="str">
        <x:v>wrong</x:v>
      </x:c>
      <x:c r="F10" s="57" t="b">
        <x:v>0</x:v>
      </x:c>
      <x:c r="G10" s="30" t="str">
        <x:v>reject</x:v>
      </x:c>
      <x:c r="H10" s="30" t="str">
        <x:v>Cannot seed shape, threshold, cap or ordinate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56" hidden="0" customWidth="1"/>
  </x:cols>
  <x:sheetData>
    <x:row r="1" ht="26" customHeight="1">
      <x:c r="A1" s="2" t="str">
        <x:v>Site/event adapter</x:v>
      </x:c>
      <x:c r="B1" s="2"/>
      <x:c r="C1" s="2"/>
      <x:c r="D1" s="2"/>
      <x:c r="E1" s="2"/>
      <x:c r="F1" s="2"/>
      <x:c r="G1" s="2"/>
    </x:row>
    <x:row r="2" ht="22" customHeight="1">
      <x:c r="A2" s="4" t="str">
        <x:v>One causal treatment per field; unknown protection or exposure never earns credit</x:v>
      </x:c>
      <x:c r="B2" s="4"/>
      <x:c r="C2" s="4"/>
      <x:c r="D2" s="4"/>
      <x:c r="E2" s="4"/>
      <x:c r="F2" s="4"/>
      <x:c r="G2" s="4"/>
    </x:row>
    <x:row r="4">
      <x:c r="A4" s="13" t="str">
        <x:v>Field/group</x:v>
      </x:c>
      <x:c r="B4" s="14" t="str">
        <x:v>Role</x:v>
      </x:c>
      <x:c r="C4" s="14" t="str">
        <x:v>Examples</x:v>
      </x:c>
      <x:c r="D4" s="14" t="str">
        <x:v>Required future?</x:v>
      </x:c>
      <x:c r="E4" s="14" t="str">
        <x:v>v0.1 behavior</x:v>
      </x:c>
      <x:c r="F4" s="14" t="str">
        <x:v>Missing/default</x:v>
      </x:c>
      <x:c r="G4" s="15" t="str">
        <x:v>Double-count guardrail</x:v>
      </x:c>
    </x:row>
    <x:row r="5">
      <x:c r="A5" s="27" t="str">
        <x:v>Identity</x:v>
      </x:c>
      <x:c r="B5" s="27" t="str">
        <x:v>pathway/event</x:v>
      </x:c>
      <x:c r="C5" s="27" t="str">
        <x:v>event_id, event_family_id, pathway_id</x:v>
      </x:c>
      <x:c r="D5" s="27" t="str">
        <x:v>yes</x:v>
      </x:c>
      <x:c r="E5" s="27" t="str">
        <x:v>validate only</x:v>
      </x:c>
      <x:c r="F5" s="27" t="str">
        <x:v>reject/withhold</x:v>
      </x:c>
      <x:c r="G5" s="27" t="str">
        <x:v>Never infer pathway from storm/intensity</x:v>
      </x:c>
    </x:row>
    <x:row r="6">
      <x:c r="A6" s="28" t="str">
        <x:v>Source hail</x:v>
      </x:c>
      <x:c r="B6" s="28" t="str">
        <x:v>bridge inputs</x:v>
      </x:c>
      <x:c r="C6" s="28" t="str">
        <x:v>observed diameter, MESH, swath, time</x:v>
      </x:c>
      <x:c r="D6" s="28" t="str">
        <x:v>yes</x:v>
      </x:c>
      <x:c r="E6" s="28" t="str">
        <x:v>capture only</x:v>
      </x:c>
      <x:c r="F6" s="28" t="str">
        <x:v>no interchange/default</x:v>
      </x:c>
      <x:c r="G6" s="28" t="str">
        <x:v>Do not reapply diameter after derived demand</x:v>
      </x:c>
    </x:row>
    <x:row r="7">
      <x:c r="A7" s="28" t="str">
        <x:v>Hydrometeor history</x:v>
      </x:c>
      <x:c r="B7" s="28" t="str">
        <x:v>bridge inputs</x:v>
      </x:c>
      <x:c r="C7" s="28" t="str">
        <x:v>distribution, count/flux, density, duration</x:v>
      </x:c>
      <x:c r="D7" s="28" t="str">
        <x:v>yes</x:v>
      </x:c>
      <x:c r="E7" s="28" t="str">
        <x:v>capture only</x:v>
      </x:c>
      <x:c r="F7" s="28" t="str">
        <x:v>withhold</x:v>
      </x:c>
      <x:c r="G7" s="28" t="str">
        <x:v>No maximum-size-only shortcut</x:v>
      </x:c>
    </x:row>
    <x:row r="8">
      <x:c r="A8" s="28" t="str">
        <x:v>Wind/trajectory</x:v>
      </x:c>
      <x:c r="B8" s="28" t="str">
        <x:v>bridge inputs</x:v>
      </x:c>
      <x:c r="C8" s="28" t="str">
        <x:v>wind vector, height/time basis</x:v>
      </x:c>
      <x:c r="D8" s="28" t="str">
        <x:v>yes</x:v>
      </x:c>
      <x:c r="E8" s="28" t="str">
        <x:v>capture only</x:v>
      </x:c>
      <x:c r="F8" s="28" t="str">
        <x:v>withhold</x:v>
      </x:c>
      <x:c r="G8" s="28" t="str">
        <x:v>One qualified trajectory model</x:v>
      </x:c>
    </x:row>
    <x:row r="9">
      <x:c r="A9" s="28" t="str">
        <x:v>Blade/turbine identity</x:v>
      </x:c>
      <x:c r="B9" s="28" t="str">
        <x:v>selector</x:v>
      </x:c>
      <x:c r="C9" s="28" t="str">
        <x:v>blade/OEM, LEP, laminate, geometry, vintage</x:v>
      </x:c>
      <x:c r="D9" s="28" t="str">
        <x:v>yes</x:v>
      </x:c>
      <x:c r="E9" s="28" t="str">
        <x:v>capture only</x:v>
      </x:c>
      <x:c r="F9" s="28" t="str">
        <x:v>unknown no curve</x:v>
      </x:c>
      <x:c r="G9" s="28" t="str">
        <x:v>No family fallback</x:v>
      </x:c>
    </x:row>
    <x:row r="10">
      <x:c r="A10" s="28" t="str">
        <x:v>Rotor/control state</x:v>
      </x:c>
      <x:c r="B10" s="28" t="str">
        <x:v>conditioner</x:v>
      </x:c>
      <x:c r="C10" s="28" t="str">
        <x:v>rpm, operating, pitch/azimuth, shutdown attained</x:v>
      </x:c>
      <x:c r="D10" s="28" t="str">
        <x:v>yes</x:v>
      </x:c>
      <x:c r="E10" s="28" t="str">
        <x:v>capture only</x:v>
      </x:c>
      <x:c r="F10" s="28" t="str">
        <x:v>unknown no credit</x:v>
      </x:c>
      <x:c r="G10" s="28" t="str">
        <x:v>Feed bridge once; no extra state multiplier</x:v>
      </x:c>
    </x:row>
    <x:row r="11">
      <x:c r="A11" s="28" t="str">
        <x:v>Delivered demand</x:v>
      </x:c>
      <x:c r="B11" s="28" t="str">
        <x:v>derived exposure</x:v>
      </x:c>
      <x:c r="C11" s="28" t="str">
        <x:v>contact energy and strike history by blade zone</x:v>
      </x:c>
      <x:c r="D11" s="28" t="str">
        <x:v>yes</x:v>
      </x:c>
      <x:c r="E11" s="28" t="str">
        <x:v>disabled</x:v>
      </x:c>
      <x:c r="F11" s="28" t="str">
        <x:v>withhold</x:v>
      </x:c>
      <x:c r="G11" s="28" t="str">
        <x:v>Do not mix with source diameter curve</x:v>
      </x:c>
    </x:row>
    <x:row r="12">
      <x:c r="A12" s="28" t="str">
        <x:v>Turbine exposure</x:v>
      </x:c>
      <x:c r="B12" s="28" t="str">
        <x:v>subject geometry</x:v>
      </x:c>
      <x:c r="C12" s="28" t="str">
        <x:v>per-turbine point/rotor intersection</x:v>
      </x:c>
      <x:c r="D12" s="28" t="str">
        <x:v>yes</x:v>
      </x:c>
      <x:c r="E12" s="28" t="str">
        <x:v>capture only</x:v>
      </x:c>
      <x:c r="F12" s="28" t="str">
        <x:v>no lease default</x:v>
      </x:c>
      <x:c r="G12" s="28" t="str">
        <x:v>Do not multiply by farm fraction twice</x:v>
      </x:c>
    </x:row>
    <x:row r="13">
      <x:c r="A13" s="28" t="str">
        <x:v>BOP exposure</x:v>
      </x:c>
      <x:c r="B13" s="28" t="str">
        <x:v>subject geometry</x:v>
      </x:c>
      <x:c r="C13" s="28" t="str">
        <x:v>pad point, collection network, GSU yard</x:v>
      </x:c>
      <x:c r="D13" s="28" t="str">
        <x:v>yes</x:v>
      </x:c>
      <x:c r="E13" s="28" t="str">
        <x:v>capture only</x:v>
      </x:c>
      <x:c r="F13" s="28" t="str">
        <x:v>withhold</x:v>
      </x:c>
      <x:c r="G13" s="28" t="str">
        <x:v>Never model BOP as one extra turbine</x:v>
      </x:c>
    </x:row>
    <x:row r="14">
      <x:c r="A14" s="30" t="str">
        <x:v>Value/support</x:v>
      </x:c>
      <x:c r="B14" s="30" t="str">
        <x:v>value/allocation</x:v>
      </x:c>
      <x:c r="C14" s="30" t="str">
        <x:v>same-unit value; fieldwork/transport once</x:v>
      </x:c>
      <x:c r="D14" s="30" t="str">
        <x:v>yes</x:v>
      </x:c>
      <x:c r="E14" s="30" t="str">
        <x:v>reference only</x:v>
      </x:c>
      <x:c r="F14" s="30" t="str">
        <x:v>withhold loss</x:v>
      </x:c>
      <x:c r="G14" s="30" t="str">
        <x:v>No support DR plus scaling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0" hidden="0" customWidth="1"/>
    <x:col min="4" max="4" width="54" hidden="0" customWidth="1"/>
    <x:col min="5" max="5" width="26" hidden="0" customWidth="1"/>
    <x:col min="6" max="6" width="42" hidden="0" customWidth="1"/>
    <x:col min="7" max="7" width="52" hidden="0" customWidth="1"/>
    <x:col min="8" max="8" width="34" hidden="0" customWidth="1"/>
  </x:cols>
  <x:sheetData>
    <x:row r="1" ht="26" customHeight="1">
      <x:c r="A1" s="2" t="str">
        <x:v>Legacy and neighboring-material audit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Legacy input is evidence to audit, not authority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Item</x:v>
      </x:c>
      <x:c r="B4" s="14" t="str">
        <x:v>Origin</x:v>
      </x:c>
      <x:c r="C4" s="14" t="str">
        <x:v>Check</x:v>
      </x:c>
      <x:c r="D4" s="14" t="str">
        <x:v>Result</x:v>
      </x:c>
      <x:c r="E4" s="14" t="str">
        <x:v>Runtime disposition</x:v>
      </x:c>
      <x:c r="F4" s="14" t="str">
        <x:v>Permitted reuse</x:v>
      </x:c>
      <x:c r="G4" s="14" t="str">
        <x:v>Prohibited reuse</x:v>
      </x:c>
      <x:c r="H4" s="15" t="str">
        <x:v>Update trigger</x:v>
      </x:c>
    </x:row>
    <x:row r="5">
      <x:c r="A5" s="27" t="str">
        <x:v>Hazard hail-wind plan</x:v>
      </x:c>
      <x:c r="B5" s="27" t="str">
        <x:v>Hazard_modeling pinned plan/discussion</x:v>
      </x:c>
      <x:c r="C5" s="27" t="str">
        <x:v>geometry and status</x:v>
      </x:c>
      <x:c r="D5" s="27" t="str">
        <x:v>per-turbine point/BOP separation; M3 experimental</x:v>
      </x:c>
      <x:c r="E5" s="27" t="str">
        <x:v>adopt boundary only</x:v>
      </x:c>
      <x:c r="F5" s="27" t="str">
        <x:v>consumer geometry/event identity</x:v>
      </x:c>
      <x:c r="G5" s="27" t="str">
        <x:v>scientific calibration or equal-value default</x:v>
      </x:c>
      <x:c r="H5" s="27" t="str">
        <x:v>exact site/consumer implementation</x:v>
      </x:c>
    </x:row>
    <x:row r="6">
      <x:c r="A6" s="28" t="str">
        <x:v>Alleged wind MDR</x:v>
      </x:c>
      <x:c r="B6" s="28" t="str">
        <x:v>Learning summary</x:v>
      </x:c>
      <x:c r="C6" s="28" t="str">
        <x:v>asset/citation identity</x:v>
      </x:c>
      <x:c r="D6" s="28" t="str">
        <x:v>actually buildings/cars Real Estate_Hail</x:v>
      </x:c>
      <x:c r="E6" s="28" t="str">
        <x:v>reject</x:v>
      </x:c>
      <x:c r="F6" s="28" t="str">
        <x:v>negative regression only</x:v>
      </x:c>
      <x:c r="G6" s="28" t="str">
        <x:v>all ordinates/shapes/thresholds/caps</x:v>
      </x:c>
      <x:c r="H6" s="28" t="str">
        <x:v>none; use new evidence</x:v>
      </x:c>
    </x:row>
    <x:row r="7">
      <x:c r="A7" s="28" t="str">
        <x:v>Legacy intensity grid</x:v>
      </x:c>
      <x:c r="B7" s="28" t="str">
        <x:v>deprecated table vs Learning</x:v>
      </x:c>
      <x:c r="C7" s="28" t="str">
        <x:v>unit conversion</x:v>
      </x:c>
      <x:c r="D7" s="28" t="str">
        <x:v>0–4 cm became approx. 0–1.57 in but labeled through 4 in</x:v>
      </x:c>
      <x:c r="E7" s="28" t="str">
        <x:v>reject</x:v>
      </x:c>
      <x:c r="F7" s="28" t="str">
        <x:v>migration warning</x:v>
      </x:c>
      <x:c r="G7" s="28" t="str">
        <x:v>unit or threshold reuse</x:v>
      </x:c>
      <x:c r="H7" s="28" t="str">
        <x:v>none</x:v>
      </x:c>
    </x:row>
    <x:row r="8">
      <x:c r="A8" s="28" t="str">
        <x:v>Legacy high-end plateau</x:v>
      </x:c>
      <x:c r="B8" s="28" t="str">
        <x:v>deprecated extension</x:v>
      </x:c>
      <x:c r="C8" s="28" t="str">
        <x:v>source-domain check</x:v>
      </x:c>
      <x:c r="D8" s="28" t="str">
        <x:v>5.78% extended beyond converted source grid</x:v>
      </x:c>
      <x:c r="E8" s="28" t="str">
        <x:v>reject</x:v>
      </x:c>
      <x:c r="F8" s="28" t="str">
        <x:v>negative regression only</x:v>
      </x:c>
      <x:c r="G8" s="28" t="str">
        <x:v>cap/asymptote reuse</x:v>
      </x:c>
      <x:c r="H8" s="28" t="str">
        <x:v>none</x:v>
      </x:c>
    </x:row>
    <x:row r="9">
      <x:c r="A9" s="28" t="str">
        <x:v>Solar hail curve</x:v>
      </x:c>
      <x:c r="B9" s="28" t="str">
        <x:v>hail_solar current</x:v>
      </x:c>
      <x:c r="C9" s="28" t="str">
        <x:v>endpoint/asset transfer</x:v>
      </x:c>
      <x:c r="D9" s="28" t="str">
        <x:v>PV glass/cell and dense array mismatch</x:v>
      </x:c>
      <x:c r="E9" s="28" t="str">
        <x:v>reject fallback</x:v>
      </x:c>
      <x:c r="F9" s="28" t="str">
        <x:v>source hail semantics after review</x:v>
      </x:c>
      <x:c r="G9" s="28" t="str">
        <x:v>numeric curve or stow adjustment</x:v>
      </x:c>
      <x:c r="H9" s="28" t="str">
        <x:v>exact transfer evidence</x:v>
      </x:c>
    </x:row>
    <x:row r="10">
      <x:c r="A10" s="30" t="str">
        <x:v>Chronic ADF</x:v>
      </x:c>
      <x:c r="B10" s="30" t="str">
        <x:v>public reproducible research</x:v>
      </x:c>
      <x:c r="C10" s="30" t="str">
        <x:v>temporal/endpoint transfer</x:v>
      </x:c>
      <x:c r="D10" s="30" t="str">
        <x:v>lifetime coating degradation not occurrence cost</x:v>
      </x:c>
      <x:c r="E10" s="30" t="str">
        <x:v>adjacent only</x:v>
      </x:c>
      <x:c r="F10" s="30" t="str">
        <x:v>future degradation work</x:v>
      </x:c>
      <x:c r="G10" s="30" t="str">
        <x:v>single-event DR</x:v>
      </x:c>
      <x:c r="H10" s="30" t="str">
        <x:v>separate governed pathway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4" hidden="0" customWidth="1"/>
    <x:col min="3" max="3" width="24" hidden="0" customWidth="1"/>
    <x:col min="4" max="4" width="28" hidden="0" customWidth="1"/>
    <x:col min="5" max="5" width="38" hidden="0" customWidth="1"/>
    <x:col min="6" max="6" width="32" hidden="0" customWidth="1"/>
    <x:col min="7" max="7" width="30" hidden="0" customWidth="1"/>
    <x:col min="8" max="8" width="20" hidden="0" customWidth="1"/>
    <x:col min="9" max="9" width="54" hidden="0" customWidth="1"/>
    <x:col min="10" max="10" width="54" hidden="0" customWidth="1"/>
    <x:col min="11" max="11" width="40" hidden="0" customWidth="1"/>
  </x:cols>
  <x:sheetData>
    <x:row r="1" ht="26" customHeight="1">
      <x:c r="A1" s="2" t="str">
        <x:v>Claim and parameter provenance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4" t="str">
        <x:v>Every load-bearing claim has sources, locator, transfer limits, decision, and trigger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13" t="str">
        <x:v>Claim ID</x:v>
      </x:c>
      <x:c r="B4" s="14" t="str">
        <x:v>Claim</x:v>
      </x:c>
      <x:c r="C4" s="14" t="str">
        <x:v>Type</x:v>
      </x:c>
      <x:c r="D4" s="14" t="str">
        <x:v>Source IDs</x:v>
      </x:c>
      <x:c r="E4" s="14" t="str">
        <x:v>Locator</x:v>
      </x:c>
      <x:c r="F4" s="14" t="str">
        <x:v>Tier</x:v>
      </x:c>
      <x:c r="G4" s="14" t="str">
        <x:v>Rule</x:v>
      </x:c>
      <x:c r="H4" s="14" t="str">
        <x:v>Status</x:v>
      </x:c>
      <x:c r="I4" s="14" t="str">
        <x:v>Permitted inference</x:v>
      </x:c>
      <x:c r="J4" s="14" t="str">
        <x:v>Prohibited inference</x:v>
      </x:c>
      <x:c r="K4" s="15" t="str">
        <x:v>Update trigger</x:v>
      </x:c>
    </x:row>
    <x:row r="5">
      <x:c r="A5" s="27" t="str">
        <x:v>HW-C001</x:v>
      </x:c>
      <x:c r="B5" s="27" t="str">
        <x:v>Hail impact is a separate pathway and cannot fall back to solar hail, convective wind, tornado, lightning, rain erosion, ice, or flood response.</x:v>
      </x:c>
      <x:c r="C5" s="27" t="str">
        <x:v>governance_decision</x:v>
      </x:c>
      <x:c r="D5" s="27" t="str">
        <x:v>GOVERNANCE_CONTRACT;HW-S017</x:v>
      </x:c>
      <x:c r="E5" s="27" t="str">
        <x:v>pathway and Hazard boundary records</x:v>
      </x:c>
      <x:c r="F5" s="27" t="str">
        <x:v>T4_placeholder_or_expert_judgment</x:v>
      </x:c>
      <x:c r="G5" s="27" t="str">
        <x:v>pathway_id=hail_impact</x:v>
      </x:c>
      <x:c r="H5" s="27" t="str">
        <x:v>adopt</x:v>
      </x:c>
      <x:c r="I5" s="27" t="str">
        <x:v>Reuse only shared asset/value anatomy after transfer review.</x:v>
      </x:c>
      <x:c r="J5" s="27" t="str">
        <x:v>Reuse neighboring numerical response because the event is one thunderstorm.</x:v>
      </x:c>
      <x:c r="K5" s="27" t="str">
        <x:v>A governed pathway redesign and exact equivalence review pass.</x:v>
      </x:c>
    </x:row>
    <x:row r="6">
      <x:c r="A6" s="28" t="str">
        <x:v>HW-C002</x:v>
      </x:c>
      <x:c r="B6" s="28" t="str">
        <x:v>Observed hail size is reported as diameter and MRMS MESH is a radar-estimated maximum-size product.</x:v>
      </x:c>
      <x:c r="C6" s="28" t="str">
        <x:v>direct_observation</x:v>
      </x:c>
      <x:c r="D6" s="28" t="str">
        <x:v>HW-S001;HW-S002</x:v>
      </x:c>
      <x:c r="E6" s="28" t="str">
        <x:v>NWS glossary; NSSL MESH description and tables</x:v>
      </x:c>
      <x:c r="F6" s="28" t="str">
        <x:v>T2_public_lab_standard_or_physics</x:v>
      </x:c>
      <x:c r="G6" s="28" t="str">
        <x:v>source_hail_semantics</x:v>
      </x:c>
      <x:c r="H6" s="28" t="str">
        <x:v>adopt</x:v>
      </x:c>
      <x:c r="I6" s="28" t="str">
        <x:v>Capture source product, time, units, and observation-versus-estimate basis.</x:v>
      </x:c>
      <x:c r="J6" s="28" t="str">
        <x:v>Treat observed diameter and MESH as interchangeable or as blade demand.</x:v>
      </x:c>
      <x:c r="K6" s="28" t="str">
        <x:v>NOAA product definition changes or a new governed product enters.</x:v>
      </x:c>
    </x:row>
    <x:row r="7">
      <x:c r="A7" s="28" t="str">
        <x:v>HW-C003</x:v>
      </x:c>
      <x:c r="B7" s="28" t="str">
        <x:v>Blade hail demand depends on diameter, relative velocity, impact angle, count/history, material, and blade section.</x:v>
      </x:c>
      <x:c r="C7" s="28" t="str">
        <x:v>source_interpretation</x:v>
      </x:c>
      <x:c r="D7" s="28" t="str">
        <x:v>HW-S003;HW-S004;HW-S005;HW-S008</x:v>
      </x:c>
      <x:c r="E7" s="28" t="str">
        <x:v>lab/simulation and review methods/results</x:v>
      </x:c>
      <x:c r="F7" s="28" t="str">
        <x:v>T2_public_lab_standard_or_physics</x:v>
      </x:c>
      <x:c r="G7" s="28" t="str">
        <x:v>delivered_demand_bridge_inputs</x:v>
      </x:c>
      <x:c r="H7" s="28" t="str">
        <x:v>adopt</x:v>
      </x:c>
      <x:c r="I7" s="28" t="str">
        <x:v>Require these variables or a validated reduced-order representation.</x:v>
      </x:c>
      <x:c r="J7" s="28" t="str">
        <x:v>Use diameter alone as a generic blade-response axis.</x:v>
      </x:c>
      <x:c r="K7" s="28" t="str">
        <x:v>A validated simpler bridge proves sufficiency.</x:v>
      </x:c>
    </x:row>
    <x:row r="8">
      <x:c r="A8" s="28" t="str">
        <x:v>HW-C004</x:v>
      </x:c>
      <x:c r="B8" s="28" t="str">
        <x:v>Rotor/tip speed and event operating state affect relative impact velocity and therefore belong in the demand bridge/conditioner contract.</x:v>
      </x:c>
      <x:c r="C8" s="28" t="str">
        <x:v>source_interpretation</x:v>
      </x:c>
      <x:c r="D8" s="28" t="str">
        <x:v>HW-S004;HW-S005;HW-S006</x:v>
      </x:c>
      <x:c r="E8" s="28" t="str">
        <x:v>impact/erosion methods and blade-lifetime workflow</x:v>
      </x:c>
      <x:c r="F8" s="28" t="str">
        <x:v>T3_engineering_proxy_or_adjacent_empirical</x:v>
      </x:c>
      <x:c r="G8" s="28" t="str">
        <x:v>rotor_state_and_kinematics</x:v>
      </x:c>
      <x:c r="H8" s="28" t="str">
        <x:v>adopt</x:v>
      </x:c>
      <x:c r="I8" s="28" t="str">
        <x:v>Capture measured/reconstructed rotor, pitch, azimuth, and operating state.</x:v>
      </x:c>
      <x:c r="J8" s="28" t="str">
        <x:v>Give unknown shutdown or parked state automatic resilience credit.</x:v>
      </x:c>
      <x:c r="K8" s="28" t="str">
        <x:v>Product-specific experiments quantify a reviewed effect.</x:v>
      </x:c>
    </x:row>
    <x:row r="9">
      <x:c r="A9" s="28" t="str">
        <x:v>HW-C005</x:v>
      </x:c>
      <x:c r="B9" s="28" t="str">
        <x:v>Repeated simulated hail can cause microscopic/material damage at larger diameters and higher velocities while smaller prevalent stones show little notable mass/optical damage in the tested coupons.</x:v>
      </x:c>
      <x:c r="C9" s="28" t="str">
        <x:v>direct_observation</x:v>
      </x:c>
      <x:c r="D9" s="28" t="str">
        <x:v>HW-S003</x:v>
      </x:c>
      <x:c r="E9" s="28" t="str">
        <x:v>abstract; results; Table 1/Figure 10; conclusions</x:v>
      </x:c>
      <x:c r="F9" s="28" t="str">
        <x:v>T2_public_lab_standard_or_physics</x:v>
      </x:c>
      <x:c r="G9" s="28" t="str">
        <x:v>candidate_material_response</x:v>
      </x:c>
      <x:c r="H9" s="28" t="str">
        <x:v>retain_candidate_only</x:v>
      </x:c>
      <x:c r="I9" s="28" t="str">
        <x:v>Constrain plausible mechanisms and research test design.</x:v>
      </x:c>
      <x:c r="J9" s="28" t="str">
        <x:v>Transfer coupon thresholds to field turbines or economic DR.</x:v>
      </x:c>
      <x:c r="K9" s="28" t="str">
        <x:v>Matched product-specific field/lab and cost evidence becomes available.</x:v>
      </x:c>
    </x:row>
    <x:row r="10">
      <x:c r="A10" s="28" t="str">
        <x:v>HW-C006</x:v>
      </x:c>
      <x:c r="B10" s="28" t="str">
        <x:v>Fiore et al. find blade-section impact/delamination sensitivity for one legacy blade/material simulation.</x:v>
      </x:c>
      <x:c r="C10" s="28" t="str">
        <x:v>source_interpretation</x:v>
      </x:c>
      <x:c r="D10" s="28" t="str">
        <x:v>HW-S005</x:v>
      </x:c>
      <x:c r="E10" s="28" t="str">
        <x:v>sections III.B-III.C; results; Table 6</x:v>
      </x:c>
      <x:c r="F10" s="28" t="str">
        <x:v>T3_engineering_proxy_or_adjacent_empirical</x:v>
      </x:c>
      <x:c r="G10" s="28" t="str">
        <x:v>candidate_geometry_bridge</x:v>
      </x:c>
      <x:c r="H10" s="28" t="str">
        <x:v>retain_candidate_only</x:v>
      </x:c>
      <x:c r="I10" s="28" t="str">
        <x:v>Use radial position/material/angle as candidate bridge requirements.</x:v>
      </x:c>
      <x:c r="J10" s="28" t="str">
        <x:v>Use the paper's particle damage ratio as economic DR or a generic field curve.</x:v>
      </x:c>
      <x:c r="K10" s="28" t="str">
        <x:v>Independent field validation and same-unit cost mapping pass.</x:v>
      </x:c>
    </x:row>
    <x:row r="11">
      <x:c r="A11" s="28" t="str">
        <x:v>HW-C007</x:v>
      </x:c>
      <x:c r="B11" s="28" t="str">
        <x:v>Recent public ADF research predicts cumulative coating life from mixed rain and hail, not one-event direct replacement-cost ratio.</x:v>
      </x:c>
      <x:c r="C11" s="28" t="str">
        <x:v>source_interpretation</x:v>
      </x:c>
      <x:c r="D11" s="28" t="str">
        <x:v>HW-S006;HW-S007;HW-S009</x:v>
      </x:c>
      <x:c r="E11" s="28" t="str">
        <x:v>workflow, coating lifetime results, data/code, and limitations</x:v>
      </x:c>
      <x:c r="F11" s="28" t="str">
        <x:v>T3_engineering_proxy_or_adjacent_empirical</x:v>
      </x:c>
      <x:c r="G11" s="28" t="str">
        <x:v>chronic_pathway_boundary</x:v>
      </x:c>
      <x:c r="H11" s="28" t="str">
        <x:v>adopt</x:v>
      </x:c>
      <x:c r="I11" s="28" t="str">
        <x:v>Retain as adjacent degradation evidence and future pathway input.</x:v>
      </x:c>
      <x:c r="J11" s="28" t="str">
        <x:v>Collapse lifetime ADF to occurrence DR or attribute mixed degradation to one hail event.</x:v>
      </x:c>
      <x:c r="K11" s="28" t="str">
        <x:v>A governed degradation capability or event-attribution model is approved.</x:v>
      </x:c>
    </x:row>
    <x:row r="12">
      <x:c r="A12" s="28" t="str">
        <x:v>HW-C008</x:v>
      </x:c>
      <x:c r="B12" s="28" t="str">
        <x:v>Leading-edge classification provides candidate condition dimensions but no hail-conditioned state probabilities or costs.</x:v>
      </x:c>
      <x:c r="C12" s="28" t="str">
        <x:v>source_interpretation</x:v>
      </x:c>
      <x:c r="D12" s="28" t="str">
        <x:v>HW-S010</x:v>
      </x:c>
      <x:c r="E12" s="28" t="str">
        <x:v>classification dimensions</x:v>
      </x:c>
      <x:c r="F12" s="28" t="str">
        <x:v>T3_engineering_proxy_or_adjacent_empirical</x:v>
      </x:c>
      <x:c r="G12" s="28" t="str">
        <x:v>candidate_state_vocabulary</x:v>
      </x:c>
      <x:c r="H12" s="28" t="str">
        <x:v>adopt_with_limits</x:v>
      </x:c>
      <x:c r="I12" s="28" t="str">
        <x:v>Design inspected state definitions and evidence collection.</x:v>
      </x:c>
      <x:c r="J12" s="28" t="str">
        <x:v>Populate probability or economic ordinates directly.</x:v>
      </x:c>
      <x:c r="K12" s="28" t="str">
        <x:v>Matched hail-event state and cost data are published.</x:v>
      </x:c>
    </x:row>
    <x:row r="13">
      <x:c r="A13" s="28" t="str">
        <x:v>HW-C009</x:v>
      </x:c>
      <x:c r="B13" s="28" t="str">
        <x:v>DNV's public rain-erosion practice explicitly excludes hail damage sources.</x:v>
      </x:c>
      <x:c r="C13" s="28" t="str">
        <x:v>direct_observation</x:v>
      </x:c>
      <x:c r="D13" s="28" t="str">
        <x:v>HW-S011</x:v>
      </x:c>
      <x:c r="E13" s="28" t="str">
        <x:v>public scope and exclusions</x:v>
      </x:c>
      <x:c r="F13" s="28" t="str">
        <x:v>T2_public_lab_standard_or_physics</x:v>
      </x:c>
      <x:c r="G13" s="28" t="str">
        <x:v>rain_to_hail_transfer_guardrail</x:v>
      </x:c>
      <x:c r="H13" s="28" t="str">
        <x:v>adopt</x:v>
      </x:c>
      <x:c r="I13" s="28" t="str">
        <x:v>Prevent silent rain-method transfer.</x:v>
      </x:c>
      <x:c r="J13" s="28" t="str">
        <x:v>Use DNV rain durability as hail response.</x:v>
      </x:c>
      <x:c r="K13" s="28" t="str">
        <x:v>A hail-specific DNV method is issued and reviewed.</x:v>
      </x:c>
    </x:row>
    <x:row r="14">
      <x:c r="A14" s="28" t="str">
        <x:v>HW-C010</x:v>
      </x:c>
      <x:c r="B14" s="28" t="str">
        <x:v>Generic blade repair literature provides cost anatomy but not hail-conditioned disposition or same-unit cost calibration.</x:v>
      </x:c>
      <x:c r="C14" s="28" t="str">
        <x:v>source_interpretation</x:v>
      </x:c>
      <x:c r="D14" s="28" t="str">
        <x:v>HW-S014</x:v>
      </x:c>
      <x:c r="E14" s="28" t="str">
        <x:v>repair taxonomy and cost equation</x:v>
      </x:c>
      <x:c r="F14" s="28" t="str">
        <x:v>T3_engineering_proxy_or_adjacent_empirical</x:v>
      </x:c>
      <x:c r="G14" s="28" t="str">
        <x:v>cost_anatomy_only</x:v>
      </x:c>
      <x:c r="H14" s="28" t="str">
        <x:v>adopt_with_limits</x:v>
      </x:c>
      <x:c r="I14" s="28" t="str">
        <x:v>Separate materials, labor, access, transport, and excluded downtime in future evidence.</x:v>
      </x:c>
      <x:c r="J14" s="28" t="str">
        <x:v>Use mixed-cause or offshore costs as default hail state ratios.</x:v>
      </x:c>
      <x:c r="K14" s="28" t="str">
        <x:v>Matched onshore hail work orders and SOVs become available.</x:v>
      </x:c>
    </x:row>
    <x:row r="15">
      <x:c r="A15" s="28" t="str">
        <x:v>HW-C011</x:v>
      </x:c>
      <x:c r="B15" s="28" t="str">
        <x:v>The NREL blade manufacturing model may cross-check a declared denominator but is not a hail repair-cost source.</x:v>
      </x:c>
      <x:c r="C15" s="28" t="str">
        <x:v>source_interpretation</x:v>
      </x:c>
      <x:c r="D15" s="28" t="str">
        <x:v>HW-S013</x:v>
      </x:c>
      <x:c r="E15" s="28" t="str">
        <x:v>executive summary and blade cost tables</x:v>
      </x:c>
      <x:c r="F15" s="28" t="str">
        <x:v>T2_public_lab_standard_or_physics</x:v>
      </x:c>
      <x:c r="G15" s="28" t="str">
        <x:v>blade_value_crosscheck</x:v>
      </x:c>
      <x:c r="H15" s="28" t="str">
        <x:v>adopt_with_limits</x:v>
      </x:c>
      <x:c r="I15" s="28" t="str">
        <x:v>Audit blade hardware value for a declared archetype.</x:v>
      </x:c>
      <x:c r="J15" s="28" t="str">
        <x:v>Use manufacturing cost as installed replacement cost or hail loss.</x:v>
      </x:c>
      <x:c r="K15" s="28" t="str">
        <x:v>A site/OEM replacement schedule is supplied.</x:v>
      </x:c>
    </x:row>
    <x:row r="16">
      <x:c r="A16" s="28" t="str">
        <x:v>HW-C012</x:v>
      </x:c>
      <x:c r="B16" s="28" t="str">
        <x:v>The CWER ledger reconciles installed, physical, support, and excluded value but supplies no vulnerability or exposure.</x:v>
      </x:c>
      <x:c r="C16" s="28" t="str">
        <x:v>direct_observation</x:v>
      </x:c>
      <x:c r="D16" s="28" t="str">
        <x:v>HW-S015;NREL_CWER_2024</x:v>
      </x:c>
      <x:c r="E16" s="28" t="str">
        <x:v>Wind_Map rows 2:19 and reference report</x:v>
      </x:c>
      <x:c r="F16" s="28" t="str">
        <x:v>T2_public_lab_standard_or_physics</x:v>
      </x:c>
      <x:c r="G16" s="28" t="str">
        <x:v>value_reference</x:v>
      </x:c>
      <x:c r="H16" s="28" t="str">
        <x:v>adopt_with_limits</x:v>
      </x:c>
      <x:c r="I16" s="28" t="str">
        <x:v>Use the row ledger for anatomy and denominator reconciliation.</x:v>
      </x:c>
      <x:c r="J16" s="28" t="str">
        <x:v>Treat value shares as DR caps, exposure fractions, or site appraisals.</x:v>
      </x:c>
      <x:c r="K16" s="28" t="str">
        <x:v>The reference ledger is revised or a site ledger replaces it.</x:v>
      </x:c>
    </x:row>
    <x:row r="17">
      <x:c r="A17" s="28" t="str">
        <x:v>HW-C013</x:v>
      </x:c>
      <x:c r="B17" s="28" t="str">
        <x:v>Blade hardware is 282 of 1623 physical and 1968 installed 2023 USD/kW in the reference ledger.</x:v>
      </x:c>
      <x:c r="C17" s="28" t="str">
        <x:v>derived_calculation</x:v>
      </x:c>
      <x:c r="D17" s="28" t="str">
        <x:v>HW-S015;NREL_CWER_2024</x:v>
      </x:c>
      <x:c r="E17" s="28" t="str">
        <x:v>Wind_Map row 2 and summary rows</x:v>
      </x:c>
      <x:c r="F17" s="28" t="str">
        <x:v>T2_public_lab_standard_or_physics</x:v>
      </x:c>
      <x:c r="G17" s="28" t="str">
        <x:v>blade_value_share_reference</x:v>
      </x:c>
      <x:c r="H17" s="28" t="str">
        <x:v>adopt_with_limits</x:v>
      </x:c>
      <x:c r="I17" s="28" t="str">
        <x:v>Reconcile reference denominator shares.</x:v>
      </x:c>
      <x:c r="J17" s="28" t="str">
        <x:v>Use 17.375% physical or 14.329% installed as a hail cap/default loss.</x:v>
      </x:c>
      <x:c r="K17" s="28" t="str">
        <x:v>Reference values change or site values are supplied.</x:v>
      </x:c>
    </x:row>
    <x:row r="18">
      <x:c r="A18" s="28" t="str">
        <x:v>HW-C014</x:v>
      </x:c>
      <x:c r="B18" s="28" t="str">
        <x:v>A wind farm is repeated turbine point/rotor subjects plus separately located BOP assets, not one damageable lease polygon.</x:v>
      </x:c>
      <x:c r="C18" s="28" t="str">
        <x:v>governance_decision</x:v>
      </x:c>
      <x:c r="D18" s="28" t="str">
        <x:v>HW-S017</x:v>
      </x:c>
      <x:c r="E18" s="28" t="str">
        <x:v>Hazard plan/discussion geometry sections</x:v>
      </x:c>
      <x:c r="F18" s="28" t="str">
        <x:v>T4_placeholder_or_expert_judgment</x:v>
      </x:c>
      <x:c r="G18" s="28" t="str">
        <x:v>exposure_geometry_rule</x:v>
      </x:c>
      <x:c r="H18" s="28" t="str">
        <x:v>adopt</x:v>
      </x:c>
      <x:c r="I18" s="28" t="str">
        <x:v>Use actual per-turbine and BOP geometry for coupling/value allocation.</x:v>
      </x:c>
      <x:c r="J18" s="28" t="str">
        <x:v>Apply blade DR or hail exposure to all lease value.</x:v>
      </x:c>
      <x:c r="K18" s="28" t="str">
        <x:v>A different exact asset geometry is supplied.</x:v>
      </x:c>
    </x:row>
    <x:row r="19">
      <x:c r="A19" s="28" t="str">
        <x:v>HW-C015</x:v>
      </x:c>
      <x:c r="B19" s="28" t="str">
        <x:v>Unknown BOP geometry, ownership, value, or protection cannot be modeled as one extra turbine or defaulted fully exposed.</x:v>
      </x:c>
      <x:c r="C19" s="28" t="str">
        <x:v>governance_decision</x:v>
      </x:c>
      <x:c r="D19" s="28" t="str">
        <x:v>HW-S017;GOVERNANCE_CONTRACT</x:v>
      </x:c>
      <x:c r="E19" s="28" t="str">
        <x:v>Hazard BOP guidance and site-condition rules</x:v>
      </x:c>
      <x:c r="F19" s="28" t="str">
        <x:v>T4_placeholder_or_expert_judgment</x:v>
      </x:c>
      <x:c r="G19" s="28" t="str">
        <x:v>BOP_missing_state_rule</x:v>
      </x:c>
      <x:c r="H19" s="28" t="str">
        <x:v>adopt</x:v>
      </x:c>
      <x:c r="I19" s="28" t="str">
        <x:v>Withhold BOP loss until exact subject bindings exist.</x:v>
      </x:c>
      <x:c r="J19" s="28" t="str">
        <x:v>Impute turbine vulnerability/geometry to GSU, collection, controls, or civil.</x:v>
      </x:c>
      <x:c r="K19" s="28" t="str">
        <x:v>Site inventory and matched evidence arrive.</x:v>
      </x:c>
    </x:row>
    <x:row r="20">
      <x:c r="A20" s="28" t="str">
        <x:v>HW-C016</x:v>
      </x:c>
      <x:c r="B20" s="28" t="str">
        <x:v>Coating repair, structural repair, and blade replacement require dependency-safe mutually exclusive or nested states.</x:v>
      </x:c>
      <x:c r="C20" s="28" t="str">
        <x:v>engineering_inference</x:v>
      </x:c>
      <x:c r="D20" s="28" t="str">
        <x:v>HW-S010;HW-S014;GOVERNANCE_CONTRACT</x:v>
      </x:c>
      <x:c r="E20" s="28" t="str">
        <x:v>condition classes; repair taxonomy; failure-unit rules</x:v>
      </x:c>
      <x:c r="F20" s="28" t="str">
        <x:v>T3_engineering_proxy_or_adjacent_empirical</x:v>
      </x:c>
      <x:c r="G20" s="28" t="str">
        <x:v>blade_state_dependency_rule</x:v>
      </x:c>
      <x:c r="H20" s="28" t="str">
        <x:v>adopt</x:v>
      </x:c>
      <x:c r="I20" s="28" t="str">
        <x:v>Design one blade assembly state system and charge direct value once.</x:v>
      </x:c>
      <x:c r="J20" s="28" t="str">
        <x:v>Add surface-repair and terminal replacement ratios independently for one blade.</x:v>
      </x:c>
      <x:c r="K20" s="28" t="str">
        <x:v>A finer source-backed denominator/state split is approved.</x:v>
      </x:c>
    </x:row>
    <x:row r="21">
      <x:c r="A21" s="28" t="str">
        <x:v>HW-C017</x:v>
      </x:c>
      <x:c r="B21" s="28" t="str">
        <x:v>No public matched occurrence hail-demand to inspected blade disposition to same-blade direct-cost chain was located within the bounded review.</x:v>
      </x:c>
      <x:c r="C21" s="28" t="str">
        <x:v>bounded_negative_evidence</x:v>
      </x:c>
      <x:c r="D21" s="28" t="str">
        <x:v>BOUNDED_SEARCH_LOG;HW-S016</x:v>
      </x:c>
      <x:c r="E21" s="28" t="str">
        <x:v>search surfaces and results by missing link</x:v>
      </x:c>
      <x:c r="F21" s="28" t="str">
        <x:v>T3_engineering_proxy_or_adjacent_empirical</x:v>
      </x:c>
      <x:c r="G21" s="28" t="str">
        <x:v>NO_RUNTIME_CURVE</x:v>
      </x:c>
      <x:c r="H21" s="28" t="str">
        <x:v>adopt_with_limits</x:v>
      </x:c>
      <x:c r="I21" s="28" t="str">
        <x:v>Support fail-closed v0.1 and prioritize data acquisition.</x:v>
      </x:c>
      <x:c r="J21" s="28" t="str">
        <x:v>Claim universal absence or convert adjacency into calibration.</x:v>
      </x:c>
      <x:c r="K21" s="28" t="str">
        <x:v>A qualifying dataset or governed elicitation is reviewed.</x:v>
      </x:c>
    </x:row>
    <x:row r="22">
      <x:c r="A22" s="28" t="str">
        <x:v>HW-C018</x:v>
      </x:c>
      <x:c r="B22" s="28" t="str">
        <x:v>No hail-specific public disposition/cost chain was located for nacelle, tower fixtures, pad electrical, collection, GSU, control/met, or civil subjects.</x:v>
      </x:c>
      <x:c r="C22" s="28" t="str">
        <x:v>bounded_negative_evidence</x:v>
      </x:c>
      <x:c r="D22" s="28" t="str">
        <x:v>BOUNDED_SEARCH_LOG;HW-S016</x:v>
      </x:c>
      <x:c r="E22" s="28" t="str">
        <x:v>BOP result row and query families</x:v>
      </x:c>
      <x:c r="F22" s="28" t="str">
        <x:v>T3_engineering_proxy_or_adjacent_empirical</x:v>
      </x:c>
      <x:c r="G22" s="28" t="str">
        <x:v>BOP_response_withheld</x:v>
      </x:c>
      <x:c r="H22" s="28" t="str">
        <x:v>adopt_with_limits</x:v>
      </x:c>
      <x:c r="I22" s="28" t="str">
        <x:v>Keep units explicit and withheld.</x:v>
      </x:c>
      <x:c r="J22" s="28" t="str">
        <x:v>Assign numeric zero or borrow blade/solar/building curves.</x:v>
      </x:c>
      <x:c r="K22" s="28" t="str">
        <x:v>Unit-specific evidence qualifies treatment.</x:v>
      </x:c>
    </x:row>
    <x:row r="23">
      <x:c r="A23" s="28" t="str">
        <x:v>HW-C019</x:v>
      </x:c>
      <x:c r="B23" s="28" t="str">
        <x:v>The alleged legacy wind-turbine hail curve is a mislabeled Real Estate_Hail array with unit/grid and extension defects.</x:v>
      </x:c>
      <x:c r="C23" s="28" t="str">
        <x:v>legacy_audit</x:v>
      </x:c>
      <x:c r="D23" s="28" t="str">
        <x:v>HW-S018</x:v>
      </x:c>
      <x:c r="E23" s="28" t="str">
        <x:v>deprecated table, current metadata/data, and Learning lineage</x:v>
      </x:c>
      <x:c r="F23" s="28" t="str">
        <x:v>T4_placeholder_or_expert_judgment</x:v>
      </x:c>
      <x:c r="G23" s="28" t="str">
        <x:v>legacy_curve_rejection</x:v>
      </x:c>
      <x:c r="H23" s="28" t="str">
        <x:v>reject</x:v>
      </x:c>
      <x:c r="I23" s="28" t="str">
        <x:v>Use as negative regression/migration warning only.</x:v>
      </x:c>
      <x:c r="J23" s="28" t="str">
        <x:v>Reuse any ordinate, shape, cap, threshold, or citation.</x:v>
      </x:c>
      <x:c r="K23" s="28" t="str">
        <x:v>No trigger; replace only with a newly governed source chain.</x:v>
      </x:c>
    </x:row>
    <x:row r="24">
      <x:c r="A24" s="28" t="str">
        <x:v>HW-C020</x:v>
      </x:c>
      <x:c r="B24" s="28" t="str">
        <x:v>The old damage-curve repository contains no governed hail_wind artifact or source-locked curve at the pinned review commit.</x:v>
      </x:c>
      <x:c r="C24" s="28" t="str">
        <x:v>legacy_audit</x:v>
      </x:c>
      <x:c r="D24" s="28" t="str">
        <x:v>HW-S018</x:v>
      </x:c>
      <x:c r="E24" s="28" t="str">
        <x:v>legacy inventory at commit 12653b2c3d5a013c9524228243ea666c35bb3814</x:v>
      </x:c>
      <x:c r="F24" s="28" t="str">
        <x:v>T4_placeholder_or_expert_judgment</x:v>
      </x:c>
      <x:c r="G24" s="28" t="str">
        <x:v>legacy_absence_boundary</x:v>
      </x:c>
      <x:c r="H24" s="28" t="str">
        <x:v>adopt_with_limits</x:v>
      </x:c>
      <x:c r="I24" s="28" t="str">
        <x:v>Document that there is no canonical predecessor to migrate.</x:v>
      </x:c>
      <x:c r="J24" s="28" t="str">
        <x:v>Claim no related evidence exists or create a numerical default.</x:v>
      </x:c>
      <x:c r="K24" s="28" t="str">
        <x:v>A previously missed pinned artifact is located.</x:v>
      </x:c>
    </x:row>
    <x:row r="25">
      <x:c r="A25" s="28" t="str">
        <x:v>HW-C021</x:v>
      </x:c>
      <x:c r="B25" s="28" t="str">
        <x:v>Foundation and buried/civil subjects are not assigned numeric DR=0 merely because the direct-impact mechanism appears weak.</x:v>
      </x:c>
      <x:c r="C25" s="28" t="str">
        <x:v>governance_decision</x:v>
      </x:c>
      <x:c r="D25" s="28" t="str">
        <x:v>GOVERNANCE_CONTRACT</x:v>
      </x:c>
      <x:c r="E25" s="28" t="str">
        <x:v>withhold-not-caveat and failure-unit coverage rules</x:v>
      </x:c>
      <x:c r="F25" s="28" t="str">
        <x:v>T4_placeholder_or_expert_judgment</x:v>
      </x:c>
      <x:c r="G25" s="28" t="str">
        <x:v>no_false_zero_rule</x:v>
      </x:c>
      <x:c r="H25" s="28" t="str">
        <x:v>adopt</x:v>
      </x:c>
      <x:c r="I25" s="28" t="str">
        <x:v>Use geometry screening and separate accumulation/flood routing while withholding numeric response.</x:v>
      </x:c>
      <x:c r="J25" s="28" t="str">
        <x:v>Interpret withheld as immune or report zero loss.</x:v>
      </x:c>
      <x:c r="K25" s="28" t="str">
        <x:v>A reviewed near-zero study passes.</x:v>
      </x:c>
    </x:row>
    <x:row r="26">
      <x:c r="A26" s="28" t="str">
        <x:v>HW-C022</x:v>
      </x:c>
      <x:c r="B26" s="28" t="str">
        <x:v>Unknown operating, shutdown, pitch, azimuth, coating, maintenance, or mitigation state receives no favorable numeric credit.</x:v>
      </x:c>
      <x:c r="C26" s="28" t="str">
        <x:v>governance_decision</x:v>
      </x:c>
      <x:c r="D26" s="28" t="str">
        <x:v>GOVERNANCE_CONTRACT;HW-S003;HW-S004;HW-S005</x:v>
      </x:c>
      <x:c r="E26" s="28" t="str">
        <x:v>site-condition rules and mechanism sources</x:v>
      </x:c>
      <x:c r="F26" s="28" t="str">
        <x:v>T4_placeholder_or_expert_judgment</x:v>
      </x:c>
      <x:c r="G26" s="28" t="str">
        <x:v>unknown_state_no_credit</x:v>
      </x:c>
      <x:c r="H26" s="28" t="str">
        <x:v>adopt</x:v>
      </x:c>
      <x:c r="I26" s="28" t="str">
        <x:v>Capture unknown state and withhold dependent output.</x:v>
      </x:c>
      <x:c r="J26" s="28" t="str">
        <x:v>Default to parked/protected or worst-case damage numerically.</x:v>
      </x:c>
      <x:c r="K26" s="28" t="str">
        <x:v>A reviewed default policy and calibrated state model pass.</x:v>
      </x:c>
    </x:row>
    <x:row r="27">
      <x:c r="A27" s="28" t="str">
        <x:v>HW-C023</x:v>
      </x:c>
      <x:c r="B27" s="28" t="str">
        <x:v>Support and transport/logistics are allocated once after direct damaged units and disposition are known.</x:v>
      </x:c>
      <x:c r="C27" s="28" t="str">
        <x:v>governance_decision</x:v>
      </x:c>
      <x:c r="D27" s="28" t="str">
        <x:v>HW-S014;HW-S015;GOVERNANCE_CONTRACT</x:v>
      </x:c>
      <x:c r="E27" s="28" t="str">
        <x:v>cost anatomy, value rows, and support-once standard</x:v>
      </x:c>
      <x:c r="F27" s="28" t="str">
        <x:v>T4_placeholder_or_expert_judgment</x:v>
      </x:c>
      <x:c r="G27" s="28" t="str">
        <x:v>support_once_rule</x:v>
      </x:c>
      <x:c r="H27" s="28" t="str">
        <x:v>adopt</x:v>
      </x:c>
      <x:c r="I27" s="28" t="str">
        <x:v>Keep intrinsic blade DR and reinstatement/support allocation separate.</x:v>
      </x:c>
      <x:c r="J27" s="28" t="str">
        <x:v>Give support an independent hail DR and also scale it with direct loss.</x:v>
      </x:c>
      <x:c r="K27" s="28" t="str">
        <x:v>Claims/site evidence qualifies an allocation rule.</x:v>
      </x:c>
    </x:row>
    <x:row r="28">
      <x:c r="A28" s="28" t="str">
        <x:v>HW-C024</x:v>
      </x:c>
      <x:c r="B28" s="28" t="str">
        <x:v>All model-v0.1 valid requests withhold numeric DR and loss with NO_RUNTIME_CURVE.</x:v>
      </x:c>
      <x:c r="C28" s="28" t="str">
        <x:v>governance_decision</x:v>
      </x:c>
      <x:c r="D28" s="28" t="str">
        <x:v>GOVERNANCE_CONTRACT;BOUNDED_SEARCH_LOG</x:v>
      </x:c>
      <x:c r="E28" s="28" t="str">
        <x:v>new-cell and fail-closed rules</x:v>
      </x:c>
      <x:c r="F28" s="28" t="str">
        <x:v>T4_placeholder_or_expert_judgment</x:v>
      </x:c>
      <x:c r="G28" s="28" t="str">
        <x:v>runtime_capability</x:v>
      </x:c>
      <x:c r="H28" s="28" t="str">
        <x:v>adopt</x:v>
      </x:c>
      <x:c r="I28" s="28" t="str">
        <x:v>Validate metadata and return stable withheld status/reason.</x:v>
      </x:c>
      <x:c r="J28" s="28" t="str">
        <x:v>Emit caveated or provisional numeric outputs.</x:v>
      </x:c>
      <x:c r="K28" s="28" t="str">
        <x:v>A reviewed model-v1.0 release is published.</x:v>
      </x:c>
    </x:row>
    <x:row r="29">
      <x:c r="A29" s="28" t="str">
        <x:v>HW-C025</x:v>
      </x:c>
      <x:c r="B29" s="28" t="str">
        <x:v>Repository presence does not create a package release, canonical artifact, or Hazard cutover.</x:v>
      </x:c>
      <x:c r="C29" s="28" t="str">
        <x:v>governance_decision</x:v>
      </x:c>
      <x:c r="D29" s="28" t="str">
        <x:v>GOVERNANCE_CONTRACT</x:v>
      </x:c>
      <x:c r="E29" s="28" t="str">
        <x:v>versioning and release rules</x:v>
      </x:c>
      <x:c r="F29" s="28" t="str">
        <x:v>T4_placeholder_or_expert_judgment</x:v>
      </x:c>
      <x:c r="G29" s="28" t="str">
        <x:v>canonical_runtime_artifact=false</x:v>
      </x:c>
      <x:c r="H29" s="28" t="str">
        <x:v>adopt</x:v>
      </x:c>
      <x:c r="I29" s="28" t="str">
        <x:v>Use the package for research/review only.</x:v>
      </x:c>
      <x:c r="J29" s="28" t="str">
        <x:v>Load it at runtime or infer a consumer pin.</x:v>
      </x:c>
      <x:c r="K29" s="28" t="str">
        <x:v>Release and migration gates pass.</x:v>
      </x:c>
    </x:row>
    <x:row r="30">
      <x:c r="A30" s="30" t="str">
        <x:v>HW-C026</x:v>
      </x:c>
      <x:c r="B30" s="30" t="str">
        <x:v>PML, VaR, TVaR, and scalar EAL remain withheld in addition to the missing damage curve.</x:v>
      </x:c>
      <x:c r="C30" s="30" t="str">
        <x:v>governance_decision</x:v>
      </x:c>
      <x:c r="D30" s="30" t="str">
        <x:v>GOVERNANCE_CONTRACT</x:v>
      </x:c>
      <x:c r="E30" s="30" t="str">
        <x:v>reportability and cap-binding rules</x:v>
      </x:c>
      <x:c r="F30" s="30" t="str">
        <x:v>T4_placeholder_or_expert_judgment</x:v>
      </x:c>
      <x:c r="G30" s="30" t="str">
        <x:v>annual_tail_capability</x:v>
      </x:c>
      <x:c r="H30" s="30" t="str">
        <x:v>adopt</x:v>
      </x:c>
      <x:c r="I30" s="30" t="str">
        <x:v>Leave annual/tail analytics to a downstream distribution-aware consumer after prerequisites.</x:v>
      </x:c>
      <x:c r="J30" s="30" t="str">
        <x:v>Derive tail metrics from scalar DR or coating lifetime.</x:v>
      </x:c>
      <x:c r="K30" s="30" t="str">
        <x:v>All upstream and downstream gates pass.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58" hidden="0" customWidth="1"/>
    <x:col min="4" max="4" width="44" hidden="0" customWidth="1"/>
    <x:col min="5" max="5" width="26" hidden="0" customWidth="1"/>
    <x:col min="6" max="6" width="32" hidden="0" customWidth="1"/>
    <x:col min="7" max="7" width="54" hidden="0" customWidth="1"/>
    <x:col min="8" max="8" width="54" hidden="0" customWidth="1"/>
    <x:col min="9" max="9" width="54" hidden="0" customWidth="1"/>
    <x:col min="10" max="10" width="24" hidden="0" customWidth="1"/>
    <x:col min="11" max="11" width="44" hidden="0" customWidth="1"/>
  </x:cols>
  <x:sheetData>
    <x:row r="1" ht="26" customHeight="1">
      <x:c r="A1" s="2" t="str">
        <x:v>Source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4" t="str">
        <x:v>Primary/authoritative evidence where available; each source has explicit permitted and prohibited inference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13" t="str">
        <x:v>Source ID</x:v>
      </x:c>
      <x:c r="B4" s="14" t="str">
        <x:v>Citation</x:v>
      </x:c>
      <x:c r="C4" s="14" t="str">
        <x:v>URL/path</x:v>
      </x:c>
      <x:c r="D4" s="14" t="str">
        <x:v>Locator</x:v>
      </x:c>
      <x:c r="E4" s="14" t="str">
        <x:v>Role</x:v>
      </x:c>
      <x:c r="F4" s="14" t="str">
        <x:v>Tier</x:v>
      </x:c>
      <x:c r="G4" s="14" t="str">
        <x:v>Endpoint</x:v>
      </x:c>
      <x:c r="H4" s="14" t="str">
        <x:v>Permitted</x:v>
      </x:c>
      <x:c r="I4" s="14" t="str">
        <x:v>Prohibited</x:v>
      </x:c>
      <x:c r="J4" s="14" t="str">
        <x:v>Decision</x:v>
      </x:c>
      <x:c r="K4" s="15" t="str">
        <x:v>Notes</x:v>
      </x:c>
    </x:row>
    <x:row r="5">
      <x:c r="A5" s="27" t="str">
        <x:v>HW-S001</x:v>
      </x:c>
      <x:c r="B5" s="27" t="str">
        <x:v>NOAA/National Weather Service, Glossary: Hail and Hail Size.</x:v>
      </x:c>
      <x:c r="C5" s="27" t="str">
        <x:v>https://forecast.weather.gov/glossary.php?word=hail</x:v>
      </x:c>
      <x:c r="D5" s="27" t="str">
        <x:v>entries: Hail; Hail Size</x:v>
      </x:c>
      <x:c r="E5" s="27" t="str">
        <x:v>axis_semantics</x:v>
      </x:c>
      <x:c r="F5" s="27" t="str">
        <x:v>T2_public_lab_standard_or_physics</x:v>
      </x:c>
      <x:c r="G5" s="27" t="str">
        <x:v>observed hail definition and reported diameter conventions</x:v>
      </x:c>
      <x:c r="H5" s="27" t="str">
        <x:v>Define observed maximum hail diameter and keep measurement basis explicit.</x:v>
      </x:c>
      <x:c r="I5" s="27" t="str">
        <x:v>Infer blade demand, capacity, damage probability, or economic DR.</x:v>
      </x:c>
      <x:c r="J5" s="27" t="str">
        <x:v>adopt_with_limits</x:v>
      </x:c>
      <x:c r="K5" s="27" t="str">
        <x:v>Source-event semantics only.</x:v>
      </x:c>
    </x:row>
    <x:row r="6">
      <x:c r="A6" s="28" t="str">
        <x:v>HW-S002</x:v>
      </x:c>
      <x:c r="B6" s="28" t="str">
        <x:v>NOAA/NSSL, Severe Weather 101: Hail Detection; Operational MRMS GRIB2 tables.</x:v>
      </x:c>
      <x:c r="C6" s="28" t="str">
        <x:v>https://www.nssl.noaa.gov/education/svrwx101/hail/detection/</x:v>
      </x:c>
      <x:c r="D6" s="28" t="str">
        <x:v>MESH description; operational MESH and swath rows at https://www.nssl.noaa.gov/projects/mrms/operational/tables.php</x:v>
      </x:c>
      <x:c r="E6" s="28" t="str">
        <x:v>axis_semantics</x:v>
      </x:c>
      <x:c r="F6" s="28" t="str">
        <x:v>T2_public_lab_standard_or_physics</x:v>
      </x:c>
      <x:c r="G6" s="28" t="str">
        <x:v>MRMS Maximum Estimated Size of Hail and accumulation-window products</x:v>
      </x:c>
      <x:c r="H6" s="28" t="str">
        <x:v>Use MESH in millimeters as an upstream radar-estimated size/footprint descriptor with product/time identity.</x:v>
      </x:c>
      <x:c r="I6" s="28" t="str">
        <x:v>Treat MESH as observed stone size, blade contact demand, strike count, or economic DR.</x:v>
      </x:c>
      <x:c r="J6" s="28" t="str">
        <x:v>adopt_with_limits</x:v>
      </x:c>
      <x:c r="K6" s="28" t="str">
        <x:v>MESH is not interchangeable with a field observation.</x:v>
      </x:c>
    </x:row>
    <x:row r="7">
      <x:c r="A7" s="28" t="str">
        <x:v>HW-S003</x:v>
      </x:c>
      <x:c r="B7" s="28" t="str">
        <x:v>Macdonald, J. R.; Nash, D. H.; Stack, M. M. Repeated impact of simulated hail ice on glass fibre composite materials. Wear (2019). DOI 10.1016/j.wear.2019.06.001.</x:v>
      </x:c>
      <x:c r="C7" s="28" t="str">
        <x:v>https://strathprints.strath.ac.uk/68309/1/Macdonald_etal_Wear_2019_Repeated_impact_of_simulated_hail_ice_on_glass_fibre_composite_materials.pdf</x:v>
      </x:c>
      <x:c r="D7" s="28" t="str">
        <x:v>abstract p.1; section 1.4 pp.2-3; sections 3.1-3.3 pp.5-7; Table 1/Figure 10 pp.9-10; conclusions p.11</x:v>
      </x:c>
      <x:c r="E7" s="28" t="str">
        <x:v>mechanism_and_candidate_threshold</x:v>
      </x:c>
      <x:c r="F7" s="28" t="str">
        <x:v>T2_public_lab_standard_or_physics</x:v>
      </x:c>
      <x:c r="G7" s="28" t="str">
        <x:v>repeated 5/10/15/20 mm simulated hail impacts at 50-95 m/s on GFRP coupons; mass/optical/SEM material endpoints</x:v>
      </x:c>
      <x:c r="H7" s="28" t="str">
        <x:v>Support diameter, relative velocity, count, and construction as required drivers and constrain material-response plausibility.</x:v>
      </x:c>
      <x:c r="I7" s="28" t="str">
        <x:v>Transfer coupon response to field blade disposition, full-blade repair/replacement, or economic DR.</x:v>
      </x:c>
      <x:c r="J7" s="28" t="str">
        <x:v>adopt_with_limits</x:v>
      </x:c>
      <x:c r="K7" s="28" t="str">
        <x:v>Repeated coupon impacts are not a representative occurrence loss chain.</x:v>
      </x:c>
    </x:row>
    <x:row r="8">
      <x:c r="A8" s="28" t="str">
        <x:v>HW-S004</x:v>
      </x:c>
      <x:c r="B8" s="28" t="str">
        <x:v>Macdonald, J. R.; Nash, D. H.; Stack, M. M. Mapping hail meteorological observations for prediction of erosion in wind turbines. Wind Energy (2016). DOI 10.1002/we.1854.</x:v>
      </x:c>
      <x:c r="C8" s="28" t="str">
        <x:v>https://strathprints.strath.ac.uk/48857/21/we1854.pdf</x:v>
      </x:c>
      <x:c r="D8" s="28" t="str">
        <x:v>abstract; section 1 pp.1-2; sections 3.3-3.4 pp.5-7; conclusion p.7</x:v>
      </x:c>
      <x:c r="E8" s="28" t="str">
        <x:v>axis_bridge</x:v>
      </x:c>
      <x:c r="F8" s="28" t="str">
        <x:v>T3_engineering_proxy_or_adjacent_empirical</x:v>
      </x:c>
      <x:c r="G8" s="28" t="str">
        <x:v>hail observations and cumulative impact-energy/erosion potential using turbine kinematics</x:v>
      </x:c>
      <x:c r="H8" s="28" t="str">
        <x:v>Require rotor/tip speed, angle, hail size/count and kinetic-energy treatment in a future bridge.</x:v>
      </x:c>
      <x:c r="I8" s="28" t="str">
        <x:v>Use UK cumulative-lifetime results or assumptions as a CONUS single-event economic curve.</x:v>
      </x:c>
      <x:c r="J8" s="28" t="str">
        <x:v>adopt_with_limits</x:v>
      </x:c>
      <x:c r="K8" s="28" t="str">
        <x:v>Cumulative erosion context only.</x:v>
      </x:c>
    </x:row>
    <x:row r="9">
      <x:c r="A9" s="28" t="str">
        <x:v>HW-S005</x:v>
      </x:c>
      <x:c r="B9" s="28" t="str">
        <x:v>Fiore, G.; Fujiwara, G. E. C.; Selig, M. S. A Damage Assessment for Wind Turbine Blades from Heavy Atmospheric Particles. AIAA 2015-1495. DOI 10.2514/6.2015-1495.</x:v>
      </x:c>
      <x:c r="C9" s="28" t="str">
        <x:v>https://m-selig.ae.illinois.edu/pubs/FioreFujiwaraSelig-2015-AIAA-2015-1495.pdf</x:v>
      </x:c>
      <x:c r="D9" s="28" t="str">
        <x:v>abstract p.1; sections III.B-III.C pp.7-9; results pp.13-15; Table 6 p.18</x:v>
      </x:c>
      <x:c r="E9" s="28" t="str">
        <x:v>axis_bridge_and_mechanism</x:v>
      </x:c>
      <x:c r="F9" s="28" t="str">
        <x:v>T3_engineering_proxy_or_adjacent_empirical</x:v>
      </x:c>
      <x:c r="G9" s="28" t="str">
        <x:v>numerical impingement and delamination-threshold response for one 1.5-MW blade/material configuration</x:v>
      </x:c>
      <x:c r="H9" s="28" t="str">
        <x:v>Support radial position, relative velocity, impact angle, airfoil/material and damage localization as load-bearing variables.</x:v>
      </x:c>
      <x:c r="I9" s="28" t="str">
        <x:v>Call particle-ratio damage economic DR or transfer one legacy blade/material to generic onshore turbines.</x:v>
      </x:c>
      <x:c r="J9" s="28" t="str">
        <x:v>adopt_with_limits</x:v>
      </x:c>
      <x:c r="K9" s="28" t="str">
        <x:v>Paper's damage ratio is not repair cost divided by replacement value.</x:v>
      </x:c>
    </x:row>
    <x:row r="10">
      <x:c r="A10" s="28" t="str">
        <x:v>HW-S006</x:v>
      </x:c>
      <x:c r="B10" s="28" t="str">
        <x:v>Pryor, S. C.; Barthelmie, R. J. Hail as a damage vector for renewable energy. iScience 29 (2026) 114439. DOI 10.1016/j.isci.2025.114439.</x:v>
      </x:c>
      <x:c r="C10" s="28" t="str">
        <x:v>https://doi.org/10.1016/j.isci.2025.114439</x:v>
      </x:c>
      <x:c r="D10" s="28" t="str">
        <x:v>Summary; Building the blade coating and solar PV damage models/Figure 3; wind turbine blade coating lifetimes; Table 1/Figures 4-6; Limitations</x:v>
      </x:c>
      <x:c r="E10" s="28" t="str">
        <x:v>cumulative_degradation_boundary</x:v>
      </x:c>
      <x:c r="F10" s="28" t="str">
        <x:v>T3_engineering_proxy_or_adjacent_empirical</x:v>
      </x:c>
      <x:c r="G10" s="28" t="str">
        <x:v>multi-year accumulated distance to blade-coating failure from rain and hail</x:v>
      </x:c>
      <x:c r="H10" s="28" t="str">
        <x:v>Support hail as a material cumulative leading-edge driver and candidate event impact-energy/ADF research variables.</x:v>
      </x:c>
      <x:c r="I10" s="28" t="str">
        <x:v>Use mixed rain-hail lifetime coating failure as occurrence physical-destruction DR or same-event cost.</x:v>
      </x:c>
      <x:c r="J10" s="28" t="str">
        <x:v>adopt_with_limits</x:v>
      </x:c>
      <x:c r="K10" s="28" t="str">
        <x:v>Strong adjacent evidence; wrong temporal and economic endpoint for current cell.</x:v>
      </x:c>
    </x:row>
    <x:row r="11">
      <x:c r="A11" s="28" t="str">
        <x:v>HW-S007</x:v>
      </x:c>
      <x:c r="B11" s="28" t="str">
        <x:v>Pryor, S. C. Hail as a damage vector for renewable energy: code and atlas output. Zenodo record 16420233.</x:v>
      </x:c>
      <x:c r="C11" s="28" t="str">
        <x:v>https://doi.org/10.5281/zenodo.16420233</x:v>
      </x:c>
      <x:c r="D11" s="28" t="str">
        <x:v>record description and files Springer4Hail_Rain.m and HailAtlas_WT.nc</x:v>
      </x:c>
      <x:c r="E11" s="28" t="str">
        <x:v>reproducibility_only</x:v>
      </x:c>
      <x:c r="F11" s="28" t="str">
        <x:v>T2_public_lab_standard_or_physics</x:v>
      </x:c>
      <x:c r="G11" s="28" t="str">
        <x:v>reproducible lifetime coating accumulated-distance-to-failure model and atlas</x:v>
      </x:c>
      <x:c r="H11" s="28" t="str">
        <x:v>Audit source assumptions and reproduce cumulative-degradation research when that pathway is governed.</x:v>
      </x:c>
      <x:c r="I11" s="28" t="str">
        <x:v>Convert the atlas to a single-event economic curve or site-specific blade repair loss.</x:v>
      </x:c>
      <x:c r="J11" s="28" t="str">
        <x:v>adopt_with_limits</x:v>
      </x:c>
      <x:c r="K11" s="28" t="str">
        <x:v>Code/data companion to HW-S006.</x:v>
      </x:c>
    </x:row>
    <x:row r="12">
      <x:c r="A12" s="28" t="str">
        <x:v>HW-S008</x:v>
      </x:c>
      <x:c r="B12" s="28" t="str">
        <x:v>Pryor, S. C. et al. Atmospheric Drivers of Wind Turbine Blade Leading Edge Erosion: Review and Recommendations for Future Research. Energies 15 (2022) 8553. DOI 10.3390/en15228553.</x:v>
      </x:c>
      <x:c r="C12" s="28" t="str">
        <x:v>https://www.osti.gov/pages/biblio/2500992</x:v>
      </x:c>
      <x:c r="D12" s="28" t="str">
        <x:v>abstract and DOE PAGES lines 112-117; joint-distribution and data-gap discussion</x:v>
      </x:c>
      <x:c r="E12" s="28" t="str">
        <x:v>mechanism_and_bridge</x:v>
      </x:c>
      <x:c r="F12" s="28" t="str">
        <x:v>T3_engineering_proxy_or_adjacent_empirical</x:v>
      </x:c>
      <x:c r="G12" s="28" t="str">
        <x:v>hydrometeor phase/distribution, precipitation intensity, turbine rotation and wind-speed drivers of leading-edge erosion</x:v>
      </x:c>
      <x:c r="H12" s="28" t="str">
        <x:v>Require joint hydrometeor and turbine-state information and represent observational uncertainty.</x:v>
      </x:c>
      <x:c r="I12" s="28" t="str">
        <x:v>Infer occurrence disposition, cost, or a generic converter from a review.</x:v>
      </x:c>
      <x:c r="J12" s="28" t="str">
        <x:v>adopt_with_limits</x:v>
      </x:c>
      <x:c r="K12" s="28" t="str">
        <x:v>Cumulative erosion science; no economic curve.</x:v>
      </x:c>
    </x:row>
    <x:row r="13">
      <x:c r="A13" s="28" t="str">
        <x:v>HW-S009</x:v>
      </x:c>
      <x:c r="B13" s="28" t="str">
        <x:v>Letson, F.; Barthelmie, R. J.; Pryor, S. C. Radar-derived precipitation climatology for wind turbine blade leading edge erosion. Wind Energy Science 5, 331-347 (2020). DOI 10.5194/wes-5-331-2020.</x:v>
      </x:c>
      <x:c r="C13" s="28" t="str">
        <x:v>https://wes.copernicus.org/articles/5/331/2020/wes-5-331-2020.pdf</x:v>
      </x:c>
      <x:c r="D13" s="28" t="str">
        <x:v>abstract; methods; cumulative kinetic-energy and hail contribution results; conclusions</x:v>
      </x:c>
      <x:c r="E13" s="28" t="str">
        <x:v>cumulative_degradation_boundary</x:v>
      </x:c>
      <x:c r="F13" s="28" t="str">
        <x:v>T3_engineering_proxy_or_adjacent_empirical</x:v>
      </x:c>
      <x:c r="G13" s="28" t="str">
        <x:v>radar-derived precipitation climatology and cumulative erosion potential</x:v>
      </x:c>
      <x:c r="H13" s="28" t="str">
        <x:v>Support episodic hail importance and need for event/size distributions.</x:v>
      </x:c>
      <x:c r="I13" s="28" t="str">
        <x:v>Use climatological erosion potential as occurrence economic DR or asset loss.</x:v>
      </x:c>
      <x:c r="J13" s="28" t="str">
        <x:v>adopt_with_limits</x:v>
      </x:c>
      <x:c r="K13" s="28" t="str">
        <x:v>Hazard/lifetime context only.</x:v>
      </x:c>
    </x:row>
    <x:row r="14">
      <x:c r="A14" s="28" t="str">
        <x:v>HW-S010</x:v>
      </x:c>
      <x:c r="B14" s="28" t="str">
        <x:v>Maniaci, D. C. et al. Leading Edge Erosion Classification System. Sandia/IEA Wind Task 46, SAND2023-11986R (2022). DOI 10.2172/2432094.</x:v>
      </x:c>
      <x:c r="C14" s="28" t="str">
        <x:v>https://www.osti.gov/biblio/2432094</x:v>
      </x:c>
      <x:c r="D14" s="28" t="str">
        <x:v>abstract and classification dimensions: visual condition, mass loss, aerodynamic performance, structural integrity</x:v>
      </x:c>
      <x:c r="E14" s="28" t="str">
        <x:v>candidate_state_vocabulary</x:v>
      </x:c>
      <x:c r="F14" s="28" t="str">
        <x:v>T3_engineering_proxy_or_adjacent_empirical</x:v>
      </x:c>
      <x:c r="G14" s="28" t="str">
        <x:v>leading-edge erosion condition classification dimensions</x:v>
      </x:c>
      <x:c r="H14" s="28" t="str">
        <x:v>Use classification concepts to design mutually exclusive/nested inspected blade states.</x:v>
      </x:c>
      <x:c r="I14" s="28" t="str">
        <x:v>Infer hail-conditioned state probabilities, repair decisions, costs, or economic DR.</x:v>
      </x:c>
      <x:c r="J14" s="28" t="str">
        <x:v>adopt_with_limits</x:v>
      </x:c>
      <x:c r="K14" s="28" t="str">
        <x:v>Classification is not a hail curve.</x:v>
      </x:c>
    </x:row>
    <x:row r="15">
      <x:c r="A15" s="28" t="str">
        <x:v>HW-S011</x:v>
      </x:c>
      <x:c r="B15" s="28" t="str">
        <x:v>DNV-RP-0573, Evaluation of erosion and delamination for leading edge protection systems of rotor blades.</x:v>
      </x:c>
      <x:c r="C15" s="28" t="str">
        <x:v>https://www.dnv.com/energy/standards-guidelines/dnv-rp-0573-evaluation-of-erosion-and-delamination-for-leading-edge-protection-systems-of-rotor-blades/</x:v>
      </x:c>
      <x:c r="D15" s="28" t="str">
        <x:v>public scope and exclusions; hail listed as excluded damage source</x:v>
      </x:c>
      <x:c r="E15" s="28" t="str">
        <x:v>boundary_control</x:v>
      </x:c>
      <x:c r="F15" s="28" t="str">
        <x:v>T2_public_lab_standard_or_physics</x:v>
      </x:c>
      <x:c r="G15" s="28" t="str">
        <x:v>rain-impact LEP durability method with explicit hail exclusion</x:v>
      </x:c>
      <x:c r="H15" s="28" t="str">
        <x:v>Use the exclusion to prevent unreviewed rain-method transfer to hail.</x:v>
      </x:c>
      <x:c r="I15" s="28" t="str">
        <x:v>Use DNV rain methodology or durability outputs as hail calibration.</x:v>
      </x:c>
      <x:c r="J15" s="28" t="str">
        <x:v>adopt_with_limits</x:v>
      </x:c>
      <x:c r="K15" s="28" t="str">
        <x:v>Boundary evidence, not curve evidence.</x:v>
      </x:c>
    </x:row>
    <x:row r="16">
      <x:c r="A16" s="28" t="str">
        <x:v>HW-S012</x:v>
      </x:c>
      <x:c r="B16" s="28" t="str">
        <x:v>IEC 61400-1:2019+AMD1:2025 CSV, Wind energy generation systems - Part 1: Design requirements.</x:v>
      </x:c>
      <x:c r="C16" s="28" t="str">
        <x:v>https://webstore.iec.ch/en/publication/26423</x:v>
      </x:c>
      <x:c r="D16" s="28" t="str">
        <x:v>official product page; scope covering wind-turbine subsystems and structural integrity</x:v>
      </x:c>
      <x:c r="E16" s="28" t="str">
        <x:v>selector_and_boundary</x:v>
      </x:c>
      <x:c r="F16" s="28" t="str">
        <x:v>T2_public_lab_standard_or_physics</x:v>
      </x:c>
      <x:c r="G16" s="28" t="str">
        <x:v>wind-turbine design-requirement scope</x:v>
      </x:c>
      <x:c r="H16" s="28" t="str">
        <x:v>Record exact design-standard/edition as selector metadata.</x:v>
      </x:c>
      <x:c r="I16" s="28" t="str">
        <x:v>Treat compliance as a hail fragility, threshold, or resilience coefficient.</x:v>
      </x:c>
      <x:c r="J16" s="28" t="str">
        <x:v>adopt_with_limits</x:v>
      </x:c>
      <x:c r="K16" s="28" t="str">
        <x:v>Licensed clauses are not claimed or embedded.</x:v>
      </x:c>
    </x:row>
    <x:row r="17">
      <x:c r="A17" s="28" t="str">
        <x:v>HW-S013</x:v>
      </x:c>
      <x:c r="B17" s="28" t="str">
        <x:v>Bortolotti, P. et al. A Detailed Wind Turbine Blade Cost Model. NREL/TP-5000-73585 (2019). DOI 10.2172/1529217.</x:v>
      </x:c>
      <x:c r="C17" s="28" t="str">
        <x:v>https://www.osti.gov/servlets/purl/1529217</x:v>
      </x:c>
      <x:c r="D17" s="28" t="str">
        <x:v>executive summary pp.v-vi; section 5.2/Table 26 p.58; section 5.3/Table 29 p.61</x:v>
      </x:c>
      <x:c r="E17" s="28" t="str">
        <x:v>value_crosswalk_support</x:v>
      </x:c>
      <x:c r="F17" s="28" t="str">
        <x:v>T2_public_lab_standard_or_physics</x:v>
      </x:c>
      <x:c r="G17" s="28" t="str">
        <x:v>archetype-specific blade manufacturing cost model</x:v>
      </x:c>
      <x:c r="H17" s="28" t="str">
        <x:v>Use as a future cross-check for declared blade manufacturing value and material/labor anatomy.</x:v>
      </x:c>
      <x:c r="I17" s="28" t="str">
        <x:v>Use factory blade cost as hail repair cost, installed replacement cost, exposure, or probability.</x:v>
      </x:c>
      <x:c r="J17" s="28" t="str">
        <x:v>adopt_with_limits</x:v>
      </x:c>
      <x:c r="K17" s="28" t="str">
        <x:v>NREL CWER remains the primary portfolio value ledger.</x:v>
      </x:c>
    </x:row>
    <x:row r="18">
      <x:c r="A18" s="28" t="str">
        <x:v>HW-S014</x:v>
      </x:c>
      <x:c r="B18" s="28" t="str">
        <x:v>Mishnaevsky, L.; Thomsen, K. Costs of repair of wind turbine blades: Influence of technology aspects. Wind Energy 23, 2247-2255 (2020). DOI 10.1002/we.2552.</x:v>
      </x:c>
      <x:c r="C18" s="28" t="str">
        <x:v>https://doi.org/10.1002/we.2552</x:v>
      </x:c>
      <x:c r="D18" s="28" t="str">
        <x:v>sections 2.1-2.2 pp.2-3; section 3.1 and cost equation</x:v>
      </x:c>
      <x:c r="E18" s="28" t="str">
        <x:v>cost_anatomy</x:v>
      </x:c>
      <x:c r="F18" s="28" t="str">
        <x:v>T3_engineering_proxy_or_adjacent_empirical</x:v>
      </x:c>
      <x:c r="G18" s="28" t="str">
        <x:v>mixed-cause blade repair taxonomy and material/labor/access/downtime cost anatomy</x:v>
      </x:c>
      <x:c r="H18" s="28" t="str">
        <x:v>Define candidate repair-cost components and pressure-test future state costs.</x:v>
      </x:c>
      <x:c r="I18" s="28" t="str">
        <x:v>Calibrate hail disposition, use mixed/datetime/offshore values as site defaults, or include downtime in physical DR.</x:v>
      </x:c>
      <x:c r="J18" s="28" t="str">
        <x:v>adopt_with_limits</x:v>
      </x:c>
      <x:c r="K18" s="28" t="str">
        <x:v>Generic repair evidence, not hail calibration.</x:v>
      </x:c>
    </x:row>
    <x:row r="19">
      <x:c r="A19" s="28" t="str">
        <x:v>HW-S015</x:v>
      </x:c>
      <x:c r="B19" s="28" t="str">
        <x:v>Stehly, T.; Duffy, P.; Mulas Hernando, D. Cost of Wind Energy Review: 2024 Edition. NREL/TP-5000-91775.</x:v>
      </x:c>
      <x:c r="C19" s="28" t="str">
        <x:v>https://www.nrel.gov/docs/fy25osti/91775.pdf</x:v>
      </x:c>
      <x:c r="D19" s="28" t="str">
        <x:v>land-based reference plant capital-cost breakdown and appendix; Wind_Map rows 2:19 in local value workbook</x:v>
      </x:c>
      <x:c r="E19" s="28" t="str">
        <x:v>exposure_or_value</x:v>
      </x:c>
      <x:c r="F19" s="28" t="str">
        <x:v>T2_public_lab_standard_or_physics</x:v>
      </x:c>
      <x:c r="G19" s="28" t="str">
        <x:v>2023-USD component, balance-of-system, support, and soft-cost reference ledger</x:v>
      </x:c>
      <x:c r="H19" s="28" t="str">
        <x:v>Reuse row-level reference values and reconcile physical/excluded/support denominators.</x:v>
      </x:c>
      <x:c r="I19" s="28" t="str">
        <x:v>Infer damage probability, repair disposition, exposure, or a site/OEM replacement schedule.</x:v>
      </x:c>
      <x:c r="J19" s="28" t="str">
        <x:v>adopt_with_limits</x:v>
      </x:c>
      <x:c r="K19" s="28" t="str">
        <x:v>Reference value archetype only.</x:v>
      </x:c>
    </x:row>
    <x:row r="20">
      <x:c r="A20" s="28" t="str">
        <x:v>HW-S016</x:v>
      </x:c>
      <x:c r="B20" s="28" t="str">
        <x:v>NOAA/NCEI Storm Events Database and bulk CSV archive.</x:v>
      </x:c>
      <x:c r="C20" s="28" t="str">
        <x:v>https://www.ncei.noaa.gov/pub/data/swdi/stormevents/csvfiles/</x:v>
      </x:c>
      <x:c r="D20" s="28" t="str">
        <x:v>1995-2026 public detail-record surface; query families recorded in bounded search log</x:v>
      </x:c>
      <x:c r="E20" s="28" t="str">
        <x:v>negative_evidence_boundary</x:v>
      </x:c>
      <x:c r="F20" s="28" t="str">
        <x:v>T3_engineering_proxy_or_adjacent_empirical</x:v>
      </x:c>
      <x:c r="G20" s="28" t="str">
        <x:v>storm narratives and event-wide loss estimates</x:v>
      </x:c>
      <x:c r="H20" s="28" t="str">
        <x:v>Support the bounded statement that no clean modern utility-scale hail component disposition/cost chain was located in the recorded search.</x:v>
      </x:c>
      <x:c r="I20" s="28" t="str">
        <x:v>Claim universal absence or treat incomplete event-wide damage estimates as blade repair cost.</x:v>
      </x:c>
      <x:c r="J20" s="28" t="str">
        <x:v>adopt_with_limits</x:v>
      </x:c>
      <x:c r="K20" s="28" t="str">
        <x:v>Apparent turbine matches were wind/lightning/tornado, not hail-only chains.</x:v>
      </x:c>
    </x:row>
    <x:row r="21">
      <x:c r="A21" s="28" t="str">
        <x:v>HW-S017</x:v>
      </x:c>
      <x:c r="B21" s="28" t="str">
        <x:v>Hazard Modeling hail x wind-farm plan and exposure discussion, pinned local review.</x:v>
      </x:c>
      <x:c r="C21" s="28" t="str">
        <x:v>Hazard_modeling/docs/plans/hail/hail-wind-farm.md</x:v>
      </x:c>
      <x:c r="D21" s="28" t="str">
        <x:v>plan lines 30-86 and 119-132; discussion lines 15-95; commit 06fd3b57726a9ca042cd9d7c5f7a9df970585ff0</x:v>
      </x:c>
      <x:c r="E21" s="28" t="str">
        <x:v>consumer_boundary</x:v>
      </x:c>
      <x:c r="F21" s="28" t="str">
        <x:v>T4_placeholder_or_expert_judgment</x:v>
      </x:c>
      <x:c r="G21" s="28" t="str">
        <x:v>reuse hail M0/M1; per-turbine point coupling; separate BOP; experimental M3 until source-locked</x:v>
      </x:c>
      <x:c r="H21" s="28" t="str">
        <x:v>Adopt consumer geometry/event-identity constraints and preserve vulnerability as a separate governed seam.</x:v>
      </x:c>
      <x:c r="I21" s="28" t="str">
        <x:v>Treat planning placeholders, equal values, or notebook recommendations as scientific calibration.</x:v>
      </x:c>
      <x:c r="J21" s="28" t="str">
        <x:v>adopt_with_limits</x:v>
      </x:c>
      <x:c r="K21" s="28" t="str">
        <x:v>Discussion blob 3c293ae548e678b417ab48a4d99cc24be3931205; plan blob eea920b64efd3d64893a1809e3ed3e99d623ec3b.</x:v>
      </x:c>
    </x:row>
    <x:row r="22">
      <x:c r="A22" s="28" t="str">
        <x:v>HW-S018</x:v>
      </x:c>
      <x:c r="B22" s="28" t="str">
        <x:v>Legacy hazard_analysis/Learning alleged wind-turbine hail curve lineage audit.</x:v>
      </x:c>
      <x:c r="C22" s="28" t="str">
        <x:v>hazard_analysis/tools/damage_curves/tables/damage_curve_tables_DEPRECATED.py</x:v>
      </x:c>
      <x:c r="D22" s="28" t="str">
        <x:v>deprecated Real Estate_Hail array lines 132-140; current metadata/data Wind rows omit hail; Learning table lines documented in legacy audit</x:v>
      </x:c>
      <x:c r="E22" s="28" t="str">
        <x:v>rejected</x:v>
      </x:c>
      <x:c r="F22" s="28" t="str">
        <x:v>T4_placeholder_or_expert_judgment</x:v>
      </x:c>
      <x:c r="G22" s="28" t="str">
        <x:v>real-estate/building-car MDR array mislabeled as wind turbine with grid/unit and extension defects</x:v>
      </x:c>
      <x:c r="H22" s="28" t="str">
        <x:v>Use only as a negative regression and migration warning.</x:v>
      </x:c>
      <x:c r="I22" s="28" t="str">
        <x:v>Reuse any ordinate, curve shape, threshold, cap, citation, or confidence claim.</x:v>
      </x:c>
      <x:c r="J22" s="28" t="str">
        <x:v>reject_runtime_retain_audit</x:v>
      </x:c>
      <x:c r="K22" s="28" t="str">
        <x:v>Wrong asset/citation endpoint; cm/in mismatch; plateau extended beyond converted source grid.</x:v>
      </x:c>
    </x:row>
    <x:row r="23">
      <x:c r="A23" s="28" t="str">
        <x:v>GOVERNANCE_CONTRACT</x:v>
      </x:c>
      <x:c r="B23" s="28" t="str">
        <x:v>Damage Modeling method standards, contracts, and damage-curve governance skill.</x:v>
      </x:c>
      <x:c r="C23" s="28" t="str">
        <x:v>docs/method/standards/00_index.md</x:v>
      </x:c>
      <x:c r="D23" s="28" t="str">
        <x:v>cell-package, provenance, artifact, capability, pathway, fail-closed, and validation standards</x:v>
      </x:c>
      <x:c r="E23" s="28" t="str">
        <x:v>governance_rule</x:v>
      </x:c>
      <x:c r="F23" s="28" t="str">
        <x:v>T4_placeholder_or_expert_judgment</x:v>
      </x:c>
      <x:c r="G23" s="28" t="str">
        <x:v>change classification, versioning, provenance, reportability, and release rules</x:v>
      </x:c>
      <x:c r="H23" s="28" t="str">
        <x:v>Control package structure, withholding, tests, and release decisions.</x:v>
      </x:c>
      <x:c r="I23" s="28" t="str">
        <x:v>Serve as scientific calibration or asset evidence.</x:v>
      </x:c>
      <x:c r="J23" s="28" t="str">
        <x:v>adopt</x:v>
      </x:c>
      <x:c r="K23" s="28" t="str">
        <x:v>Stable internal source ID.</x:v>
      </x:c>
    </x:row>
    <x:row r="24">
      <x:c r="A24" s="28" t="str">
        <x:v>BOUNDED_SEARCH_LOG</x:v>
      </x:c>
      <x:c r="B24" s="28" t="str">
        <x:v>Bounded evidence search for hail_wind model v0.1/docs r1.</x:v>
      </x:c>
      <x:c r="C24" s="28" t="str">
        <x:v>docs/cells/hail_wind/proposed/BOUNDED_EVIDENCE_SEARCH_LOG_hail_wind__model_v0_1__docs_r1.md</x:v>
      </x:c>
      <x:c r="D24" s="28" t="str">
        <x:v>surfaces, queries, target chain, results, limitations, and update triggers</x:v>
      </x:c>
      <x:c r="E24" s="28" t="str">
        <x:v>negative_evidence_boundary</x:v>
      </x:c>
      <x:c r="F24" s="28" t="str">
        <x:v>T3_engineering_proxy_or_adjacent_empirical</x:v>
      </x:c>
      <x:c r="G24" s="28" t="str">
        <x:v>scoped result that no public matched occurrence demand-to-disposition-to-cost chain was located</x:v>
      </x:c>
      <x:c r="H24" s="28" t="str">
        <x:v>Support fail-closed outcome within the recorded scope.</x:v>
      </x:c>
      <x:c r="I24" s="28" t="str">
        <x:v>Claim universal absence across private, non-English, unindexed, or later evidence.</x:v>
      </x:c>
      <x:c r="J24" s="28" t="str">
        <x:v>adopt_with_limits</x:v>
      </x:c>
      <x:c r="K24" s="28" t="str">
        <x:v>Load-bearing negative-evidence record.</x:v>
      </x:c>
    </x:row>
    <x:row r="25">
      <x:c r="A25" s="30" t="str">
        <x:v>NREL_CWER_2024</x:v>
      </x:c>
      <x:c r="B25" s="30" t="str">
        <x:v>Alias for HW-S015: Cost of Wind Energy Review 2024 Edition.</x:v>
      </x:c>
      <x:c r="C25" s="30" t="str">
        <x:v>https://www.nrel.gov/docs/fy25osti/91775.pdf</x:v>
      </x:c>
      <x:c r="D25" s="30" t="str">
        <x:v>Wind_Map rows 2:19 in docs/method/value_basis/solar_wind_value_breakdown.xlsx</x:v>
      </x:c>
      <x:c r="E25" s="30" t="str">
        <x:v>exposure_or_value</x:v>
      </x:c>
      <x:c r="F25" s="30" t="str">
        <x:v>T2_public_lab_standard_or_physics</x:v>
      </x:c>
      <x:c r="G25" s="30" t="str">
        <x:v>row-level value-source alias used by VALUE_CROSSWALK</x:v>
      </x:c>
      <x:c r="H25" s="30" t="str">
        <x:v>Resolve value rows to HW-S015 and preserve value_source_id convention.</x:v>
      </x:c>
      <x:c r="I25" s="30" t="str">
        <x:v>Infer vulnerability, exposure, or site value.</x:v>
      </x:c>
      <x:c r="J25" s="30" t="str">
        <x:v>adopt_with_limits</x:v>
      </x:c>
      <x:c r="K25" s="30" t="str">
        <x:v>Alias only.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0" hidden="0" customWidth="1"/>
    <x:col min="4" max="4" width="28" hidden="0" customWidth="1"/>
    <x:col min="5" max="5" width="34" hidden="0" customWidth="1"/>
    <x:col min="6" max="6" width="30" hidden="0" customWidth="1"/>
    <x:col min="7" max="7" width="58" hidden="0" customWidth="1"/>
    <x:col min="8" max="8" width="22" hidden="0" customWidth="1"/>
    <x:col min="9" max="9" width="44" hidden="0" customWidth="1"/>
  </x:cols>
  <x:sheetData>
    <x:row r="1" ht="26" customHeight="1">
      <x:c r="A1" s="2" t="str">
        <x:v>Parameter and rule tiers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4" t="str">
        <x:v>No disabled/open/withheld rule is allowed to become a silent runtime default</x:v>
      </x:c>
      <x:c r="B2" s="4"/>
      <x:c r="C2" s="4"/>
      <x:c r="D2" s="4"/>
      <x:c r="E2" s="4"/>
      <x:c r="F2" s="4"/>
      <x:c r="G2" s="4"/>
      <x:c r="H2" s="4"/>
      <x:c r="I2" s="4"/>
    </x:row>
    <x:row r="4">
      <x:c r="A4" s="13" t="str">
        <x:v>Parameter</x:v>
      </x:c>
      <x:c r="B4" s="14" t="str">
        <x:v>Pathway</x:v>
      </x:c>
      <x:c r="C4" s="14" t="str">
        <x:v>Value/rule</x:v>
      </x:c>
      <x:c r="D4" s="14" t="str">
        <x:v>Role</x:v>
      </x:c>
      <x:c r="E4" s="14" t="str">
        <x:v>Tier</x:v>
      </x:c>
      <x:c r="F4" s="14" t="str">
        <x:v>Sources</x:v>
      </x:c>
      <x:c r="G4" s="14" t="str">
        <x:v>Reasoning</x:v>
      </x:c>
      <x:c r="H4" s="14" t="str">
        <x:v>Status</x:v>
      </x:c>
      <x:c r="I4" s="15" t="str">
        <x:v>Update trigger</x:v>
      </x:c>
    </x:row>
    <x:row r="5">
      <x:c r="A5" s="27" t="str">
        <x:v>runtime_curve_count</x:v>
      </x:c>
      <x:c r="B5" s="27" t="str">
        <x:v>hail_impact</x:v>
      </x:c>
      <x:c r="C5" s="27" t="str">
        <x:v>0</x:v>
      </x:c>
      <x:c r="D5" s="27" t="str">
        <x:v>capability</x:v>
      </x:c>
      <x:c r="E5" s="27" t="str">
        <x:v>T4_placeholder_or_expert_judgment</x:v>
      </x:c>
      <x:c r="F5" s="27" t="str">
        <x:v>GOVERNANCE_CONTRACT;BOUNDED_SEARCH_LOG</x:v>
      </x:c>
      <x:c r="G5" s="27" t="str">
        <x:v>No occurrence economic curve passed the evidence chain.</x:v>
      </x:c>
      <x:c r="H5" s="27" t="str">
        <x:v>adopt</x:v>
      </x:c>
      <x:c r="I5" s="27" t="str">
        <x:v>Reviewed model v1.0 release.</x:v>
      </x:c>
    </x:row>
    <x:row r="6">
      <x:c r="A6" s="28" t="str">
        <x:v>canonical_runtime_artifact</x:v>
      </x:c>
      <x:c r="B6" s="28" t="str">
        <x:v>hail_impact</x:v>
      </x:c>
      <x:c r="C6" s="28" t="str">
        <x:v>false</x:v>
      </x:c>
      <x:c r="D6" s="28" t="str">
        <x:v>release_state</x:v>
      </x:c>
      <x:c r="E6" s="28" t="str">
        <x:v>T4_placeholder_or_expert_judgment</x:v>
      </x:c>
      <x:c r="F6" s="28" t="str">
        <x:v>GOVERNANCE_CONTRACT</x:v>
      </x:c>
      <x:c r="G6" s="28" t="str">
        <x:v>Repository research scaffold only.</x:v>
      </x:c>
      <x:c r="H6" s="28" t="str">
        <x:v>adopt</x:v>
      </x:c>
      <x:c r="I6" s="28" t="str">
        <x:v>Explicit promotion and consumer migration.</x:v>
      </x:c>
    </x:row>
    <x:row r="7">
      <x:c r="A7" s="28" t="str">
        <x:v>pathway_id</x:v>
      </x:c>
      <x:c r="B7" s="28" t="str">
        <x:v>hail_impact</x:v>
      </x:c>
      <x:c r="C7" s="28" t="str">
        <x:v>hail_impact</x:v>
      </x:c>
      <x:c r="D7" s="28" t="str">
        <x:v>pathway_identity</x:v>
      </x:c>
      <x:c r="E7" s="28" t="str">
        <x:v>T4_placeholder_or_expert_judgment</x:v>
      </x:c>
      <x:c r="F7" s="28" t="str">
        <x:v>GOVERNANCE_CONTRACT;HW-S017</x:v>
      </x:c>
      <x:c r="G7" s="28" t="str">
        <x:v>Direct atmospheric hail impact remains separate from neighboring mechanisms.</x:v>
      </x:c>
      <x:c r="H7" s="28" t="str">
        <x:v>adopt</x:v>
      </x:c>
      <x:c r="I7" s="28" t="str">
        <x:v>Governed pathway redesign.</x:v>
      </x:c>
    </x:row>
    <x:row r="8">
      <x:c r="A8" s="28" t="str">
        <x:v>event_family_id_required</x:v>
      </x:c>
      <x:c r="B8" s="28" t="str">
        <x:v>hail_impact</x:v>
      </x:c>
      <x:c r="C8" s="28" t="str">
        <x:v>true</x:v>
      </x:c>
      <x:c r="D8" s="28" t="str">
        <x:v>compound_event_control</x:v>
      </x:c>
      <x:c r="E8" s="28" t="str">
        <x:v>T4_placeholder_or_expert_judgment</x:v>
      </x:c>
      <x:c r="F8" s="28" t="str">
        <x:v>GOVERNANCE_CONTRACT;HW-S017</x:v>
      </x:c>
      <x:c r="G8" s="28" t="str">
        <x:v>Preserve compound thunderstorm identity and prevent duplicate value charges.</x:v>
      </x:c>
      <x:c r="H8" s="28" t="str">
        <x:v>adopt</x:v>
      </x:c>
      <x:c r="I8" s="28" t="str">
        <x:v>Consumer contract changes.</x:v>
      </x:c>
    </x:row>
    <x:row r="9">
      <x:c r="A9" s="28" t="str">
        <x:v>observed_hail_diameter_field</x:v>
      </x:c>
      <x:c r="B9" s="28" t="str">
        <x:v>hail_impact</x:v>
      </x:c>
      <x:c r="C9" s="28" t="str">
        <x:v>maximum_reported_hail_diameter_mm</x:v>
      </x:c>
      <x:c r="D9" s="28" t="str">
        <x:v>axis_source_field</x:v>
      </x:c>
      <x:c r="E9" s="28" t="str">
        <x:v>T2_public_lab_standard_or_physics</x:v>
      </x:c>
      <x:c r="F9" s="28" t="str">
        <x:v>HW-S001</x:v>
      </x:c>
      <x:c r="G9" s="28" t="str">
        <x:v>Observed largest diameter is source-native metadata.</x:v>
      </x:c>
      <x:c r="H9" s="28" t="str">
        <x:v>capture_only</x:v>
      </x:c>
      <x:c r="I9" s="28" t="str">
        <x:v>NOAA semantics change.</x:v>
      </x:c>
    </x:row>
    <x:row r="10">
      <x:c r="A10" s="28" t="str">
        <x:v>mesh_field</x:v>
      </x:c>
      <x:c r="B10" s="28" t="str">
        <x:v>hail_impact</x:v>
      </x:c>
      <x:c r="C10" s="28" t="str">
        <x:v>mesh_mm</x:v>
      </x:c>
      <x:c r="D10" s="28" t="str">
        <x:v>axis_source_field</x:v>
      </x:c>
      <x:c r="E10" s="28" t="str">
        <x:v>T2_public_lab_standard_or_physics</x:v>
      </x:c>
      <x:c r="F10" s="28" t="str">
        <x:v>HW-S002</x:v>
      </x:c>
      <x:c r="G10" s="28" t="str">
        <x:v>MRMS MESH is a distinct radar-estimated maximum-size product.</x:v>
      </x:c>
      <x:c r="H10" s="28" t="str">
        <x:v>capture_only</x:v>
      </x:c>
      <x:c r="I10" s="28" t="str">
        <x:v>MRMS product changes.</x:v>
      </x:c>
    </x:row>
    <x:row r="11">
      <x:c r="A11" s="28" t="str">
        <x:v>source_hail_interchangeability</x:v>
      </x:c>
      <x:c r="B11" s="28" t="str">
        <x:v>hail_impact</x:v>
      </x:c>
      <x:c r="C11" s="28" t="str">
        <x:v>false</x:v>
      </x:c>
      <x:c r="D11" s="28" t="str">
        <x:v>axis_guardrail</x:v>
      </x:c>
      <x:c r="E11" s="28" t="str">
        <x:v>T2_public_lab_standard_or_physics</x:v>
      </x:c>
      <x:c r="F11" s="28" t="str">
        <x:v>HW-S001;HW-S002</x:v>
      </x:c>
      <x:c r="G11" s="28" t="str">
        <x:v>Observation and radar estimate are not silently interchangeable.</x:v>
      </x:c>
      <x:c r="H11" s="28" t="str">
        <x:v>adopt</x:v>
      </x:c>
      <x:c r="I11" s="28" t="str">
        <x:v>Validated mapping is governed.</x:v>
      </x:c>
    </x:row>
    <x:row r="12">
      <x:c r="A12" s="28" t="str">
        <x:v>target_axis_status</x:v>
      </x:c>
      <x:c r="B12" s="28" t="str">
        <x:v>hail_impact</x:v>
      </x:c>
      <x:c r="C12" s="28" t="str">
        <x:v>withheld_pending_contact_demand_bridge</x:v>
      </x:c>
      <x:c r="D12" s="28" t="str">
        <x:v>axis_bridge</x:v>
      </x:c>
      <x:c r="E12" s="28" t="str">
        <x:v>T4_placeholder_or_expert_judgment</x:v>
      </x:c>
      <x:c r="F12" s="28" t="str">
        <x:v>HW-S003;HW-S004;HW-S005;GOVERNANCE_CONTRACT</x:v>
      </x:c>
      <x:c r="G12" s="28" t="str">
        <x:v>No generic source-to-blade demand bridge is qualified.</x:v>
      </x:c>
      <x:c r="H12" s="28" t="str">
        <x:v>adopt</x:v>
      </x:c>
      <x:c r="I12" s="28" t="str">
        <x:v>Bridge review and KATs pass.</x:v>
      </x:c>
    </x:row>
    <x:row r="13">
      <x:c r="A13" s="28" t="str">
        <x:v>contact_normal_energy_field</x:v>
      </x:c>
      <x:c r="B13" s="28" t="str">
        <x:v>hail_impact</x:v>
      </x:c>
      <x:c r="C13" s="28" t="str">
        <x:v>contact_normal_energy_j</x:v>
      </x:c>
      <x:c r="D13" s="28" t="str">
        <x:v>derived_demand_candidate</x:v>
      </x:c>
      <x:c r="E13" s="28" t="str">
        <x:v>T3_engineering_proxy_or_adjacent_empirical</x:v>
      </x:c>
      <x:c r="F13" s="28" t="str">
        <x:v>HW-S003;HW-S004;HW-S005</x:v>
      </x:c>
      <x:c r="G13" s="28" t="str">
        <x:v>Candidate local demand requires exact trajectory/kinematics/material context.</x:v>
      </x:c>
      <x:c r="H13" s="28" t="str">
        <x:v>candidate_disabled</x:v>
      </x:c>
      <x:c r="I13" s="28" t="str">
        <x:v>Product-specific bridge qualifies.</x:v>
      </x:c>
    </x:row>
    <x:row r="14">
      <x:c r="A14" s="28" t="str">
        <x:v>impact_energy_density_field</x:v>
      </x:c>
      <x:c r="B14" s="28" t="str">
        <x:v>hail_impact</x:v>
      </x:c>
      <x:c r="C14" s="28" t="str">
        <x:v>event_impact_energy_density_j_per_m2_by_blade_zone</x:v>
      </x:c>
      <x:c r="D14" s="28" t="str">
        <x:v>derived_demand_candidate</x:v>
      </x:c>
      <x:c r="E14" s="28" t="str">
        <x:v>T3_engineering_proxy_or_adjacent_empirical</x:v>
      </x:c>
      <x:c r="F14" s="28" t="str">
        <x:v>HW-S004;HW-S006;HW-S007;HW-S009</x:v>
      </x:c>
      <x:c r="G14" s="28" t="str">
        <x:v>Candidate history object for repeated impacts; occurrence/chronic semantics unresolved.</x:v>
      </x:c>
      <x:c r="H14" s="28" t="str">
        <x:v>candidate_disabled</x:v>
      </x:c>
      <x:c r="I14" s="28" t="str">
        <x:v>Event attribution and validation pass.</x:v>
      </x:c>
    </x:row>
    <x:row r="15">
      <x:c r="A15" s="28" t="str">
        <x:v>hail_size_distribution_id</x:v>
      </x:c>
      <x:c r="B15" s="28" t="str">
        <x:v>hail_impact</x:v>
      </x:c>
      <x:c r="C15" s="28" t="str">
        <x:v>required_future_no_default</x:v>
      </x:c>
      <x:c r="D15" s="28" t="str">
        <x:v>bridge_input</x:v>
      </x:c>
      <x:c r="E15" s="28" t="str">
        <x:v>T2_public_lab_standard_or_physics</x:v>
      </x:c>
      <x:c r="F15" s="28" t="str">
        <x:v>HW-S003;HW-S006;HW-S008</x:v>
      </x:c>
      <x:c r="G15" s="28" t="str">
        <x:v>Maximum size alone does not supply count/flux/distribution.</x:v>
      </x:c>
      <x:c r="H15" s="28" t="str">
        <x:v>open_seam</x:v>
      </x:c>
      <x:c r="I15" s="28" t="str">
        <x:v>Qualified event product supplies it.</x:v>
      </x:c>
    </x:row>
    <x:row r="16">
      <x:c r="A16" s="28" t="str">
        <x:v>hail_density_basis_kg_m3</x:v>
      </x:c>
      <x:c r="B16" s="28" t="str">
        <x:v>hail_impact</x:v>
      </x:c>
      <x:c r="C16" s="28" t="str">
        <x:v>required_future_no_default</x:v>
      </x:c>
      <x:c r="D16" s="28" t="str">
        <x:v>bridge_input</x:v>
      </x:c>
      <x:c r="E16" s="28" t="str">
        <x:v>T2_public_lab_standard_or_physics</x:v>
      </x:c>
      <x:c r="F16" s="28" t="str">
        <x:v>HW-S003;HW-S004;HW-S005</x:v>
      </x:c>
      <x:c r="G16" s="28" t="str">
        <x:v>Mass/energy calculation requires a declared density/material model.</x:v>
      </x:c>
      <x:c r="H16" s="28" t="str">
        <x:v>open_seam</x:v>
      </x:c>
      <x:c r="I16" s="28" t="str">
        <x:v>Qualified bridge freezes basis.</x:v>
      </x:c>
    </x:row>
    <x:row r="17">
      <x:c r="A17" s="28" t="str">
        <x:v>hail_event_wind_vector</x:v>
      </x:c>
      <x:c r="B17" s="28" t="str">
        <x:v>hail_impact</x:v>
      </x:c>
      <x:c r="C17" s="28" t="str">
        <x:v>required_future_no_default</x:v>
      </x:c>
      <x:c r="D17" s="28" t="str">
        <x:v>bridge_input</x:v>
      </x:c>
      <x:c r="E17" s="28" t="str">
        <x:v>T3_engineering_proxy_or_adjacent_empirical</x:v>
      </x:c>
      <x:c r="F17" s="28" t="str">
        <x:v>HW-S004;HW-S005;HW-S008</x:v>
      </x:c>
      <x:c r="G17" s="28" t="str">
        <x:v>Wind affects trajectory and relative impact.</x:v>
      </x:c>
      <x:c r="H17" s="28" t="str">
        <x:v>open_seam</x:v>
      </x:c>
      <x:c r="I17" s="28" t="str">
        <x:v>Qualified measurement/product enters.</x:v>
      </x:c>
    </x:row>
    <x:row r="18">
      <x:c r="A18" s="28" t="str">
        <x:v>rotor_speed_rpm</x:v>
      </x:c>
      <x:c r="B18" s="28" t="str">
        <x:v>hail_impact</x:v>
      </x:c>
      <x:c r="C18" s="28" t="str">
        <x:v>measured_or_reconstructed_no_default</x:v>
      </x:c>
      <x:c r="D18" s="28" t="str">
        <x:v>conditioner_and_bridge_input</x:v>
      </x:c>
      <x:c r="E18" s="28" t="str">
        <x:v>T2_public_lab_standard_or_physics</x:v>
      </x:c>
      <x:c r="F18" s="28" t="str">
        <x:v>HW-S004;HW-S005;HW-S006</x:v>
      </x:c>
      <x:c r="G18" s="28" t="str">
        <x:v>Blade velocity is load-bearing.</x:v>
      </x:c>
      <x:c r="H18" s="28" t="str">
        <x:v>capture_only</x:v>
      </x:c>
      <x:c r="I18" s="28" t="str">
        <x:v>Calibrated state model qualifies.</x:v>
      </x:c>
    </x:row>
    <x:row r="19">
      <x:c r="A19" s="28" t="str">
        <x:v>operating_state</x:v>
      </x:c>
      <x:c r="B19" s="28" t="str">
        <x:v>hail_impact</x:v>
      </x:c>
      <x:c r="C19" s="28" t="str">
        <x:v>required_future_unknown_withholds</x:v>
      </x:c>
      <x:c r="D19" s="28" t="str">
        <x:v>conditioner</x:v>
      </x:c>
      <x:c r="E19" s="28" t="str">
        <x:v>T3_engineering_proxy_or_adjacent_empirical</x:v>
      </x:c>
      <x:c r="F19" s="28" t="str">
        <x:v>HW-S004;HW-S005;HW-S006</x:v>
      </x:c>
      <x:c r="G19" s="28" t="str">
        <x:v>Operating/parked state affects kinematics and exposure.</x:v>
      </x:c>
      <x:c r="H19" s="28" t="str">
        <x:v>capture_only</x:v>
      </x:c>
      <x:c r="I19" s="28" t="str">
        <x:v>State-specific calibration qualifies.</x:v>
      </x:c>
    </x:row>
    <x:row r="20">
      <x:c r="A20" s="28" t="str">
        <x:v>pitch_azimuth_history</x:v>
      </x:c>
      <x:c r="B20" s="28" t="str">
        <x:v>hail_impact</x:v>
      </x:c>
      <x:c r="C20" s="28" t="str">
        <x:v>required_future_unknown_withholds</x:v>
      </x:c>
      <x:c r="D20" s="28" t="str">
        <x:v>conditioner_and_bridge_input</x:v>
      </x:c>
      <x:c r="E20" s="28" t="str">
        <x:v>T3_engineering_proxy_or_adjacent_empirical</x:v>
      </x:c>
      <x:c r="F20" s="28" t="str">
        <x:v>HW-S004;HW-S005</x:v>
      </x:c>
      <x:c r="G20" s="28" t="str">
        <x:v>Angle and blade position affect contact demand.</x:v>
      </x:c>
      <x:c r="H20" s="28" t="str">
        <x:v>capture_only</x:v>
      </x:c>
      <x:c r="I20" s="28" t="str">
        <x:v>Qualified time-history bridge enters.</x:v>
      </x:c>
    </x:row>
    <x:row r="21">
      <x:c r="A21" s="28" t="str">
        <x:v>shutdown_command_credit</x:v>
      </x:c>
      <x:c r="B21" s="28" t="str">
        <x:v>hail_impact</x:v>
      </x:c>
      <x:c r="C21" s="28" t="str">
        <x:v>disabled</x:v>
      </x:c>
      <x:c r="D21" s="28" t="str">
        <x:v>conditioner_rule</x:v>
      </x:c>
      <x:c r="E21" s="28" t="str">
        <x:v>T4_placeholder_or_expert_judgment</x:v>
      </x:c>
      <x:c r="F21" s="28" t="str">
        <x:v>GOVERNANCE_CONTRACT</x:v>
      </x:c>
      <x:c r="G21" s="28" t="str">
        <x:v>Command does not prove attained protected state or calibrated effect.</x:v>
      </x:c>
      <x:c r="H21" s="28" t="str">
        <x:v>adopt</x:v>
      </x:c>
      <x:c r="I21" s="28" t="str">
        <x:v>Measured attained-state response qualifies.</x:v>
      </x:c>
    </x:row>
    <x:row r="22">
      <x:c r="A22" s="28" t="str">
        <x:v>leading_edge_protection_credit</x:v>
      </x:c>
      <x:c r="B22" s="28" t="str">
        <x:v>hail_impact</x:v>
      </x:c>
      <x:c r="C22" s="28" t="str">
        <x:v>disabled</x:v>
      </x:c>
      <x:c r="D22" s="28" t="str">
        <x:v>selector_adjustment_rule</x:v>
      </x:c>
      <x:c r="E22" s="28" t="str">
        <x:v>T4_placeholder_or_expert_judgment</x:v>
      </x:c>
      <x:c r="F22" s="28" t="str">
        <x:v>HW-S003;HW-S011;GOVERNANCE_CONTRACT</x:v>
      </x:c>
      <x:c r="G22" s="28" t="str">
        <x:v>No generic hail efficacy coefficient exists for unknown LEP construction/condition.</x:v>
      </x:c>
      <x:c r="H22" s="28" t="str">
        <x:v>adopt</x:v>
      </x:c>
      <x:c r="I22" s="28" t="str">
        <x:v>Product-specific hail tests qualify.</x:v>
      </x:c>
    </x:row>
    <x:row r="23">
      <x:c r="A23" s="28" t="str">
        <x:v>blade_model_required</x:v>
      </x:c>
      <x:c r="B23" s="28" t="str">
        <x:v>hail_impact</x:v>
      </x:c>
      <x:c r="C23" s="28" t="str">
        <x:v>true_for_future_curve</x:v>
      </x:c>
      <x:c r="D23" s="28" t="str">
        <x:v>selector_rule</x:v>
      </x:c>
      <x:c r="E23" s="28" t="str">
        <x:v>T3_engineering_proxy_or_adjacent_empirical</x:v>
      </x:c>
      <x:c r="F23" s="28" t="str">
        <x:v>HW-S003;HW-S005;HW-S013</x:v>
      </x:c>
      <x:c r="G23" s="28" t="str">
        <x:v>Material/geometry response and value vary by blade.</x:v>
      </x:c>
      <x:c r="H23" s="28" t="str">
        <x:v>capture_only</x:v>
      </x:c>
      <x:c r="I23" s="28" t="str">
        <x:v>A reviewed family-level transfer rule qualifies.</x:v>
      </x:c>
    </x:row>
    <x:row r="24">
      <x:c r="A24" s="28" t="str">
        <x:v>prior_condition_default</x:v>
      </x:c>
      <x:c r="B24" s="28" t="str">
        <x:v>hail_impact</x:v>
      </x:c>
      <x:c r="C24" s="28" t="str">
        <x:v>unknown_no_credit</x:v>
      </x:c>
      <x:c r="D24" s="28" t="str">
        <x:v>selector_rule</x:v>
      </x:c>
      <x:c r="E24" s="28" t="str">
        <x:v>T4_placeholder_or_expert_judgment</x:v>
      </x:c>
      <x:c r="F24" s="28" t="str">
        <x:v>GOVERNANCE_CONTRACT;HW-S010</x:v>
      </x:c>
      <x:c r="G24" s="28" t="str">
        <x:v>Prior coating/structural condition can change state but lacks a calibrated generic default.</x:v>
      </x:c>
      <x:c r="H24" s="28" t="str">
        <x:v>adopt</x:v>
      </x:c>
      <x:c r="I24" s="28" t="str">
        <x:v>Inspection-conditioned model passes.</x:v>
      </x:c>
    </x:row>
    <x:row r="25">
      <x:c r="A25" s="28" t="str">
        <x:v>blade_failure_unit</x:v>
      </x:c>
      <x:c r="B25" s="28" t="str">
        <x:v>hail_impact</x:v>
      </x:c>
      <x:c r="C25" s="28" t="str">
        <x:v>WT_BLADE_ASSEMBLY</x:v>
      </x:c>
      <x:c r="D25" s="28" t="str">
        <x:v>failure_unit_design</x:v>
      </x:c>
      <x:c r="E25" s="28" t="str">
        <x:v>T3_engineering_proxy_or_adjacent_empirical</x:v>
      </x:c>
      <x:c r="F25" s="28" t="str">
        <x:v>HW-S003;HW-S005;HW-S010;HW-S015</x:v>
      </x:c>
      <x:c r="G25" s="28" t="str">
        <x:v>Primary evidence/value atom with dependency-safe repair/replacement states.</x:v>
      </x:c>
      <x:c r="H25" s="28" t="str">
        <x:v>adopt</x:v>
      </x:c>
      <x:c r="I25" s="28" t="str">
        <x:v>A source-backed finer denominator split is approved.</x:v>
      </x:c>
    </x:row>
    <x:row r="26">
      <x:c r="A26" s="28" t="str">
        <x:v>blade_state_form</x:v>
      </x:c>
      <x:c r="B26" s="28" t="str">
        <x:v>hail_impact</x:v>
      </x:c>
      <x:c r="C26" s="28" t="str">
        <x:v>mutually_exclusive_or_nested_state_model_candidate</x:v>
      </x:c>
      <x:c r="D26" s="28" t="str">
        <x:v>curve_form_candidate</x:v>
      </x:c>
      <x:c r="E26" s="28" t="str">
        <x:v>T3_engineering_proxy_or_adjacent_empirical</x:v>
      </x:c>
      <x:c r="F26" s="28" t="str">
        <x:v>HW-S010;HW-S014;GOVERNANCE_CONTRACT</x:v>
      </x:c>
      <x:c r="G26" s="28" t="str">
        <x:v>Avoid overlapping coating repair and terminal replacement.</x:v>
      </x:c>
      <x:c r="H26" s="28" t="str">
        <x:v>candidate_disabled</x:v>
      </x:c>
      <x:c r="I26" s="28" t="str">
        <x:v>State probabilities and costs qualify.</x:v>
      </x:c>
    </x:row>
    <x:row r="27">
      <x:c r="A27" s="28" t="str">
        <x:v>chronic_ADF_runtime_use</x:v>
      </x:c>
      <x:c r="B27" s="28" t="str">
        <x:v>hail_impact</x:v>
      </x:c>
      <x:c r="C27" s="28" t="str">
        <x:v>prohibited</x:v>
      </x:c>
      <x:c r="D27" s="28" t="str">
        <x:v>endpoint_guardrail</x:v>
      </x:c>
      <x:c r="E27" s="28" t="str">
        <x:v>T3_engineering_proxy_or_adjacent_empirical</x:v>
      </x:c>
      <x:c r="F27" s="28" t="str">
        <x:v>HW-S006;HW-S007;HW-S009</x:v>
      </x:c>
      <x:c r="G27" s="28" t="str">
        <x:v>Cumulative lifetime coating degradation is not occurrence direct physical DR.</x:v>
      </x:c>
      <x:c r="H27" s="28" t="str">
        <x:v>adopt</x:v>
      </x:c>
      <x:c r="I27" s="28" t="str">
        <x:v>Separate lifecycle pathway/capability is governed.</x:v>
      </x:c>
    </x:row>
    <x:row r="28">
      <x:c r="A28" s="28" t="str">
        <x:v>legacy_real_estate_curve_use</x:v>
      </x:c>
      <x:c r="B28" s="28" t="str">
        <x:v>hail_impact</x:v>
      </x:c>
      <x:c r="C28" s="28" t="str">
        <x:v>prohibited</x:v>
      </x:c>
      <x:c r="D28" s="28" t="str">
        <x:v>legacy_guardrail</x:v>
      </x:c>
      <x:c r="E28" s="28" t="str">
        <x:v>T4_placeholder_or_expert_judgment</x:v>
      </x:c>
      <x:c r="F28" s="28" t="str">
        <x:v>HW-S018</x:v>
      </x:c>
      <x:c r="G28" s="28" t="str">
        <x:v>Wrong asset/citation, units, and extension.</x:v>
      </x:c>
      <x:c r="H28" s="28" t="str">
        <x:v>reject</x:v>
      </x:c>
      <x:c r="I28" s="28" t="str">
        <x:v>Never; replace with newly governed wind evidence.</x:v>
      </x:c>
    </x:row>
    <x:row r="29">
      <x:c r="A29" s="28" t="str">
        <x:v>solar_hail_curve_fallback</x:v>
      </x:c>
      <x:c r="B29" s="28" t="str">
        <x:v>hail_impact</x:v>
      </x:c>
      <x:c r="C29" s="28" t="str">
        <x:v>prohibited</x:v>
      </x:c>
      <x:c r="D29" s="28" t="str">
        <x:v>neighboring_cell_guardrail</x:v>
      </x:c>
      <x:c r="E29" s="28" t="str">
        <x:v>T4_placeholder_or_expert_judgment</x:v>
      </x:c>
      <x:c r="F29" s="28" t="str">
        <x:v>GOVERNANCE_CONTRACT</x:v>
      </x:c>
      <x:c r="G29" s="28" t="str">
        <x:v>PV glass/cell response does not transfer to rotating composite blades.</x:v>
      </x:c>
      <x:c r="H29" s="28" t="str">
        <x:v>adopt</x:v>
      </x:c>
      <x:c r="I29" s="28" t="str">
        <x:v>Exact transfer evidence passes.</x:v>
      </x:c>
    </x:row>
    <x:row r="30">
      <x:c r="A30" s="28" t="str">
        <x:v>turbine_exposure_grain</x:v>
      </x:c>
      <x:c r="B30" s="28" t="str">
        <x:v>hail_impact</x:v>
      </x:c>
      <x:c r="C30" s="28" t="str">
        <x:v>per_turbine_point_or_rotor</x:v>
      </x:c>
      <x:c r="D30" s="28" t="str">
        <x:v>exposure_rule</x:v>
      </x:c>
      <x:c r="E30" s="28" t="str">
        <x:v>T4_placeholder_or_expert_judgment</x:v>
      </x:c>
      <x:c r="F30" s="28" t="str">
        <x:v>HW-S017</x:v>
      </x:c>
      <x:c r="G30" s="28" t="str">
        <x:v>Sparse repeated turbine subjects require per-unit coupling.</x:v>
      </x:c>
      <x:c r="H30" s="28" t="str">
        <x:v>adopt</x:v>
      </x:c>
      <x:c r="I30" s="28" t="str">
        <x:v>Exact geometry representation changes.</x:v>
      </x:c>
    </x:row>
    <x:row r="31">
      <x:c r="A31" s="28" t="str">
        <x:v>lease_polygon_full_exposure</x:v>
      </x:c>
      <x:c r="B31" s="28" t="str">
        <x:v>hail_impact</x:v>
      </x:c>
      <x:c r="C31" s="28" t="str">
        <x:v>prohibited</x:v>
      </x:c>
      <x:c r="D31" s="28" t="str">
        <x:v>exposure_rule</x:v>
      </x:c>
      <x:c r="E31" s="28" t="str">
        <x:v>T4_placeholder_or_expert_judgment</x:v>
      </x:c>
      <x:c r="F31" s="28" t="str">
        <x:v>HW-S017</x:v>
      </x:c>
      <x:c r="G31" s="28" t="str">
        <x:v>Lease envelope is not solid hardware.</x:v>
      </x:c>
      <x:c r="H31" s="28" t="str">
        <x:v>adopt</x:v>
      </x:c>
      <x:c r="I31" s="28" t="str">
        <x:v>Never without exact asset-value proof.</x:v>
      </x:c>
    </x:row>
    <x:row r="32">
      <x:c r="A32" s="28" t="str">
        <x:v>BOP_unknown_exposure_default</x:v>
      </x:c>
      <x:c r="B32" s="28" t="str">
        <x:v>hail_impact</x:v>
      </x:c>
      <x:c r="C32" s="28" t="str">
        <x:v>withhold_not_one</x:v>
      </x:c>
      <x:c r="D32" s="28" t="str">
        <x:v>exposure_rule</x:v>
      </x:c>
      <x:c r="E32" s="28" t="str">
        <x:v>T4_placeholder_or_expert_judgment</x:v>
      </x:c>
      <x:c r="F32" s="28" t="str">
        <x:v>HW-S017;GOVERNANCE_CONTRACT</x:v>
      </x:c>
      <x:c r="G32" s="28" t="str">
        <x:v>Unknown point/line/yard subject cannot default fully exposed.</x:v>
      </x:c>
      <x:c r="H32" s="28" t="str">
        <x:v>adopt</x:v>
      </x:c>
      <x:c r="I32" s="28" t="str">
        <x:v>Site geometry is supplied.</x:v>
      </x:c>
    </x:row>
    <x:row r="33">
      <x:c r="A33" s="28" t="str">
        <x:v>blade_reference_value</x:v>
      </x:c>
      <x:c r="B33" s="28" t="str">
        <x:v>hail_impact</x:v>
      </x:c>
      <x:c r="C33" s="28" t="str">
        <x:v>282_2023_USD_per_kW</x:v>
      </x:c>
      <x:c r="D33" s="28" t="str">
        <x:v>value_reference</x:v>
      </x:c>
      <x:c r="E33" s="28" t="str">
        <x:v>T2_public_lab_standard_or_physics</x:v>
      </x:c>
      <x:c r="F33" s="28" t="str">
        <x:v>NREL_CWER_2024</x:v>
      </x:c>
      <x:c r="G33" s="28" t="str">
        <x:v>Reference blade hardware row only.</x:v>
      </x:c>
      <x:c r="H33" s="28" t="str">
        <x:v>reference_only</x:v>
      </x:c>
      <x:c r="I33" s="28" t="str">
        <x:v>CWER or site ledger changes.</x:v>
      </x:c>
    </x:row>
    <x:row r="34">
      <x:c r="A34" s="28" t="str">
        <x:v>physical_reference_value</x:v>
      </x:c>
      <x:c r="B34" s="28" t="str">
        <x:v>all_shared</x:v>
      </x:c>
      <x:c r="C34" s="28" t="str">
        <x:v>1623_2023_USD_per_kW</x:v>
      </x:c>
      <x:c r="D34" s="28" t="str">
        <x:v>value_reference</x:v>
      </x:c>
      <x:c r="E34" s="28" t="str">
        <x:v>T2_public_lab_standard_or_physics</x:v>
      </x:c>
      <x:c r="F34" s="28" t="str">
        <x:v>NREL_CWER_2024</x:v>
      </x:c>
      <x:c r="G34" s="28" t="str">
        <x:v>Reference physical denominator reconciliation.</x:v>
      </x:c>
      <x:c r="H34" s="28" t="str">
        <x:v>reference_only</x:v>
      </x:c>
      <x:c r="I34" s="28" t="str">
        <x:v>CWER or site ledger changes.</x:v>
      </x:c>
    </x:row>
    <x:row r="35">
      <x:c r="A35" s="28" t="str">
        <x:v>installed_reference_value</x:v>
      </x:c>
      <x:c r="B35" s="28" t="str">
        <x:v>all_shared</x:v>
      </x:c>
      <x:c r="C35" s="28" t="str">
        <x:v>1968_2023_USD_per_kW</x:v>
      </x:c>
      <x:c r="D35" s="28" t="str">
        <x:v>value_reference</x:v>
      </x:c>
      <x:c r="E35" s="28" t="str">
        <x:v>T2_public_lab_standard_or_physics</x:v>
      </x:c>
      <x:c r="F35" s="28" t="str">
        <x:v>NREL_CWER_2024</x:v>
      </x:c>
      <x:c r="G35" s="28" t="str">
        <x:v>Reference installed denominator reconciliation.</x:v>
      </x:c>
      <x:c r="H35" s="28" t="str">
        <x:v>reference_only</x:v>
      </x:c>
      <x:c r="I35" s="28" t="str">
        <x:v>CWER or site ledger changes.</x:v>
      </x:c>
    </x:row>
    <x:row r="36">
      <x:c r="A36" s="28" t="str">
        <x:v>blade_reference_physical_share</x:v>
      </x:c>
      <x:c r="B36" s="28" t="str">
        <x:v>hail_impact</x:v>
      </x:c>
      <x:c r="C36" s="28" t="str">
        <x:v>0.173752310536</x:v>
      </x:c>
      <x:c r="D36" s="28" t="str">
        <x:v>value_relationship</x:v>
      </x:c>
      <x:c r="E36" s="28" t="str">
        <x:v>T2_public_lab_standard_or_physics</x:v>
      </x:c>
      <x:c r="F36" s="28" t="str">
        <x:v>NREL_CWER_2024</x:v>
      </x:c>
      <x:c r="G36" s="28" t="str">
        <x:v>282 divided by 1623; not a loss cap.</x:v>
      </x:c>
      <x:c r="H36" s="28" t="str">
        <x:v>reference_only</x:v>
      </x:c>
      <x:c r="I36" s="28" t="str">
        <x:v>Reference values change.</x:v>
      </x:c>
    </x:row>
    <x:row r="37">
      <x:c r="A37" s="28" t="str">
        <x:v>support_cost_rule</x:v>
      </x:c>
      <x:c r="B37" s="28" t="str">
        <x:v>all_shared</x:v>
      </x:c>
      <x:c r="C37" s="28" t="str">
        <x:v>allocate_once_after_disposition</x:v>
      </x:c>
      <x:c r="D37" s="28" t="str">
        <x:v>value_rule</x:v>
      </x:c>
      <x:c r="E37" s="28" t="str">
        <x:v>T4_placeholder_or_expert_judgment</x:v>
      </x:c>
      <x:c r="F37" s="28" t="str">
        <x:v>HW-S014;NREL_CWER_2024;GOVERNANCE_CONTRACT</x:v>
      </x:c>
      <x:c r="G37" s="28" t="str">
        <x:v>Prevent independent support DR and duplicate scaling.</x:v>
      </x:c>
      <x:c r="H37" s="28" t="str">
        <x:v>adopt</x:v>
      </x:c>
      <x:c r="I37" s="28" t="str">
        <x:v>Claims/site allocation rule qualifies.</x:v>
      </x:c>
    </x:row>
    <x:row r="38">
      <x:c r="A38" s="28" t="str">
        <x:v>unknown_value_behavior</x:v>
      </x:c>
      <x:c r="B38" s="28" t="str">
        <x:v>all_shared</x:v>
      </x:c>
      <x:c r="C38" s="28" t="str">
        <x:v>withhold_scenario_loss</x:v>
      </x:c>
      <x:c r="D38" s="28" t="str">
        <x:v>value_rule</x:v>
      </x:c>
      <x:c r="E38" s="28" t="str">
        <x:v>T4_placeholder_or_expert_judgment</x:v>
      </x:c>
      <x:c r="F38" s="28" t="str">
        <x:v>GOVERNANCE_CONTRACT</x:v>
      </x:c>
      <x:c r="G38" s="28" t="str">
        <x:v>Reference values are not site defaults for loss.</x:v>
      </x:c>
      <x:c r="H38" s="28" t="str">
        <x:v>adopt</x:v>
      </x:c>
      <x:c r="I38" s="28" t="str">
        <x:v>Site values are supplied.</x:v>
      </x:c>
    </x:row>
    <x:row r="39">
      <x:c r="A39" s="28" t="str">
        <x:v>failure_unit_scalar_dr</x:v>
      </x:c>
      <x:c r="B39" s="28" t="str">
        <x:v>hail_impact</x:v>
      </x:c>
      <x:c r="C39" s="28" t="str">
        <x:v>withheld_NO_RUNTIME_CURVE</x:v>
      </x:c>
      <x:c r="D39" s="28" t="str">
        <x:v>capability</x:v>
      </x:c>
      <x:c r="E39" s="28" t="str">
        <x:v>T4_placeholder_or_expert_judgment</x:v>
      </x:c>
      <x:c r="F39" s="28" t="str">
        <x:v>GOVERNANCE_CONTRACT;BOUNDED_SEARCH_LOG</x:v>
      </x:c>
      <x:c r="G39" s="28" t="str">
        <x:v>No output-bearing record.</x:v>
      </x:c>
      <x:c r="H39" s="28" t="str">
        <x:v>adopt</x:v>
      </x:c>
      <x:c r="I39" s="28" t="str">
        <x:v>Model v1.0 release.</x:v>
      </x:c>
    </x:row>
    <x:row r="40">
      <x:c r="A40" s="28" t="str">
        <x:v>scenario_loss</x:v>
      </x:c>
      <x:c r="B40" s="28" t="str">
        <x:v>hail_impact</x:v>
      </x:c>
      <x:c r="C40" s="28" t="str">
        <x:v>withheld_NO_RUNTIME_CURVE</x:v>
      </x:c>
      <x:c r="D40" s="28" t="str">
        <x:v>capability</x:v>
      </x:c>
      <x:c r="E40" s="28" t="str">
        <x:v>T4_placeholder_or_expert_judgment</x:v>
      </x:c>
      <x:c r="F40" s="28" t="str">
        <x:v>GOVERNANCE_CONTRACT</x:v>
      </x:c>
      <x:c r="G40" s="28" t="str">
        <x:v>No DR, value, exposure, or support rule is qualified.</x:v>
      </x:c>
      <x:c r="H40" s="28" t="str">
        <x:v>adopt</x:v>
      </x:c>
      <x:c r="I40" s="28" t="str">
        <x:v>All named gates pass.</x:v>
      </x:c>
    </x:row>
    <x:row r="41">
      <x:c r="A41" s="28" t="str">
        <x:v>scalar_eal</x:v>
      </x:c>
      <x:c r="B41" s="28" t="str">
        <x:v>hail_impact</x:v>
      </x:c>
      <x:c r="C41" s="28" t="str">
        <x:v>withheld</x:v>
      </x:c>
      <x:c r="D41" s="28" t="str">
        <x:v>capability</x:v>
      </x:c>
      <x:c r="E41" s="28" t="str">
        <x:v>T4_placeholder_or_expert_judgment</x:v>
      </x:c>
      <x:c r="F41" s="28" t="str">
        <x:v>GOVERNANCE_CONTRACT</x:v>
      </x:c>
      <x:c r="G41" s="28" t="str">
        <x:v>Cell owns no frequency/distribution and no cap preflight exists.</x:v>
      </x:c>
      <x:c r="H41" s="28" t="str">
        <x:v>adopt</x:v>
      </x:c>
      <x:c r="I41" s="28" t="str">
        <x:v>Downstream prerequisites and cap preflight pass.</x:v>
      </x:c>
    </x:row>
    <x:row r="42">
      <x:c r="A42" s="30" t="str">
        <x:v>pml_var_tvar</x:v>
      </x:c>
      <x:c r="B42" s="30" t="str">
        <x:v>hail_impact</x:v>
      </x:c>
      <x:c r="C42" s="30" t="str">
        <x:v>withheld</x:v>
      </x:c>
      <x:c r="D42" s="30" t="str">
        <x:v>capability</x:v>
      </x:c>
      <x:c r="E42" s="30" t="str">
        <x:v>T4_placeholder_or_expert_judgment</x:v>
      </x:c>
      <x:c r="F42" s="30" t="str">
        <x:v>GOVERNANCE_CONTRACT</x:v>
      </x:c>
      <x:c r="G42" s="30" t="str">
        <x:v>No tail-supporting annual loss distribution exists.</x:v>
      </x:c>
      <x:c r="H42" s="30" t="str">
        <x:v>adopt</x:v>
      </x:c>
      <x:c r="I42" s="30" t="str">
        <x:v>Tail-capable downstream object exists.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8" hidden="0" customWidth="1"/>
    <x:col min="5" max="5" width="62" hidden="0" customWidth="1"/>
  </x:cols>
  <x:sheetData>
    <x:row r="1" ht="26" customHeight="1">
      <x:c r="A1" s="2" t="str">
        <x:v>Workbook QA checks</x:v>
      </x:c>
      <x:c r="B1" s="2"/>
      <x:c r="C1" s="2"/>
      <x:c r="D1" s="2"/>
      <x:c r="E1" s="2"/>
    </x:row>
    <x:row r="2" ht="22" customHeight="1">
      <x:c r="A2" s="4" t="str">
        <x:v>Formula-driven assertions; external validator also checks JSON/schema, IDs, links, rendering, and XLSX integrity</x:v>
      </x:c>
      <x:c r="B2" s="4"/>
      <x:c r="C2" s="4"/>
      <x:c r="D2" s="4"/>
      <x:c r="E2" s="4"/>
    </x:row>
    <x:row r="4">
      <x:c r="A4" s="13" t="str">
        <x:v>Check</x:v>
      </x:c>
      <x:c r="B4" s="14" t="str">
        <x:v>Status formula</x:v>
      </x:c>
      <x:c r="C4" s="14" t="str">
        <x:v>Expected/threshold</x:v>
      </x:c>
      <x:c r="D4" s="14" t="str">
        <x:v>Scope</x:v>
      </x:c>
      <x:c r="E4" s="15" t="str">
        <x:v>Why it matters</x:v>
      </x:c>
    </x:row>
    <x:row r="5">
      <x:c r="A5" s="27" t="str">
        <x:v>Physical reference reconciles</x:v>
      </x:c>
      <x:c r="B5" s="61" t="str">
        <x:f>IF(ABS('Asset_Value'!B10-1623)&lt;1E-9,"PASS","FAIL")</x:f>
        <x:v>PASS</x:v>
      </x:c>
      <x:c r="C5" s="27" t="n">
        <x:v>1623</x:v>
      </x:c>
      <x:c r="D5" s="27" t="str">
        <x:v>Asset_Value</x:v>
      </x:c>
      <x:c r="E5" s="27" t="str">
        <x:v>Turbine equipment + other direct + support</x:v>
      </x:c>
    </x:row>
    <x:row r="6">
      <x:c r="A6" s="28" t="str">
        <x:v>Installed reference reconciles</x:v>
      </x:c>
      <x:c r="B6" s="62" t="str">
        <x:f>IF(ABS('Asset_Value'!B12-1968)&lt;1E-9,"PASS","FAIL")</x:f>
        <x:v>PASS</x:v>
      </x:c>
      <x:c r="C6" s="28" t="n">
        <x:v>1968</x:v>
      </x:c>
      <x:c r="D6" s="28" t="str">
        <x:v>Asset_Value</x:v>
      </x:c>
      <x:c r="E6" s="28" t="str">
        <x:v>Physical + excluded</x:v>
      </x:c>
    </x:row>
    <x:row r="7">
      <x:c r="A7" s="28" t="str">
        <x:v>Blade physical share precise</x:v>
      </x:c>
      <x:c r="B7" s="62" t="str">
        <x:f>IF(ABS('Asset_Value'!B13-282/1623)&lt;1E-9,"PASS","FAIL")</x:f>
        <x:v>PASS</x:v>
      </x:c>
      <x:c r="C7" s="28" t="n">
        <x:v>0.17375231053604437</x:v>
      </x:c>
      <x:c r="D7" s="28" t="str">
        <x:v>Asset_Value</x:v>
      </x:c>
      <x:c r="E7" s="28" t="str">
        <x:v>Denominator anatomy, not DR cap</x:v>
      </x:c>
    </x:row>
    <x:row r="8">
      <x:c r="A8" s="28" t="str">
        <x:v>Runtime curve count is zero</x:v>
      </x:c>
      <x:c r="B8" s="62" t="str">
        <x:f>IF('README'!B11=0,"PASS","FAIL")</x:f>
        <x:v>PASS</x:v>
      </x:c>
      <x:c r="C8" s="28" t="n">
        <x:v>0</x:v>
      </x:c>
      <x:c r="D8" s="28" t="str">
        <x:v>README</x:v>
      </x:c>
      <x:c r="E8" s="28" t="str">
        <x:v>Fail-closed invariant</x:v>
      </x:c>
    </x:row>
    <x:row r="9">
      <x:c r="A9" s="28" t="str">
        <x:v>Candidate runtime flags all false</x:v>
      </x:c>
      <x:c r="B9" s="62" t="str">
        <x:f>IF(COUNTIF('Candidate_Audit'!F5:F10,TRUE)=0,"PASS","FAIL")</x:f>
        <x:v>PASS</x:v>
      </x:c>
      <x:c r="C9" s="28" t="n">
        <x:v>0</x:v>
      </x:c>
      <x:c r="D9" s="28" t="str">
        <x:v>Candidate_Audit</x:v>
      </x:c>
      <x:c r="E9" s="28" t="str">
        <x:v>Audit numbers cannot leak into runtime</x:v>
      </x:c>
    </x:row>
    <x:row r="10">
      <x:c r="A10" s="28" t="str">
        <x:v>Source register exact count</x:v>
      </x:c>
      <x:c r="B10" s="62" t="str">
        <x:f>IF(COUNTA('Source_Register'!A5:A25)=21,"PASS","FAIL")</x:f>
        <x:v>PASS</x:v>
      </x:c>
      <x:c r="C10" s="28" t="n">
        <x:v>21</x:v>
      </x:c>
      <x:c r="D10" s="28" t="str">
        <x:v>Source_Register</x:v>
      </x:c>
      <x:c r="E10" s="28" t="str">
        <x:v>All governed source rows present</x:v>
      </x:c>
    </x:row>
    <x:row r="11">
      <x:c r="A11" s="28" t="str">
        <x:v>Claim register exact count</x:v>
      </x:c>
      <x:c r="B11" s="62" t="str">
        <x:f>IF(COUNTA('Claim_Register'!A5:A30)=26,"PASS","FAIL")</x:f>
        <x:v>PASS</x:v>
      </x:c>
      <x:c r="C11" s="28" t="n">
        <x:v>26</x:v>
      </x:c>
      <x:c r="D11" s="28" t="str">
        <x:v>Claim_Register</x:v>
      </x:c>
      <x:c r="E11" s="28" t="str">
        <x:v>All governed claims present</x:v>
      </x:c>
    </x:row>
    <x:row r="12">
      <x:c r="A12" s="28" t="str">
        <x:v>Parameter tier exact count</x:v>
      </x:c>
      <x:c r="B12" s="62" t="str">
        <x:f>IF(COUNTA('Parameter_Tiers'!A5:A42)=38,"PASS","FAIL")</x:f>
        <x:v>PASS</x:v>
      </x:c>
      <x:c r="C12" s="28" t="n">
        <x:v>38</x:v>
      </x:c>
      <x:c r="D12" s="28" t="str">
        <x:v>Parameter_Tiers</x:v>
      </x:c>
      <x:c r="E12" s="28" t="str">
        <x:v>All rules/parameters present</x:v>
      </x:c>
    </x:row>
    <x:row r="13">
      <x:c r="A13" s="28" t="str">
        <x:v>Value crosswalk exact count</x:v>
      </x:c>
      <x:c r="B13" s="62" t="str">
        <x:f>IF(COUNTA('Value_Crosswalk'!A5:A30)=26,"PASS","FAIL")</x:f>
        <x:v>PASS</x:v>
      </x:c>
      <x:c r="C13" s="28" t="n">
        <x:v>26</x:v>
      </x:c>
      <x:c r="D13" s="28" t="str">
        <x:v>Value_Crosswalk</x:v>
      </x:c>
      <x:c r="E13" s="28" t="str">
        <x:v>All CWER detail and summary rows present</x:v>
      </x:c>
    </x:row>
    <x:row r="14">
      <x:c r="A14" s="28" t="str">
        <x:v>Failure unit exact count</x:v>
      </x:c>
      <x:c r="B14" s="62" t="str">
        <x:f>IF(COUNTA('Failure_Units'!A5:A15)=11,"PASS","FAIL")</x:f>
        <x:v>PASS</x:v>
      </x:c>
      <x:c r="C14" s="28" t="n">
        <x:v>11</x:v>
      </x:c>
      <x:c r="D14" s="28" t="str">
        <x:v>Failure_Units</x:v>
      </x:c>
      <x:c r="E14" s="28" t="str">
        <x:v>Every declared unit present</x:v>
      </x:c>
    </x:row>
    <x:row r="15">
      <x:c r="A15" s="28" t="str">
        <x:v>GSU remains separate</x:v>
      </x:c>
      <x:c r="B15" s="62" t="str">
        <x:f>IF(COUNTIF('Failure_Units'!A5:A15,"WT_GSU_SUBSTATION")=1,"PASS","FAIL")</x:f>
        <x:v>PASS</x:v>
      </x:c>
      <x:c r="C15" s="28" t="n">
        <x:v>1</x:v>
      </x:c>
      <x:c r="D15" s="28" t="str">
        <x:v>Failure_Units</x:v>
      </x:c>
      <x:c r="E15" s="28" t="str">
        <x:v>Shared yard anatomy explicit; no turbine pooling</x:v>
      </x:c>
    </x:row>
    <x:row r="16">
      <x:c r="A16" s="28" t="str">
        <x:v>Runtime reason exact</x:v>
      </x:c>
      <x:c r="B16" s="62" t="str">
        <x:f>IF('README'!B13="NO_RUNTIME_CURVE","PASS","FAIL")</x:f>
        <x:v>PASS</x:v>
      </x:c>
      <x:c r="C16" s="28" t="str">
        <x:v>NO_RUNTIME_CURVE</x:v>
      </x:c>
      <x:c r="D16" s="28" t="str">
        <x:v>README</x:v>
      </x:c>
      <x:c r="E16" s="28" t="str">
        <x:v>Null is not zero</x:v>
      </x:c>
    </x:row>
    <x:row r="17">
      <x:c r="A17" s="30" t="str">
        <x:v>Legacy checks rejected</x:v>
      </x:c>
      <x:c r="B17" s="63" t="str">
        <x:f>IF(AND('Legacy_Audit'!E6="reject",'Legacy_Audit'!E7="reject",'Legacy_Audit'!E8="reject",'Legacy_Audit'!E9="reject fallback"),"PASS","FAIL")</x:f>
        <x:v>PASS</x:v>
      </x:c>
      <x:c r="C17" s="30" t="n">
        <x:v>4</x:v>
      </x:c>
      <x:c r="D17" s="30" t="str">
        <x:v>Legacy_Audit</x:v>
      </x:c>
      <x:c r="E17" s="30" t="str">
        <x:v>Mislabeled/unit-defective curve cannot become a KAT</x:v>
      </x:c>
    </x:row>
  </x:sheetData>
  <x:mergeCells>
    <x:mergeCell ref="A1:E1"/>
    <x:mergeCell ref="A2:E2"/>
  </x:mergeCells>
  <x:pageMargins left="0.7" right="0.7" top="0.75" bottom="0.75" header="0.3" footer="0.3"/>
</x:worksheet>
</file>