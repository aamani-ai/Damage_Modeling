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17930e3e3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094fc563664b20"/>
    <x:sheet xmlns:r="http://schemas.openxmlformats.org/officeDocument/2006/relationships" name="Scope_Pathways" sheetId="2" r:id="R6156b7e34bf949f3"/>
    <x:sheet xmlns:r="http://schemas.openxmlformats.org/officeDocument/2006/relationships" name="Inputs" sheetId="3" r:id="Ra19e9b89c1f94649"/>
    <x:sheet xmlns:r="http://schemas.openxmlformats.org/officeDocument/2006/relationships" name="Value_Crosswalk" sheetId="4" r:id="R618b185f83474758"/>
    <x:sheet xmlns:r="http://schemas.openxmlformats.org/officeDocument/2006/relationships" name="State_Consequences" sheetId="5" r:id="R4af3b3b605f24126"/>
    <x:sheet xmlns:r="http://schemas.openxmlformats.org/officeDocument/2006/relationships" name="SLC_Curve" sheetId="6" r:id="R09a94b40b6c248ca"/>
    <x:sheet xmlns:r="http://schemas.openxmlformats.org/officeDocument/2006/relationships" name="Tornado_Curve" sheetId="7" r:id="R67da0601b10b4228"/>
    <x:sheet xmlns:r="http://schemas.openxmlformats.org/officeDocument/2006/relationships" name="Old_vs_New" sheetId="8" r:id="R134c67c8f2194f0d"/>
    <x:sheet xmlns:r="http://schemas.openxmlformats.org/officeDocument/2006/relationships" name="KATs" sheetId="9" r:id="R150d3a56c9664b1e"/>
    <x:sheet xmlns:r="http://schemas.openxmlformats.org/officeDocument/2006/relationships" name="Source_Register" sheetId="10" r:id="R2a7b0252296e41e5"/>
    <x:sheet xmlns:r="http://schemas.openxmlformats.org/officeDocument/2006/relationships" name="Claim_Register" sheetId="11" r:id="R2fb20691d16044b3"/>
    <x:sheet xmlns:r="http://schemas.openxmlformats.org/officeDocument/2006/relationships" name="QA" sheetId="12" r:id="R1e3457b3c13f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00000"/>
    <x:numFmt numFmtId="203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F1F1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sz val="10"/>
      <x:color rgb="FF0000FF"/>
      <x:name val="Carlito"/>
    </x:font>
    <x:font>
      <x:b/>
      <x:sz val="10"/>
      <x:color rgb="FF0061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6" borderId="1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202" fontId="5" fillId="8" borderId="1" xfId="0" applyNumberFormat="1" applyFont="1" applyFill="1" applyBorder="1" applyAlignment="1">
      <x:alignment vertical="top" wrapText="1"/>
    </x:xf>
    <x:xf numFmtId="202" fontId="5" fillId="7" borderId="1" xfId="0" applyNumberFormat="1" applyFont="1" applyFill="1" applyBorder="1" applyAlignment="1">
      <x:alignment vertical="top" wrapText="1"/>
    </x:xf>
    <x:xf numFmtId="202" fontId="5" fillId="3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a2b4131d744b0" /><Relationship Type="http://schemas.openxmlformats.org/officeDocument/2006/relationships/theme" Target="/xl/theme/theme1.xml" Id="R62f3066cc9b34d55" /><Relationship Type="http://schemas.microsoft.com/office/2022/11/relationships/FeaturePropertyBag" Target="/xl/featurePropertyBag/featurePropertyBag.xml" Id="R4b10ff94b69c40d7" /><Relationship Type="http://schemas.openxmlformats.org/officeDocument/2006/relationships/sharedStrings" Target="/xl/sharedStrings.xml" Id="R846a9d9911bf41f2" /><Relationship Type="http://schemas.openxmlformats.org/officeDocument/2006/relationships/worksheet" Target="/xl/worksheets/sheet1.xml" Id="R96094fc563664b20" /><Relationship Type="http://schemas.openxmlformats.org/officeDocument/2006/relationships/worksheet" Target="/xl/worksheets/sheet2.xml" Id="R6156b7e34bf949f3" /><Relationship Type="http://schemas.openxmlformats.org/officeDocument/2006/relationships/worksheet" Target="/xl/worksheets/sheet3.xml" Id="Ra19e9b89c1f94649" /><Relationship Type="http://schemas.openxmlformats.org/officeDocument/2006/relationships/worksheet" Target="/xl/worksheets/sheet4.xml" Id="R618b185f83474758" /><Relationship Type="http://schemas.openxmlformats.org/officeDocument/2006/relationships/worksheet" Target="/xl/worksheets/sheet5.xml" Id="R4af3b3b605f24126" /><Relationship Type="http://schemas.openxmlformats.org/officeDocument/2006/relationships/worksheet" Target="/xl/worksheets/sheet6.xml" Id="R09a94b40b6c248ca" /><Relationship Type="http://schemas.openxmlformats.org/officeDocument/2006/relationships/worksheet" Target="/xl/worksheets/sheet7.xml" Id="R67da0601b10b4228" /><Relationship Type="http://schemas.openxmlformats.org/officeDocument/2006/relationships/worksheet" Target="/xl/worksheets/sheet8.xml" Id="R134c67c8f2194f0d" /><Relationship Type="http://schemas.openxmlformats.org/officeDocument/2006/relationships/worksheet" Target="/xl/worksheets/sheet9.xml" Id="R150d3a56c9664b1e" /><Relationship Type="http://schemas.openxmlformats.org/officeDocument/2006/relationships/worksheet" Target="/xl/worksheets/sheet10.xml" Id="R2a7b0252296e41e5" /><Relationship Type="http://schemas.openxmlformats.org/officeDocument/2006/relationships/worksheet" Target="/xl/worksheets/sheet11.xml" Id="R2fb20691d16044b3" /><Relationship Type="http://schemas.openxmlformats.org/officeDocument/2006/relationships/worksheet" Target="/xl/worksheets/sheet12.xml" Id="R1e3457b3c13f4e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7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3" t="str">
        <x:v>Wind × onshore wind turbine — proposed model v2.0 / docs r1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NONCANONICAL SCREENING PROPOSAL · current model v1.0/docs r4 remains live · no hurricane curve · no annual loss metrics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0" t="str">
        <x:v>What this workbook is</x:v>
      </x:c>
      <x:c r="B4" s="10" t="str">
        <x:v>What this workbook is</x:v>
      </x:c>
      <x:c r="C4" s="10" t="str">
        <x:v>What this workbook is</x:v>
      </x:c>
      <x:c r="D4" s="10" t="str">
        <x:v>What this workbook is</x:v>
      </x:c>
      <x:c r="E4" s="10" t="str">
        <x:v>What this workbook is</x:v>
      </x:c>
      <x:c r="F4" s="10" t="str">
        <x:v>What this workbook is</x:v>
      </x:c>
      <x:c r="G4" s="10" t="str">
        <x:v>What this workbook is</x:v>
      </x:c>
      <x:c r="H4" s="10" t="str">
        <x:v>What this workbook is</x:v>
      </x:c>
      <x:c r="I4" s="10" t="str">
        <x:v>What this workbook is</x:v>
      </x:c>
    </x:row>
    <x:row r="5" ht="50" customHeight="1">
      <x:c r="A5" s="15" t="str">
        <x:v>Item</x:v>
      </x:c>
      <x:c r="B5" s="15" t="str">
        <x:v>Governed statement</x:v>
      </x:c>
      <x:c r="C5" s="15" t="str">
        <x:v>Reviewer action</x:v>
      </x:c>
    </x:row>
    <x:row r="6" ht="50" customHeight="1">
      <x:c r="A6" s="19" t="str">
        <x:v>Purpose</x:v>
      </x:c>
      <x:c r="B6" s="19" t="str">
        <x:v>Human-auditable derivation and QA view for two first-class pathways: straight_line_convective and tornado_direct_hit.</x:v>
      </x:c>
      <x:c r="C6" s="19" t="str">
        <x:v>Use the JSON artifact for runtime payloads; use this workbook to trace assumptions, formulas, values, evidence, and comparisons.</x:v>
      </x:c>
    </x:row>
    <x:row r="7" ht="50" customHeight="1">
      <x:c r="A7" s="19" t="str">
        <x:v>Scientific grade</x:v>
      </x:c>
      <x:c r="B7" s="19" t="str">
        <x:v>Screening engineering proxy. Straight-line load science is strong but load-to-cost calibration is absent; tornado anchors are field-supported but sparse.</x:v>
      </x:c>
      <x:c r="C7" s="19" t="str">
        <x:v>Treat lower/central/upper resistance cases as unweighted epistemic scenarios, never confidence intervals.</x:v>
      </x:c>
    </x:row>
    <x:row r="8" ht="50" customHeight="1">
      <x:c r="A8" s="19" t="str">
        <x:v>Primary loss atom</x:v>
      </x:c>
      <x:c r="B8" s="19" t="str">
        <x:v>One repeated turbine-equipment assembly: rotor + pitch + nacelle + power electronics + yaw + tower, denominator 1,090 2023 USD/kW.</x:v>
      </x:c>
      <x:c r="C8" s="19" t="str">
        <x:v>Do not apply its damage ratio to foundation, collection/substation, civil, support, installed TIV, or BI.</x:v>
      </x:c>
    </x:row>
    <x:row r="9" ht="50" customHeight="1">
      <x:c r="A9" s="19" t="str">
        <x:v>Canonical status</x:v>
      </x:c>
      <x:c r="B9" s="19" t="str">
        <x:v>canonical_runtime_artifact = false; package_release = unreleased; portable v2.5 and current v1 remain unchanged.</x:v>
      </x:c>
      <x:c r="C9" s="19" t="str">
        <x:v>Promotion requires contract review, KATs, workbook verification, one pinned Hazard adapter, and corrected Hazard seams.</x:v>
      </x:c>
    </x:row>
    <x:row r="11">
      <x:c r="A11" s="10" t="str">
        <x:v>Workbook navigation</x:v>
      </x:c>
      <x:c r="B11" s="10" t="str">
        <x:v>Workbook navigation</x:v>
      </x:c>
      <x:c r="C11" s="10" t="str">
        <x:v>Workbook navigation</x:v>
      </x:c>
      <x:c r="D11" s="10" t="str">
        <x:v>Workbook navigation</x:v>
      </x:c>
      <x:c r="E11" s="10" t="str">
        <x:v>Workbook navigation</x:v>
      </x:c>
      <x:c r="F11" s="10" t="str">
        <x:v>Workbook navigation</x:v>
      </x:c>
      <x:c r="G11" s="10" t="str">
        <x:v>Workbook navigation</x:v>
      </x:c>
      <x:c r="H11" s="10" t="str">
        <x:v>Workbook navigation</x:v>
      </x:c>
      <x:c r="I11" s="10" t="str">
        <x:v>Workbook navigation</x:v>
      </x:c>
    </x:row>
    <x:row r="12">
      <x:c r="A12" s="15" t="str">
        <x:v>Sheet</x:v>
      </x:c>
      <x:c r="B12" s="15" t="str">
        <x:v>Question answered</x:v>
      </x:c>
      <x:c r="C12" s="15" t="str">
        <x:v>Authority</x:v>
      </x:c>
    </x:row>
    <x:row r="13">
      <x:c r="A13" s="19" t="str">
        <x:v>Scope_Pathways</x:v>
      </x:c>
      <x:c r="B13" s="19" t="str">
        <x:v>Which mechanisms are in each pathway and which are excluded?</x:v>
      </x:c>
      <x:c r="C13" s="19" t="str">
        <x:v>Scope/contract</x:v>
      </x:c>
    </x:row>
    <x:row r="14">
      <x:c r="A14" s="19" t="str">
        <x:v>Inputs</x:v>
      </x:c>
      <x:c r="B14" s="19" t="str">
        <x:v>What numbers, scenarios, legacy parameters, and denominator totals drive formulas?</x:v>
      </x:c>
      <x:c r="C14" s="19" t="str">
        <x:v>Input spine</x:v>
      </x:c>
    </x:row>
    <x:row r="15">
      <x:c r="A15" s="19" t="str">
        <x:v>Value_Crosswalk</x:v>
      </x:c>
      <x:c r="B15" s="19" t="str">
        <x:v>Which source rows belong to which failure unit/value boundary?</x:v>
      </x:c>
      <x:c r="C15" s="19" t="str">
        <x:v>Value ledger</x:v>
      </x:c>
    </x:row>
    <x:row r="16">
      <x:c r="A16" s="19" t="str">
        <x:v>State_Consequences</x:v>
      </x:c>
      <x:c r="B16" s="19" t="str">
        <x:v>How do ordered states avoid component double counting?</x:v>
      </x:c>
      <x:c r="C16" s="19" t="str">
        <x:v>Curve design</x:v>
      </x:c>
    </x:row>
    <x:row r="17">
      <x:c r="A17" s="19" t="str">
        <x:v>SLC_Curve</x:v>
      </x:c>
      <x:c r="B17" s="19" t="str">
        <x:v>What does the convective screening envelope return?</x:v>
      </x:c>
      <x:c r="C17" s="19" t="str">
        <x:v>Formula-derived</x:v>
      </x:c>
    </x:row>
    <x:row r="18">
      <x:c r="A18" s="19" t="str">
        <x:v>Tornado_Curve</x:v>
      </x:c>
      <x:c r="B18" s="19" t="str">
        <x:v>What does the tornado screening envelope return?</x:v>
      </x:c>
      <x:c r="C18" s="19" t="str">
        <x:v>Formula-derived</x:v>
      </x:c>
    </x:row>
    <x:row r="19">
      <x:c r="A19" s="19" t="str">
        <x:v>Old_vs_New</x:v>
      </x:c>
      <x:c r="B19" s="19" t="str">
        <x:v>How do v1, v2, and the old Hazard hardcodes differ?</x:v>
      </x:c>
      <x:c r="C19" s="19" t="str">
        <x:v>Diagnostic only</x:v>
      </x:c>
    </x:row>
    <x:row r="20">
      <x:c r="A20" s="19" t="str">
        <x:v>KATs</x:v>
      </x:c>
      <x:c r="B20" s="19" t="str">
        <x:v>What must a downstream evaluator reproduce or reject?</x:v>
      </x:c>
      <x:c r="C20" s="19" t="str">
        <x:v>Executable contract mirror</x:v>
      </x:c>
    </x:row>
    <x:row r="21">
      <x:c r="A21" s="19" t="str">
        <x:v>Source_Register</x:v>
      </x:c>
      <x:c r="B21" s="19" t="str">
        <x:v>What sources were reviewed and what may they support?</x:v>
      </x:c>
      <x:c r="C21" s="19" t="str">
        <x:v>Evidence governance</x:v>
      </x:c>
    </x:row>
    <x:row r="22">
      <x:c r="A22" s="19" t="str">
        <x:v>Claim_Register</x:v>
      </x:c>
      <x:c r="B22" s="19" t="str">
        <x:v>Which claim/parameter is supported, withheld, or Tier 4?</x:v>
      </x:c>
      <x:c r="C22" s="19" t="str">
        <x:v>Provenance</x:v>
      </x:c>
    </x:row>
    <x:row r="23">
      <x:c r="A23" s="19" t="str">
        <x:v>QA</x:v>
      </x:c>
      <x:c r="B23" s="19" t="str">
        <x:v>Do formulas, probabilities, values, and scenario ordering reconcile?</x:v>
      </x:c>
      <x:c r="C23" s="19" t="str">
        <x:v>Workbook checks</x:v>
      </x:c>
    </x:row>
    <x:row r="24">
      <x:c r="A24" s="19"/>
      <x:c r="B24" s="19"/>
      <x:c r="C24" s="19"/>
    </x:row>
    <x:row r="26">
      <x:c r="A26" s="10" t="str">
        <x:v>Semantic boundary</x:v>
      </x:c>
      <x:c r="B26" s="10" t="str">
        <x:v>Semantic boundary</x:v>
      </x:c>
      <x:c r="C26" s="10" t="str">
        <x:v>Semantic boundary</x:v>
      </x:c>
      <x:c r="D26" s="10" t="str">
        <x:v>Semantic boundary</x:v>
      </x:c>
      <x:c r="E26" s="10" t="str">
        <x:v>Semantic boundary</x:v>
      </x:c>
      <x:c r="F26" s="10" t="str">
        <x:v>Semantic boundary</x:v>
      </x:c>
      <x:c r="G26" s="10" t="str">
        <x:v>Semantic boundary</x:v>
      </x:c>
      <x:c r="H26" s="10" t="str">
        <x:v>Semantic boundary</x:v>
      </x:c>
      <x:c r="I26" s="10" t="str">
        <x:v>Semantic boundary</x:v>
      </x:c>
    </x:row>
    <x:row r="27">
      <x:c r="A27" s="23" t="str">
        <x:v>Delivered</x:v>
      </x:c>
      <x:c r="B27" s="23" t="str">
        <x:v>Not delivered</x:v>
      </x:c>
    </x:row>
    <x:row r="28" ht="70" customHeight="1">
      <x:c r="A28" s="19" t="str">
        <x:v>Conditional per-turbine physical-destruction damage ratios and state probabilities for two explicit pathways.</x:v>
      </x:c>
      <x:c r="B28" s="19" t="str">
        <x:v>Hurricane/tropical-cyclone curve; event frequency; turbine strike probability; EAL/PML/VaR/TVaR; BI; numerical foundation/external-plant curves; production promotion.</x:v>
      </x:c>
    </x:row>
  </x:sheetData>
  <x:mergeCells>
    <x:mergeCell ref="A1:I1"/>
    <x:mergeCell ref="A2:I2"/>
    <x:mergeCell ref="A4:I4"/>
    <x:mergeCell ref="A11:I11"/>
    <x:mergeCell ref="A26:I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48" hidden="0" customWidth="1"/>
    <x:col min="4" max="4" width="5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3" t="str">
        <x:v>Scope and first-class pathway contract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pathway_id is required; it is not a selector, conditioner, Boolean flag, or inferred alias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5" t="str">
        <x:v>Dimension</x:v>
      </x:c>
      <x:c r="B4" s="15" t="str">
        <x:v>straight_line_convective</x:v>
      </x:c>
      <x:c r="C4" s="15" t="str">
        <x:v>tornado_direct_hit</x:v>
      </x:c>
      <x:c r="D4" s="15" t="str">
        <x:v>Governance implication</x:v>
      </x:c>
    </x:row>
    <x:row r="5" ht="56" customHeight="1">
      <x:c r="A5" s="19" t="str">
        <x:v>Included mechanisms</x:v>
      </x:c>
      <x:c r="B5" s="19" t="str">
        <x:v>Downburst/microburst/macroburst; gust front; local derecho outflow</x:v>
      </x:c>
      <x:c r="C5" s="19" t="str">
        <x:v>Direct tornado intersection after Hazard resolves local demand</x:v>
      </x:c>
      <x:c r="D5" s="19" t="str">
        <x:v>One shared turbine/value substrate; independent evidence and axes</x:v>
      </x:c>
    </x:row>
    <x:row r="6" ht="56" customHeight="1">
      <x:c r="A6" s="19" t="str">
        <x:v>Excluded mechanisms</x:v>
      </x:c>
      <x:c r="B6" s="19" t="str">
        <x:v>Tornado; nonconvective synoptic; tropical cyclone; downslope; hail; lightning</x:v>
      </x:c>
      <x:c r="C6" s="19" t="str">
        <x:v>EF-only input; tropical cyclone; ordinary straight wind</x:v>
      </x:c>
      <x:c r="D6" s="19" t="str">
        <x:v>Reject wrong pathway instead of shifting one curve</x:v>
      </x:c>
    </x:row>
    <x:row r="7" ht="56" customHeight="1">
      <x:c r="A7" s="19" t="str">
        <x:v>Preferred intensity</x:v>
      </x:c>
      <x:c r="B7" s="19" t="str">
        <x:v>Rotor-effective 3-second horizontal gust divided by IEC Ve50</x:v>
      </x:c>
      <x:c r="C7" s="19" t="str">
        <x:v>Rotor-effective peak horizontal tornado speed, m/s</x:v>
      </x:c>
      <x:c r="D7" s="19" t="str">
        <x:v>Axis identity travels with pathway</x:v>
      </x:c>
    </x:row>
    <x:row r="8" ht="56" customHeight="1">
      <x:c r="A8" s="19" t="str">
        <x:v>Permitted proxy</x:v>
      </x:c>
      <x:c r="B8" s="19" t="str">
        <x:v>Hub-height 3-second gust, explicitly flagged</x:v>
      </x:c>
      <x:c r="C8" s="19" t="str">
        <x:v>Hub-height tornado 3-second gust with profile/measurement provenance</x:v>
      </x:c>
      <x:c r="D8" s="19" t="str">
        <x:v>No silent 10 m, EF, or derecho-label conversion</x:v>
      </x:c>
    </x:row>
    <x:row r="9" ht="56" customHeight="1">
      <x:c r="A9" s="19" t="str">
        <x:v>Evidence domain</x:v>
      </x:c>
      <x:c r="B9" s="19" t="str">
        <x:v>28–55 m/s load anchors; 55–70 high extrapolation; &gt;70 withheld</x:v>
      </x:c>
      <x:c r="C9" s="19" t="str">
        <x:v>Jacksboro rotor anchor ~51 m/s; Greenfield collapse bracket 65–69 m/s; &gt;80 terminal-saturation extrapolation</x:v>
      </x:c>
      <x:c r="D9" s="19" t="str">
        <x:v>Flags are part of the emit</x:v>
      </x:c>
    </x:row>
    <x:row r="10" ht="56" customHeight="1">
      <x:c r="A10" s="19" t="str">
        <x:v>Primary numeric unit</x:v>
      </x:c>
      <x:c r="B10" s="19" t="str">
        <x:v>WT_TURBINE_EQUIPMENT_ASSEMBLY</x:v>
      </x:c>
      <x:c r="C10" s="19" t="str">
        <x:v>WT_TURBINE_EQUIPMENT_ASSEMBLY</x:v>
      </x:c>
      <x:c r="D10" s="19" t="str">
        <x:v>Per repeated turbine; same 1,090 USD/kW denominator</x:v>
      </x:c>
    </x:row>
    <x:row r="11" ht="56" customHeight="1">
      <x:c r="A11" s="19" t="str">
        <x:v>Withheld units</x:v>
      </x:c>
      <x:c r="B11" s="19" t="str">
        <x:v>Foundation; external electrical; civil; replacement support allocation</x:v>
      </x:c>
      <x:c r="C11" s="19" t="str">
        <x:v>Foundation; external electrical; civil; replacement support allocation</x:v>
      </x:c>
      <x:c r="D11" s="19" t="str">
        <x:v>Withheld is not zero</x:v>
      </x:c>
    </x:row>
    <x:row r="12" ht="56" customHeight="1">
      <x:c r="A12" s="19" t="str">
        <x:v>Hazard owns</x:v>
      </x:c>
      <x:c r="B12" s="19" t="str">
        <x:v>Event identity, footprint, local turbine speed, exposed turbine count, dependence</x:v>
      </x:c>
      <x:c r="C12" s="19" t="str">
        <x:v>Track/footprint, turbine intersection, speed reconstruction, dependence</x:v>
      </x:c>
      <x:c r="D12" s="19" t="str">
        <x:v>Damage Modeling does not generate frequency or exposure</x:v>
      </x:c>
    </x:row>
    <x:row r="13" ht="56" customHeight="1">
      <x:c r="A13" s="19" t="str">
        <x:v>Hurricane boundary</x:v>
      </x:c>
      <x:c r="B13" s="19" t="str">
        <x:v>Excluded</x:v>
      </x:c>
      <x:c r="C13" s="19" t="str">
        <x:v>Excluded</x:v>
      </x:c>
      <x:c r="D13" s="19" t="str">
        <x:v>Create a separate tropical-cyclone workstream; reuse anatomy/value only after review</x:v>
      </x:c>
    </x:row>
    <x:row r="15">
      <x:c r="A15" s="10" t="str">
        <x:v>Required routing and rejection checks</x:v>
      </x:c>
      <x:c r="B15" s="10" t="str">
        <x:v>Required routing and rejection checks</x:v>
      </x:c>
      <x:c r="C15" s="10" t="str">
        <x:v>Required routing and rejection checks</x:v>
      </x:c>
      <x:c r="D15" s="10" t="str">
        <x:v>Required routing and rejection checks</x:v>
      </x:c>
      <x:c r="E15" s="10" t="str">
        <x:v>Required routing and rejection checks</x:v>
      </x:c>
      <x:c r="F15" s="10" t="str">
        <x:v>Required routing and rejection checks</x:v>
      </x:c>
      <x:c r="G15" s="10" t="str">
        <x:v>Required routing and rejection checks</x:v>
      </x:c>
      <x:c r="H15" s="10" t="str">
        <x:v>Required routing and rejection checks</x:v>
      </x:c>
      <x:c r="I15" s="10" t="str">
        <x:v>Required routing and rejection checks</x:v>
      </x:c>
    </x:row>
    <x:row r="16">
      <x:c r="A16" s="23" t="str">
        <x:v>Check</x:v>
      </x:c>
      <x:c r="B16" s="23" t="str">
        <x:v>Required behavior</x:v>
      </x:c>
    </x:row>
    <x:row r="17">
      <x:c r="A17" s="19" t="str">
        <x:v>Missing pathway_id</x:v>
      </x:c>
      <x:c r="B17" s="19" t="str">
        <x:v>Reject with PATHWAY_ID_REQUIRED; never default to straight-line.</x:v>
      </x:c>
    </x:row>
    <x:row r="18">
      <x:c r="A18" s="19" t="str">
        <x:v>Unknown pathway_id</x:v>
      </x:c>
      <x:c r="B18" s="19" t="str">
        <x:v>Reject with PATHWAY_ID_UNKNOWN.</x:v>
      </x:c>
    </x:row>
    <x:row r="19">
      <x:c r="A19" s="19" t="str">
        <x:v>Record/path mismatch</x:v>
      </x:c>
      <x:c r="B19" s="19" t="str">
        <x:v>Reject with PATHWAY_ID_MISMATCH.</x:v>
      </x:c>
    </x:row>
    <x:row r="20">
      <x:c r="A20" s="19" t="str">
        <x:v>Straight-line 10 m gust</x:v>
      </x:c>
      <x:c r="B20" s="19" t="str">
        <x:v>Require named convective profile bridge; no ordinary ABL power-law default.</x:v>
      </x:c>
    </x:row>
    <x:row r="21">
      <x:c r="A21" s="19" t="str">
        <x:v>Tornado EF class only</x:v>
      </x:c>
      <x:c r="B21" s="19" t="str">
        <x:v>Reject with EF_ONLY_INPUT_PROHIBITED; EF is damage-estimated context, not measured rotor wind.</x:v>
      </x:c>
    </x:row>
    <x:row r="22">
      <x:c r="A22" s="19" t="str">
        <x:v>Tropical-cyclone event</x:v>
      </x:c>
      <x:c r="B22" s="19" t="str">
        <x:v>Reject from both pathways; no numerical hurricane curve is delivered.</x:v>
      </x:c>
    </x:row>
  </x:sheetData>
  <x:mergeCells>
    <x:mergeCell ref="A1:I1"/>
    <x:mergeCell ref="A2:I2"/>
    <x:mergeCell ref="A15:I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5" hidden="0" customWidth="1"/>
    <x:col min="4" max="4" width="22" hidden="0" customWidth="1"/>
    <x:col min="5" max="5" width="52" hidden="0" customWidth="1"/>
    <x:col min="6" max="6" width="12" hidden="0" customWidth="1"/>
    <x:col min="7" max="7" width="34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46" hidden="0" customWidth="1"/>
  </x:cols>
  <x:sheetData>
    <x:row r="1" ht="30" customHeight="1">
      <x:c r="A1" s="3" t="str">
        <x:v>Inputs, scenario medians, value basis, and legacy comparison parameters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Blue-font numeric entries are governed inputs; green cells are formulas; all Tier-4 curve shapes remain explicit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0" t="str">
        <x:v>Core proposed inputs</x:v>
      </x:c>
      <x:c r="B4" s="10" t="str">
        <x:v>Core proposed inputs</x:v>
      </x:c>
      <x:c r="C4" s="10" t="str">
        <x:v>Core proposed inputs</x:v>
      </x:c>
      <x:c r="D4" s="10" t="str">
        <x:v>Core proposed inputs</x:v>
      </x:c>
      <x:c r="E4" s="10" t="str">
        <x:v>Core proposed inputs</x:v>
      </x:c>
      <x:c r="G4" s="10" t="str">
        <x:v>Ordered-state consequences on the 1,090 USD/kW turbine-equipment denominator</x:v>
      </x:c>
      <x:c r="H4" s="10" t="str">
        <x:v>Ordered-state consequences on the 1,090 USD/kW turbine-equipment denominator</x:v>
      </x:c>
      <x:c r="I4" s="10" t="str">
        <x:v>Ordered-state consequences on the 1,090 USD/kW turbine-equipment denominator</x:v>
      </x:c>
      <x:c r="J4" s="10" t="str">
        <x:v>Ordered-state consequences on the 1,090 USD/kW turbine-equipment denominator</x:v>
      </x:c>
      <x:c r="K4" s="10" t="str">
        <x:v>Ordered-state consequences on the 1,090 USD/kW turbine-equipment denominator</x:v>
      </x:c>
      <x:c r="L4" s="10" t="str">
        <x:v>Ordered-state consequences on the 1,090 USD/kW turbine-equipment denominator</x:v>
      </x:c>
      <x:c r="M4" s="10" t="str">
        <x:v>Ordered-state consequences on the 1,090 USD/kW turbine-equipment denominator</x:v>
      </x:c>
    </x:row>
    <x:row r="5">
      <x:c r="A5" s="15" t="str">
        <x:v>Field</x:v>
      </x:c>
      <x:c r="B5" s="15" t="str">
        <x:v>Value</x:v>
      </x:c>
      <x:c r="C5" s="15" t="str">
        <x:v>Unit</x:v>
      </x:c>
      <x:c r="D5" s="15" t="str">
        <x:v>Role</x:v>
      </x:c>
      <x:c r="E5" s="15" t="str">
        <x:v>Source / limitation</x:v>
      </x:c>
      <x:c r="G5" s="15" t="str">
        <x:v>State ID</x:v>
      </x:c>
      <x:c r="H5" s="15" t="str">
        <x:v>Direct value numerator</x:v>
      </x:c>
      <x:c r="I5" s="15" t="str">
        <x:v>Denominator</x:v>
      </x:c>
      <x:c r="J5" s="15" t="str">
        <x:v>Cost ratio</x:v>
      </x:c>
      <x:c r="K5" s="15" t="str">
        <x:v>Affected subsystem</x:v>
      </x:c>
      <x:c r="L5" s="15" t="str">
        <x:v>Interpretation</x:v>
      </x:c>
      <x:c r="M5" s="15" t="str">
        <x:v>Tier</x:v>
      </x:c>
    </x:row>
    <x:row r="6">
      <x:c r="A6" s="19" t="str">
        <x:v>semantic_model_version</x:v>
      </x:c>
      <x:c r="B6" s="19" t="str">
        <x:v>model v2.0</x:v>
      </x:c>
      <x:c r="C6" s="19" t="str">
        <x:v>text</x:v>
      </x:c>
      <x:c r="D6" s="19" t="str">
        <x:v>identity</x:v>
      </x:c>
      <x:c r="E6" s="19" t="str">
        <x:v>Proposed; noncanonical</x:v>
      </x:c>
      <x:c r="G6" s="19" t="str">
        <x:v>DS0_NO_DIRECT_DAMAGE</x:v>
      </x:c>
      <x:c r="H6" s="26" t="n">
        <x:v>0</x:v>
      </x:c>
      <x:c r="I6" s="26" t="n">
        <x:v>1090</x:v>
      </x:c>
      <x:c r="J6" s="28" t="n">
        <x:f>H6/I6</x:f>
        <x:v>0</x:v>
      </x:c>
      <x:c r="K6" s="19" t="str">
        <x:v>—</x:v>
      </x:c>
      <x:c r="L6" s="19" t="str">
        <x:v>No occurrence physical-destruction cost</x:v>
      </x:c>
      <x:c r="M6" s="19" t="str">
        <x:v>T4</x:v>
      </x:c>
    </x:row>
    <x:row r="7">
      <x:c r="A7" s="19" t="str">
        <x:v>turbine_archetype</x:v>
      </x:c>
      <x:c r="B7" s="19" t="str">
        <x:v>generic_modern_onshore_tubular_multi_mw_screening_v1</x:v>
      </x:c>
      <x:c r="C7" s="19" t="str">
        <x:v>text</x:v>
      </x:c>
      <x:c r="D7" s="19" t="str">
        <x:v>selector</x:v>
      </x:c>
      <x:c r="E7" s="19" t="str">
        <x:v>No default beyond exact supported archetype</x:v>
      </x:c>
      <x:c r="G7" s="19" t="str">
        <x:v>DS1_CONTROL_PITCH_REPAIR_PROXY</x:v>
      </x:c>
      <x:c r="H7" s="26" t="n">
        <x:v>13</x:v>
      </x:c>
      <x:c r="I7" s="26" t="n">
        <x:v>1090</x:v>
      </x:c>
      <x:c r="J7" s="28" t="n">
        <x:f>H7/I7</x:f>
        <x:v>0.011926605504587157</x:v>
      </x:c>
      <x:c r="K7" s="19" t="str">
        <x:v>Pitch system</x:v>
      </x:c>
      <x:c r="L7" s="19" t="str">
        <x:v>Physical pitch/control repair proxy; grid loss alone excluded</x:v>
      </x:c>
      <x:c r="M7" s="19" t="str">
        <x:v>T4</x:v>
      </x:c>
    </x:row>
    <x:row r="8">
      <x:c r="A8" s="19" t="str">
        <x:v>iec_ve50_mps</x:v>
      </x:c>
      <x:c r="B8" s="25" t="n">
        <x:v>59.5</x:v>
      </x:c>
      <x:c r="C8" s="19" t="str">
        <x:v>m/s</x:v>
      </x:c>
      <x:c r="D8" s="19" t="str">
        <x:v>straight-line axis normalizer</x:v>
      </x:c>
      <x:c r="E8" s="19" t="str">
        <x:v>IEC Class II example; consumer must supply actual documented Ve50</x:v>
      </x:c>
      <x:c r="G8" s="19" t="str">
        <x:v>DS2_ROTOR_ASSEMBLY_REPLACEMENT</x:v>
      </x:c>
      <x:c r="H8" s="26" t="n">
        <x:v>337</x:v>
      </x:c>
      <x:c r="I8" s="26" t="n">
        <x:v>1090</x:v>
      </x:c>
      <x:c r="J8" s="28" t="n">
        <x:f>H8/I8</x:f>
        <x:v>0.3091743119266055</x:v>
      </x:c>
      <x:c r="K8" s="19" t="str">
        <x:v>Rotor + pitch</x:v>
      </x:c>
      <x:c r="L8" s="19" t="str">
        <x:v>Blades, hub, and pitch assembly replacement</x:v>
      </x:c>
      <x:c r="M8" s="19" t="str">
        <x:v>T4</x:v>
      </x:c>
    </x:row>
    <x:row r="9">
      <x:c r="A9" s="19" t="str">
        <x:v>slc_beta_ln</x:v>
      </x:c>
      <x:c r="B9" s="25" t="n">
        <x:v>0.1</x:v>
      </x:c>
      <x:c r="C9" s="19" t="str">
        <x:v>ln-dispersion</x:v>
      </x:c>
      <x:c r="D9" s="19" t="str">
        <x:v>curve shape</x:v>
      </x:c>
      <x:c r="E9" s="19" t="str">
        <x:v>Tier 4 engineering judgment</x:v>
      </x:c>
      <x:c r="G9" s="19" t="str">
        <x:v>DS3_TERMINAL_TURBINE_EQUIPMENT_REPLACEMENT</x:v>
      </x:c>
      <x:c r="H9" s="26" t="n">
        <x:v>1090</x:v>
      </x:c>
      <x:c r="I9" s="26" t="n">
        <x:v>1090</x:v>
      </x:c>
      <x:c r="J9" s="28" t="n">
        <x:f>H9/I9</x:f>
        <x:v>1</x:v>
      </x:c>
      <x:c r="K9" s="19" t="str">
        <x:v>Turbine equipment</x:v>
      </x:c>
      <x:c r="L9" s="19" t="str">
        <x:v>Terminal tower/support failure; foundation/support remain separate</x:v>
      </x:c>
      <x:c r="M9" s="19" t="str">
        <x:v>T4</x:v>
      </x:c>
    </x:row>
    <x:row r="10">
      <x:c r="A10" s="19" t="str">
        <x:v>slc_zero_below_ratio</x:v>
      </x:c>
      <x:c r="B10" s="25" t="n">
        <x:v>0.35</x:v>
      </x:c>
      <x:c r="C10" s="19" t="str">
        <x:v>V/Ve50</x:v>
      </x:c>
      <x:c r="D10" s="19" t="str">
        <x:v>hard near-zero boundary</x:v>
      </x:c>
      <x:c r="E10" s="19" t="str">
        <x:v>Tier 4 screening boundary</x:v>
      </x:c>
    </x:row>
    <x:row r="11">
      <x:c r="A11" s="19" t="str">
        <x:v>slc_evidence_lower_mps</x:v>
      </x:c>
      <x:c r="B11" s="25" t="n">
        <x:v>28</x:v>
      </x:c>
      <x:c r="C11" s="19" t="str">
        <x:v>m/s</x:v>
      </x:c>
      <x:c r="D11" s="19" t="str">
        <x:v>domain flag</x:v>
      </x:c>
      <x:c r="E11" s="19" t="str">
        <x:v>Load-evidence region lower bound</x:v>
      </x:c>
      <x:c r="G11" s="10" t="str">
        <x:v>Unweighted capacity scenarios</x:v>
      </x:c>
      <x:c r="H11" s="10" t="str">
        <x:v>Unweighted capacity scenarios</x:v>
      </x:c>
      <x:c r="I11" s="10" t="str">
        <x:v>Unweighted capacity scenarios</x:v>
      </x:c>
      <x:c r="J11" s="10" t="str">
        <x:v>Unweighted capacity scenarios</x:v>
      </x:c>
      <x:c r="K11" s="10" t="str">
        <x:v>Unweighted capacity scenarios</x:v>
      </x:c>
      <x:c r="L11" s="10" t="str">
        <x:v>Unweighted capacity scenarios</x:v>
      </x:c>
      <x:c r="M11" s="10" t="str">
        <x:v>Unweighted capacity scenarios</x:v>
      </x:c>
    </x:row>
    <x:row r="12">
      <x:c r="A12" s="19" t="str">
        <x:v>slc_evidence_upper_mps</x:v>
      </x:c>
      <x:c r="B12" s="25" t="n">
        <x:v>55</x:v>
      </x:c>
      <x:c r="C12" s="19" t="str">
        <x:v>m/s</x:v>
      </x:c>
      <x:c r="D12" s="19" t="str">
        <x:v>domain flag</x:v>
      </x:c>
      <x:c r="E12" s="19" t="str">
        <x:v>Above this is high extrapolation</x:v>
      </x:c>
      <x:c r="G12" s="15" t="str">
        <x:v>Pathway</x:v>
      </x:c>
      <x:c r="H12" s="15" t="str">
        <x:v>Scenario</x:v>
      </x:c>
      <x:c r="I12" s="15" t="str">
        <x:v>DS1 median</x:v>
      </x:c>
      <x:c r="J12" s="15" t="str">
        <x:v>DS2 median</x:v>
      </x:c>
      <x:c r="K12" s="15" t="str">
        <x:v>DS3 median</x:v>
      </x:c>
      <x:c r="L12" s="15" t="str">
        <x:v>Unit</x:v>
      </x:c>
      <x:c r="M12" s="15" t="str">
        <x:v>Meaning</x:v>
      </x:c>
    </x:row>
    <x:row r="13">
      <x:c r="A13" s="19" t="str">
        <x:v>slc_max_delivered_mps</x:v>
      </x:c>
      <x:c r="B13" s="25" t="n">
        <x:v>70</x:v>
      </x:c>
      <x:c r="C13" s="19" t="str">
        <x:v>m/s</x:v>
      </x:c>
      <x:c r="D13" s="19" t="str">
        <x:v>withhold boundary</x:v>
      </x:c>
      <x:c r="E13" s="19" t="str">
        <x:v>Above this no DR is emitted</x:v>
      </x:c>
      <x:c r="G13" s="19" t="str">
        <x:v>straight_line_convective</x:v>
      </x:c>
      <x:c r="H13" s="19" t="str">
        <x:v>lower_resistance</x:v>
      </x:c>
      <x:c r="I13" s="29" t="n">
        <x:v>0.75</x:v>
      </x:c>
      <x:c r="J13" s="29" t="n">
        <x:v>0.9</x:v>
      </x:c>
      <x:c r="K13" s="29" t="n">
        <x:v>1.15</x:v>
      </x:c>
      <x:c r="L13" s="19" t="str">
        <x:v>V/Ve50</x:v>
      </x:c>
      <x:c r="M13" s="19" t="str">
        <x:v>Higher-damage engineering bound</x:v>
      </x:c>
    </x:row>
    <x:row r="14">
      <x:c r="A14" s="19" t="str">
        <x:v>tornado_beta_ln</x:v>
      </x:c>
      <x:c r="B14" s="25" t="n">
        <x:v>0.08</x:v>
      </x:c>
      <x:c r="C14" s="19" t="str">
        <x:v>ln-dispersion</x:v>
      </x:c>
      <x:c r="D14" s="19" t="str">
        <x:v>curve shape</x:v>
      </x:c>
      <x:c r="E14" s="19" t="str">
        <x:v>Tier 4 engineering judgment</x:v>
      </x:c>
      <x:c r="G14" s="19" t="str">
        <x:v>straight_line_convective</x:v>
      </x:c>
      <x:c r="H14" s="19" t="str">
        <x:v>central_screening</x:v>
      </x:c>
      <x:c r="I14" s="29" t="n">
        <x:v>0.9</x:v>
      </x:c>
      <x:c r="J14" s="29" t="n">
        <x:v>1.05</x:v>
      </x:c>
      <x:c r="K14" s="29" t="n">
        <x:v>1.3</x:v>
      </x:c>
      <x:c r="L14" s="19" t="str">
        <x:v>V/Ve50</x:v>
      </x:c>
      <x:c r="M14" s="19" t="str">
        <x:v>Central screening judgment; not fitted</x:v>
      </x:c>
    </x:row>
    <x:row r="15">
      <x:c r="A15" s="19" t="str">
        <x:v>tornado_zero_below_mps</x:v>
      </x:c>
      <x:c r="B15" s="25" t="n">
        <x:v>25</x:v>
      </x:c>
      <x:c r="C15" s="19" t="str">
        <x:v>m/s</x:v>
      </x:c>
      <x:c r="D15" s="19" t="str">
        <x:v>hard near-zero boundary</x:v>
      </x:c>
      <x:c r="E15" s="19" t="str">
        <x:v>Tier 4 screening boundary</x:v>
      </x:c>
      <x:c r="G15" s="19" t="str">
        <x:v>straight_line_convective</x:v>
      </x:c>
      <x:c r="H15" s="19" t="str">
        <x:v>upper_resistance</x:v>
      </x:c>
      <x:c r="I15" s="29" t="n">
        <x:v>1.05</x:v>
      </x:c>
      <x:c r="J15" s="29" t="n">
        <x:v>1.2</x:v>
      </x:c>
      <x:c r="K15" s="29" t="n">
        <x:v>1.45</x:v>
      </x:c>
      <x:c r="L15" s="19" t="str">
        <x:v>V/Ve50</x:v>
      </x:c>
      <x:c r="M15" s="19" t="str">
        <x:v>Lower-damage engineering bound</x:v>
      </x:c>
    </x:row>
    <x:row r="16">
      <x:c r="A16" s="19" t="str">
        <x:v>tornado_terminal_flag_mps</x:v>
      </x:c>
      <x:c r="B16" s="25" t="n">
        <x:v>80</x:v>
      </x:c>
      <x:c r="C16" s="19" t="str">
        <x:v>m/s</x:v>
      </x:c>
      <x:c r="D16" s="19" t="str">
        <x:v>extrapolation flag</x:v>
      </x:c>
      <x:c r="E16" s="19" t="str">
        <x:v>Above this is terminal-saturation extrapolation</x:v>
      </x:c>
      <x:c r="G16" s="19" t="str"/>
      <x:c r="H16" s="19" t="str"/>
      <x:c r="I16" s="30" t="str"/>
      <x:c r="J16" s="30" t="str"/>
      <x:c r="K16" s="30" t="str"/>
      <x:c r="L16" s="19" t="str"/>
      <x:c r="M16" s="19" t="str"/>
    </x:row>
    <x:row r="17">
      <x:c r="A17" s="19" t="str">
        <x:v>tornado_max_valid_mps</x:v>
      </x:c>
      <x:c r="B17" s="25" t="n">
        <x:v>100</x:v>
      </x:c>
      <x:c r="C17" s="19" t="str">
        <x:v>m/s</x:v>
      </x:c>
      <x:c r="D17" s="19" t="str">
        <x:v>schema domain</x:v>
      </x:c>
      <x:c r="E17" s="19" t="str">
        <x:v>Screening axis maximum; not evidence of validated capacity</x:v>
      </x:c>
      <x:c r="G17" s="19" t="str">
        <x:v>tornado_direct_hit</x:v>
      </x:c>
      <x:c r="H17" s="19" t="str">
        <x:v>lower_resistance</x:v>
      </x:c>
      <x:c r="I17" s="29" t="n">
        <x:v>32</x:v>
      </x:c>
      <x:c r="J17" s="29" t="n">
        <x:v>45</x:v>
      </x:c>
      <x:c r="K17" s="29" t="n">
        <x:v>58</x:v>
      </x:c>
      <x:c r="L17" s="19" t="str">
        <x:v>m/s</x:v>
      </x:c>
      <x:c r="M17" s="19" t="str">
        <x:v>Higher-damage bound; DOD-informed</x:v>
      </x:c>
    </x:row>
    <x:row r="18">
      <x:c r="G18" s="19" t="str">
        <x:v>tornado_direct_hit</x:v>
      </x:c>
      <x:c r="H18" s="19" t="str">
        <x:v>central_screening</x:v>
      </x:c>
      <x:c r="I18" s="29" t="n">
        <x:v>36</x:v>
      </x:c>
      <x:c r="J18" s="29" t="n">
        <x:v>51</x:v>
      </x:c>
      <x:c r="K18" s="29" t="n">
        <x:v>67</x:v>
      </x:c>
      <x:c r="L18" s="19" t="str">
        <x:v>m/s</x:v>
      </x:c>
      <x:c r="M18" s="19" t="str">
        <x:v>Jacksboro rotor + Greenfield terminal bracket</x:v>
      </x:c>
    </x:row>
    <x:row r="19">
      <x:c r="G19" s="19" t="str">
        <x:v>tornado_direct_hit</x:v>
      </x:c>
      <x:c r="H19" s="19" t="str">
        <x:v>upper_resistance</x:v>
      </x:c>
      <x:c r="I19" s="29" t="n">
        <x:v>40</x:v>
      </x:c>
      <x:c r="J19" s="29" t="n">
        <x:v>56</x:v>
      </x:c>
      <x:c r="K19" s="29" t="n">
        <x:v>80</x:v>
      </x:c>
      <x:c r="L19" s="19" t="str">
        <x:v>m/s</x:v>
      </x:c>
      <x:c r="M19" s="19" t="str">
        <x:v>Lower-damage bound; transfer uncertainty</x:v>
      </x:c>
    </x:row>
    <x:row r="20">
      <x:c r="A20" s="10" t="str">
        <x:v>Reference value basis — NREL CWER, 2023 USD/kW</x:v>
      </x:c>
      <x:c r="B20" s="10" t="str">
        <x:v>Reference value basis — NREL CWER, 2023 USD/kW</x:v>
      </x:c>
      <x:c r="C20" s="10" t="str">
        <x:v>Reference value basis — NREL CWER, 2023 USD/kW</x:v>
      </x:c>
      <x:c r="D20" s="10" t="str">
        <x:v>Reference value basis — NREL CWER, 2023 USD/kW</x:v>
      </x:c>
      <x:c r="E20" s="10" t="str">
        <x:v>Reference value basis — NREL CWER, 2023 USD/kW</x:v>
      </x:c>
    </x:row>
    <x:row r="21">
      <x:c r="A21" s="15" t="str">
        <x:v>Value bucket</x:v>
      </x:c>
      <x:c r="B21" s="15" t="str">
        <x:v>USD/kW</x:v>
      </x:c>
      <x:c r="C21" s="15" t="str">
        <x:v>Formula / source</x:v>
      </x:c>
      <x:c r="D21" s="15" t="str">
        <x:v>Use</x:v>
      </x:c>
      <x:c r="E21" s="15" t="str">
        <x:v>Guardrail</x:v>
      </x:c>
    </x:row>
    <x:row r="22">
      <x:c r="A22" s="19" t="str">
        <x:v>Installed CAPEX</x:v>
      </x:c>
      <x:c r="B22" s="26" t="n">
        <x:v>1968</x:v>
      </x:c>
      <x:c r="C22" s="19" t="str">
        <x:v>Wind_Map rows 2:19</x:v>
      </x:c>
      <x:c r="D22" s="19" t="str">
        <x:v>Reporting denominator only</x:v>
      </x:c>
      <x:c r="E22" s="19" t="str">
        <x:v>Do not apply turbine DR to full installed value</x:v>
      </x:c>
    </x:row>
    <x:row r="23">
      <x:c r="A23" s="19" t="str">
        <x:v>Physical replaceable</x:v>
      </x:c>
      <x:c r="B23" s="26" t="n">
        <x:v>1623</x:v>
      </x:c>
      <x:c r="C23" s="19" t="str">
        <x:v>Wind_Map rows 2:14</x:v>
      </x:c>
      <x:c r="D23" s="19" t="str">
        <x:v>Reference physical basis</x:v>
      </x:c>
      <x:c r="E23" s="19" t="str">
        <x:v>Contains separate direct/support rows</x:v>
      </x:c>
    </x:row>
    <x:row r="24">
      <x:c r="A24" s="19" t="str">
        <x:v>Turbine equipment direct</x:v>
      </x:c>
      <x:c r="B24" s="26" t="n">
        <x:v>1090</x:v>
      </x:c>
      <x:c r="C24" s="19" t="str">
        <x:v>Wind_Map rows 2:9</x:v>
      </x:c>
      <x:c r="D24" s="19" t="str">
        <x:v>Curve denominator</x:v>
      </x:c>
      <x:c r="E24" s="19" t="str">
        <x:v>One repeated turbine</x:v>
      </x:c>
    </x:row>
    <x:row r="25">
      <x:c r="A25" s="19" t="str">
        <x:v>Withheld other direct</x:v>
      </x:c>
      <x:c r="B25" s="26" t="n">
        <x:v>239</x:v>
      </x:c>
      <x:c r="C25" s="19" t="str">
        <x:v>foundation + civil + external electrical</x:v>
      </x:c>
      <x:c r="D25" s="19" t="str">
        <x:v>Separate units</x:v>
      </x:c>
      <x:c r="E25" s="19" t="str">
        <x:v>Withheld is not zero</x:v>
      </x:c>
    </x:row>
    <x:row r="26">
      <x:c r="A26" s="19" t="str">
        <x:v>Replacement support</x:v>
      </x:c>
      <x:c r="B26" s="26" t="n">
        <x:v>294</x:v>
      </x:c>
      <x:c r="C26" s="19" t="str">
        <x:v>fieldwork + transport</x:v>
      </x:c>
      <x:c r="D26" s="19" t="str">
        <x:v>Allocate once downstream</x:v>
      </x:c>
      <x:c r="E26" s="19" t="str">
        <x:v>No independent fragility</x:v>
      </x:c>
    </x:row>
    <x:row r="27">
      <x:c r="A27" s="19" t="str">
        <x:v>Excluded soft/sunk/nonphysical</x:v>
      </x:c>
      <x:c r="B27" s="26" t="n">
        <x:v>345</x:v>
      </x:c>
      <x:c r="C27" s="19" t="str">
        <x:v>Wind_Map rows 15:19</x:v>
      </x:c>
      <x:c r="D27" s="19" t="str">
        <x:v>Outside physical destruction</x:v>
      </x:c>
      <x:c r="E27" s="19" t="str">
        <x:v>Do not reintroduce by TIV scaling</x:v>
      </x:c>
    </x:row>
    <x:row r="28">
      <x:c r="A28" s="19" t="str">
        <x:v>Physical / installed</x:v>
      </x:c>
      <x:c r="B28" s="28" t="n">
        <x:f>B23/B22</x:f>
        <x:v>0.8246951219512195</x:v>
      </x:c>
      <x:c r="C28" s="19" t="str">
        <x:v>B23 / B22</x:v>
      </x:c>
      <x:c r="D28" s="19" t="str">
        <x:v>Denominator conversion</x:v>
      </x:c>
      <x:c r="E28" s="19" t="str">
        <x:v>Explicit only</x:v>
      </x:c>
    </x:row>
    <x:row r="29">
      <x:c r="A29" s="19" t="str">
        <x:v>Equipment / physical</x:v>
      </x:c>
      <x:c r="B29" s="28" t="n">
        <x:f>B24/B23</x:f>
        <x:v>0.6715958102279729</x:v>
      </x:c>
      <x:c r="C29" s="19" t="str">
        <x:v>B24 / B23</x:v>
      </x:c>
      <x:c r="D29" s="19" t="str">
        <x:v>Reference share</x:v>
      </x:c>
      <x:c r="E29" s="19" t="str">
        <x:v>Not an intrinsic cap</x:v>
      </x:c>
    </x:row>
    <x:row r="30">
      <x:c r="A30" s="19" t="str">
        <x:v>Equipment / installed</x:v>
      </x:c>
      <x:c r="B30" s="28" t="n">
        <x:f>B24/B22</x:f>
        <x:v>0.5538617886178862</x:v>
      </x:c>
      <x:c r="C30" s="19" t="str">
        <x:v>B24 / B22</x:v>
      </x:c>
      <x:c r="D30" s="19" t="str">
        <x:v>Reference share</x:v>
      </x:c>
      <x:c r="E30" s="19" t="str">
        <x:v>Not an intrinsic cap</x:v>
      </x:c>
    </x:row>
    <x:row r="31">
      <x:c r="A31" s="19" t="str">
        <x:v>Installed reconciliation residual</x:v>
      </x:c>
      <x:c r="B31" s="31" t="n">
        <x:f>B23+B27-B22</x:f>
        <x:v>0</x:v>
      </x:c>
      <x:c r="C31" s="19" t="str">
        <x:v>B23 + B27 - B22</x:v>
      </x:c>
      <x:c r="D31" s="19" t="str">
        <x:v>Must equal zero</x:v>
      </x:c>
      <x:c r="E31" s="19" t="str">
        <x:v>Formula QA</x:v>
      </x:c>
    </x:row>
    <x:row r="33">
      <x:c r="A33" s="10" t="str">
        <x:v>Current v1.0 parameters reproduced for diagnostic comparison only</x:v>
      </x:c>
      <x:c r="B33" s="10" t="str">
        <x:v>Current v1.0 parameters reproduced for diagnostic comparison only</x:v>
      </x:c>
      <x:c r="C33" s="10" t="str">
        <x:v>Current v1.0 parameters reproduced for diagnostic comparison only</x:v>
      </x:c>
      <x:c r="D33" s="10" t="str">
        <x:v>Current v1.0 parameters reproduced for diagnostic comparison only</x:v>
      </x:c>
      <x:c r="E33" s="10" t="str">
        <x:v>Current v1.0 parameters reproduced for diagnostic comparison only</x:v>
      </x:c>
      <x:c r="F33" s="10" t="str">
        <x:v>Current v1.0 parameters reproduced for diagnostic comparison only</x:v>
      </x:c>
      <x:c r="G33" s="10" t="str">
        <x:v>Current v1.0 parameters reproduced for diagnostic comparison only</x:v>
      </x:c>
    </x:row>
    <x:row r="34">
      <x:c r="A34" s="15" t="str">
        <x:v>Failure unit</x:v>
      </x:c>
      <x:c r="B34" s="15" t="str">
        <x:v>Physical-base share</x:v>
      </x:c>
      <x:c r="C34" s="15" t="str">
        <x:v>max_DR</x:v>
      </x:c>
      <x:c r="D34" s="15" t="str">
        <x:v>D50 ratio</x:v>
      </x:c>
      <x:c r="E34" s="15" t="str">
        <x:v>k ratio</x:v>
      </x:c>
      <x:c r="F34" s="15" t="str">
        <x:v>Tornado shift</x:v>
      </x:c>
      <x:c r="G34" s="15" t="str">
        <x:v>Included in default aggregate</x:v>
      </x:c>
    </x:row>
    <x:row r="35">
      <x:c r="A35" s="19" t="str">
        <x:v>WT_BLADE_STRUCT</x:v>
      </x:c>
      <x:c r="B35" s="37" t="n">
        <x:v>0.173</x:v>
      </x:c>
      <x:c r="C35" s="37" t="n">
        <x:v>1</x:v>
      </x:c>
      <x:c r="D35" s="37" t="n">
        <x:v>1.38</x:v>
      </x:c>
      <x:c r="E35" s="37" t="n">
        <x:v>12</x:v>
      </x:c>
      <x:c r="F35" s="37" t="n">
        <x:v>-0.1</x:v>
      </x:c>
      <x:c r="G35" s="36" t="b">
        <x:v>1</x:v>
      </x:c>
    </x:row>
    <x:row r="36">
      <x:c r="A36" s="19" t="str">
        <x:v>WT_TOWER_STRUCT</x:v>
      </x:c>
      <x:c r="B36" s="37" t="n">
        <x:v>0.169</x:v>
      </x:c>
      <x:c r="C36" s="37" t="n">
        <x:v>1</x:v>
      </x:c>
      <x:c r="D36" s="37" t="n">
        <x:v>1.48</x:v>
      </x:c>
      <x:c r="E36" s="37" t="n">
        <x:v>11</x:v>
      </x:c>
      <x:c r="F36" s="37" t="n">
        <x:v>-0.12</x:v>
      </x:c>
      <x:c r="G36" s="36" t="b">
        <x:v>1</x:v>
      </x:c>
    </x:row>
    <x:row r="37">
      <x:c r="A37" s="19" t="str">
        <x:v>WT_NACELLE_CONSEQ</x:v>
      </x:c>
      <x:c r="B37" s="37" t="n">
        <x:v>0.345</x:v>
      </x:c>
      <x:c r="C37" s="37" t="n">
        <x:v>0.85</x:v>
      </x:c>
      <x:c r="D37" s="37" t="n">
        <x:v>1.44</x:v>
      </x:c>
      <x:c r="E37" s="37" t="n">
        <x:v>10</x:v>
      </x:c>
      <x:c r="F37" s="37" t="n">
        <x:v>-0.1</x:v>
      </x:c>
      <x:c r="G37" s="36" t="b">
        <x:v>1</x:v>
      </x:c>
    </x:row>
    <x:row r="38">
      <x:c r="A38" s="19" t="str">
        <x:v>WT_FOUNDATION_OT</x:v>
      </x:c>
      <x:c r="B38" s="37" t="n">
        <x:v>0.062</x:v>
      </x:c>
      <x:c r="C38" s="37" t="n">
        <x:v>0.65</x:v>
      </x:c>
      <x:c r="D38" s="37" t="n">
        <x:v>1.62</x:v>
      </x:c>
      <x:c r="E38" s="37" t="n">
        <x:v>9</x:v>
      </x:c>
      <x:c r="F38" s="37" t="n">
        <x:v>-0.08</x:v>
      </x:c>
      <x:c r="G38" s="36" t="b">
        <x:v>1</x:v>
      </x:c>
    </x:row>
    <x:row r="39">
      <x:c r="A39" s="19" t="str">
        <x:v>WT_POWER_ELEC_ACCEL</x:v>
      </x:c>
      <x:c r="B39" s="37" t="n">
        <x:v>0.037</x:v>
      </x:c>
      <x:c r="C39" s="37" t="n">
        <x:v>0.3</x:v>
      </x:c>
      <x:c r="D39" s="37" t="n">
        <x:v>1.2</x:v>
      </x:c>
      <x:c r="E39" s="37" t="n">
        <x:v>8</x:v>
      </x:c>
      <x:c r="F39" s="37" t="n">
        <x:v>-0.05</x:v>
      </x:c>
      <x:c r="G39" s="36" t="b">
        <x:v>0</x:v>
      </x:c>
    </x:row>
    <x:row r="41">
      <x:c r="A41" s="10" t="str">
        <x:v>Legacy Hazard hardcoded whole-asset curves — diagnostic, not a calibration target</x:v>
      </x:c>
      <x:c r="B41" s="10" t="str">
        <x:v>Legacy Hazard hardcoded whole-asset curves — diagnostic, not a calibration target</x:v>
      </x:c>
      <x:c r="C41" s="10" t="str">
        <x:v>Legacy Hazard hardcoded whole-asset curves — diagnostic, not a calibration target</x:v>
      </x:c>
      <x:c r="D41" s="10" t="str">
        <x:v>Legacy Hazard hardcoded whole-asset curves — diagnostic, not a calibration target</x:v>
      </x:c>
      <x:c r="E41" s="10" t="str">
        <x:v>Legacy Hazard hardcoded whole-asset curves — diagnostic, not a calibration target</x:v>
      </x:c>
      <x:c r="F41" s="10" t="str">
        <x:v>Legacy Hazard hardcoded whole-asset curves — diagnostic, not a calibration target</x:v>
      </x:c>
    </x:row>
    <x:row r="42">
      <x:c r="A42" s="15" t="str">
        <x:v>Pathway</x:v>
      </x:c>
      <x:c r="B42" s="15" t="str">
        <x:v>Subsystem</x:v>
      </x:c>
      <x:c r="C42" s="15" t="str">
        <x:v>Whole-asset weight</x:v>
      </x:c>
      <x:c r="D42" s="15" t="str">
        <x:v>x0 m/s</x:v>
      </x:c>
      <x:c r="E42" s="15" t="str">
        <x:v>k per m/s</x:v>
      </x:c>
      <x:c r="F42" s="15" t="str">
        <x:v>Source</x:v>
      </x:c>
    </x:row>
    <x:row r="43">
      <x:c r="A43" s="19" t="str">
        <x:v>strong_wind</x:v>
      </x:c>
      <x:c r="B43" s="19" t="str">
        <x:v>rotor_blades</x:v>
      </x:c>
      <x:c r="C43" s="37" t="n">
        <x:v>0.26</x:v>
      </x:c>
      <x:c r="D43" s="37" t="n">
        <x:v>60</x:v>
      </x:c>
      <x:c r="E43" s="37" t="n">
        <x:v>0.3</x:v>
      </x:c>
      <x:c r="F43" s="19" t="str">
        <x:v>Hazard M3 legacy hardcode</x:v>
      </x:c>
    </x:row>
    <x:row r="44">
      <x:c r="A44" s="19" t="str">
        <x:v>strong_wind</x:v>
      </x:c>
      <x:c r="B44" s="19" t="str">
        <x:v>nacelle_drivetrain</x:v>
      </x:c>
      <x:c r="C44" s="37" t="n">
        <x:v>0.21</x:v>
      </x:c>
      <x:c r="D44" s="37" t="n">
        <x:v>66</x:v>
      </x:c>
      <x:c r="E44" s="37" t="n">
        <x:v>0.28</x:v>
      </x:c>
      <x:c r="F44" s="19" t="str">
        <x:v>Hazard M3 legacy hardcode</x:v>
      </x:c>
    </x:row>
    <x:row r="45">
      <x:c r="A45" s="19" t="str">
        <x:v>strong_wind</x:v>
      </x:c>
      <x:c r="B45" s="19" t="str">
        <x:v>substation</x:v>
      </x:c>
      <x:c r="C45" s="37" t="n">
        <x:v>0.09</x:v>
      </x:c>
      <x:c r="D45" s="37" t="n">
        <x:v>62</x:v>
      </x:c>
      <x:c r="E45" s="37" t="n">
        <x:v>0.28</x:v>
      </x:c>
      <x:c r="F45" s="19" t="str">
        <x:v>Hazard M3 legacy hardcode</x:v>
      </x:c>
    </x:row>
    <x:row r="46">
      <x:c r="A46" s="19" t="str">
        <x:v>strong_wind</x:v>
      </x:c>
      <x:c r="B46" s="19" t="str">
        <x:v>electrical</x:v>
      </x:c>
      <x:c r="C46" s="37" t="n">
        <x:v>0.09</x:v>
      </x:c>
      <x:c r="D46" s="37" t="n">
        <x:v>64</x:v>
      </x:c>
      <x:c r="E46" s="37" t="n">
        <x:v>0.28</x:v>
      </x:c>
      <x:c r="F46" s="19" t="str">
        <x:v>Hazard M3 legacy hardcode</x:v>
      </x:c>
    </x:row>
    <x:row r="47">
      <x:c r="A47" s="19" t="str">
        <x:v>tornado</x:v>
      </x:c>
      <x:c r="B47" s="19" t="str">
        <x:v>rotor_blades</x:v>
      </x:c>
      <x:c r="C47" s="37" t="n">
        <x:v>0.26</x:v>
      </x:c>
      <x:c r="D47" s="37" t="n">
        <x:v>52</x:v>
      </x:c>
      <x:c r="E47" s="37" t="n">
        <x:v>0.25</x:v>
      </x:c>
      <x:c r="F47" s="19" t="str">
        <x:v>Hazard M3 legacy hardcode</x:v>
      </x:c>
    </x:row>
    <x:row r="48">
      <x:c r="A48" s="19" t="str">
        <x:v>tornado</x:v>
      </x:c>
      <x:c r="B48" s="19" t="str">
        <x:v>nacelle_drivetrain</x:v>
      </x:c>
      <x:c r="C48" s="37" t="n">
        <x:v>0.21</x:v>
      </x:c>
      <x:c r="D48" s="37" t="n">
        <x:v>58</x:v>
      </x:c>
      <x:c r="E48" s="37" t="n">
        <x:v>0.24</x:v>
      </x:c>
      <x:c r="F48" s="19" t="str">
        <x:v>Hazard M3 legacy hardcode</x:v>
      </x:c>
    </x:row>
    <x:row r="49">
      <x:c r="A49" s="19" t="str">
        <x:v>tornado</x:v>
      </x:c>
      <x:c r="B49" s="19" t="str">
        <x:v>tower</x:v>
      </x:c>
      <x:c r="C49" s="37" t="n">
        <x:v>0.16</x:v>
      </x:c>
      <x:c r="D49" s="37" t="n">
        <x:v>66</x:v>
      </x:c>
      <x:c r="E49" s="37" t="n">
        <x:v>0.22</x:v>
      </x:c>
      <x:c r="F49" s="19" t="str">
        <x:v>Hazard M3 legacy hardcode</x:v>
      </x:c>
    </x:row>
    <x:row r="50">
      <x:c r="A50" s="19" t="str">
        <x:v>tornado</x:v>
      </x:c>
      <x:c r="B50" s="19" t="str">
        <x:v>foundation</x:v>
      </x:c>
      <x:c r="C50" s="37" t="n">
        <x:v>0.12</x:v>
      </x:c>
      <x:c r="D50" s="37" t="n">
        <x:v>80</x:v>
      </x:c>
      <x:c r="E50" s="37" t="n">
        <x:v>0.2</x:v>
      </x:c>
      <x:c r="F50" s="19" t="str">
        <x:v>Hazard M3 legacy hardcode</x:v>
      </x:c>
    </x:row>
    <x:row r="51">
      <x:c r="A51" s="19" t="str">
        <x:v>tornado</x:v>
      </x:c>
      <x:c r="B51" s="19" t="str">
        <x:v>substation</x:v>
      </x:c>
      <x:c r="C51" s="37" t="n">
        <x:v>0.09</x:v>
      </x:c>
      <x:c r="D51" s="37" t="n">
        <x:v>54</x:v>
      </x:c>
      <x:c r="E51" s="37" t="n">
        <x:v>0.24</x:v>
      </x:c>
      <x:c r="F51" s="19" t="str">
        <x:v>Hazard M3 legacy hardcode</x:v>
      </x:c>
    </x:row>
    <x:row r="52">
      <x:c r="A52" s="19" t="str">
        <x:v>tornado</x:v>
      </x:c>
      <x:c r="B52" s="19" t="str">
        <x:v>electrical</x:v>
      </x:c>
      <x:c r="C52" s="37" t="n">
        <x:v>0.09</x:v>
      </x:c>
      <x:c r="D52" s="37" t="n">
        <x:v>56</x:v>
      </x:c>
      <x:c r="E52" s="37" t="n">
        <x:v>0.24</x:v>
      </x:c>
      <x:c r="F52" s="19" t="str">
        <x:v>Hazard M3 legacy hardcode</x:v>
      </x:c>
    </x:row>
    <x:row r="53">
      <x:c r="A53" s="19" t="str">
        <x:v>tornado</x:v>
      </x:c>
      <x:c r="B53" s="19" t="str">
        <x:v>civil</x:v>
      </x:c>
      <x:c r="C53" s="37" t="n">
        <x:v>0.07</x:v>
      </x:c>
      <x:c r="D53" s="37" t="n">
        <x:v>62</x:v>
      </x:c>
      <x:c r="E53" s="37" t="n">
        <x:v>0.22</x:v>
      </x:c>
      <x:c r="F53" s="19" t="str">
        <x:v>Hazard M3 legacy hardcode</x:v>
      </x:c>
    </x:row>
  </x:sheetData>
  <x:mergeCells>
    <x:mergeCell ref="A1:M1"/>
    <x:mergeCell ref="A2:M2"/>
    <x:mergeCell ref="A4:E4"/>
    <x:mergeCell ref="G4:M4"/>
    <x:mergeCell ref="G11:M11"/>
    <x:mergeCell ref="A20:E20"/>
    <x:mergeCell ref="A33:G33"/>
    <x:mergeCell ref="A41:F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30" hidden="0" customWidth="1"/>
    <x:col min="5" max="5" width="13" hidden="0" customWidth="1"/>
    <x:col min="6" max="6" width="20" hidden="0" customWidth="1"/>
    <x:col min="7" max="7" width="24" hidden="0" customWidth="1"/>
    <x:col min="8" max="8" width="34" hidden="0" customWidth="1"/>
    <x:col min="9" max="9" width="24" hidden="0" customWidth="1"/>
    <x:col min="10" max="10" width="16" hidden="0" customWidth="1"/>
    <x:col min="11" max="11" width="62" hidden="0" customWidth="1"/>
    <x:col min="12" max="12" width="55" hidden="0" customWidth="1"/>
    <x:col min="13" max="13" width="22" hidden="0" customWidth="1"/>
    <x:col min="14" max="14" width="26" hidden="0" customWidth="1"/>
    <x:col min="15" max="15" width="38" hidden="0" customWidth="1"/>
  </x:cols>
  <x:sheetData>
    <x:row r="1" ht="30" customHeight="1">
      <x:c r="A1" s="3" t="str">
        <x:v>Row-complete value crosswalk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Every source value row is mapped, withheld, allocated once, or excluded; no implicit full-TIV multiplier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4" customHeight="1">
      <x:c r="A4" s="15" t="str">
        <x:v>value_source_id</x:v>
      </x:c>
      <x:c r="B4" s="15" t="str">
        <x:v>source_location</x:v>
      </x:c>
      <x:c r="C4" s="15" t="str">
        <x:v>row_or_bucket_id</x:v>
      </x:c>
      <x:c r="D4" s="15" t="str">
        <x:v>row_or_bucket_label</x:v>
      </x:c>
      <x:c r="E4" s="15" t="str">
        <x:v>value</x:v>
      </x:c>
      <x:c r="F4" s="15" t="str">
        <x:v>unit</x:v>
      </x:c>
      <x:c r="G4" s="15" t="str">
        <x:v>financial_class</x:v>
      </x:c>
      <x:c r="H4" s="15" t="str">
        <x:v>failure_unit_id</x:v>
      </x:c>
      <x:c r="I4" s="15" t="str">
        <x:v>role_in_loss</x:v>
      </x:c>
      <x:c r="J4" s="15" t="str">
        <x:v>include_in_direct_denominator</x:v>
      </x:c>
      <x:c r="K4" s="15" t="str">
        <x:v>allocation_rule</x:v>
      </x:c>
      <x:c r="L4" s="15" t="str">
        <x:v>double_count_guardrail</x:v>
      </x:c>
      <x:c r="M4" s="15" t="str">
        <x:v>status</x:v>
      </x:c>
      <x:c r="N4" s="15" t="str">
        <x:v>notes</x:v>
      </x:c>
    </x:row>
    <x:row r="5" ht="44" customHeight="1">
      <x:c r="A5" s="19" t="str">
        <x:v>NREL_CWER_2024</x:v>
      </x:c>
      <x:c r="B5" s="19" t="str">
        <x:v>docs/method/value_basis/solar_wind_value_breakdown.xlsx::Wind_Map!2</x:v>
      </x:c>
      <x:c r="C5" s="19" t="str">
        <x:v>WIND_VALUE_002_BLADE</x:v>
      </x:c>
      <x:c r="D5" s="19" t="str">
        <x:v>Blades</x:v>
      </x:c>
      <x:c r="E5" s="19" t="str">
        <x:v>282</x:v>
      </x:c>
      <x:c r="F5" s="19" t="str">
        <x:v>2023_USD_per_kW</x:v>
      </x:c>
      <x:c r="G5" s="19" t="str">
        <x:v>direct_hardware</x:v>
      </x:c>
      <x:c r="H5" s="19" t="str">
        <x:v>WT_TURBINE_EQUIPMENT_ASSEMBLY</x:v>
      </x:c>
      <x:c r="I5" s="19" t="str">
        <x:v>direct_vulnerable_value</x:v>
      </x:c>
      <x:c r="J5" s="19" t="str">
        <x:v>true</x:v>
      </x:c>
      <x:c r="K5" s="19" t="str">
        <x:v>Included in DS2 rotor replacement and DS3 total equipment replacement; three-blade state consequence is value-based.</x:v>
      </x:c>
      <x:c r="L5" s="19" t="str">
        <x:v>Do not add an independent blade DR to the assembly state.</x:v>
      </x:c>
      <x:c r="M5" s="19" t="str">
        <x:v>mapped</x:v>
      </x:c>
      <x:c r="N5" s="19" t="str">
        <x:v>Direct CWER component row.</x:v>
      </x:c>
    </x:row>
    <x:row r="6" ht="44" customHeight="1">
      <x:c r="A6" s="19" t="str">
        <x:v>NREL_CWER_2024</x:v>
      </x:c>
      <x:c r="B6" s="19" t="str">
        <x:v>docs/method/value_basis/solar_wind_value_breakdown.xlsx::Wind_Map!3</x:v>
      </x:c>
      <x:c r="C6" s="19" t="str">
        <x:v>WIND_VALUE_003_PITCH</x:v>
      </x:c>
      <x:c r="D6" s="19" t="str">
        <x:v>Pitch assembly</x:v>
      </x:c>
      <x:c r="E6" s="19" t="str">
        <x:v>13</x:v>
      </x:c>
      <x:c r="F6" s="19" t="str">
        <x:v>2023_USD_per_kW</x:v>
      </x:c>
      <x:c r="G6" s="19" t="str">
        <x:v>direct_hardware</x:v>
      </x:c>
      <x:c r="H6" s="19" t="str">
        <x:v>WT_TURBINE_EQUIPMENT_ASSEMBLY</x:v>
      </x:c>
      <x:c r="I6" s="19" t="str">
        <x:v>direct_vulnerable_value</x:v>
      </x:c>
      <x:c r="J6" s="19" t="str">
        <x:v>true</x:v>
      </x:c>
      <x:c r="K6" s="19" t="str">
        <x:v>Used as the transparent DS1 control/pitch repair proxy and included in higher states.</x:v>
      </x:c>
      <x:c r="L6" s="19" t="str">
        <x:v>Pitch availability is also a conditioner; do not reduce exposure or value a second time.</x:v>
      </x:c>
      <x:c r="M6" s="19" t="str">
        <x:v>mapped</x:v>
      </x:c>
      <x:c r="N6" s="19" t="str">
        <x:v>CWER reports within rotor module.</x:v>
      </x:c>
    </x:row>
    <x:row r="7" ht="44" customHeight="1">
      <x:c r="A7" s="19" t="str">
        <x:v>NREL_CWER_2024</x:v>
      </x:c>
      <x:c r="B7" s="19" t="str">
        <x:v>docs/method/value_basis/solar_wind_value_breakdown.xlsx::Wind_Map!4</x:v>
      </x:c>
      <x:c r="C7" s="19" t="str">
        <x:v>WIND_VALUE_004_HUB</x:v>
      </x:c>
      <x:c r="D7" s="19" t="str">
        <x:v>Hub assembly</x:v>
      </x:c>
      <x:c r="E7" s="19" t="str">
        <x:v>42</x:v>
      </x:c>
      <x:c r="F7" s="19" t="str">
        <x:v>2023_USD_per_kW</x:v>
      </x:c>
      <x:c r="G7" s="19" t="str">
        <x:v>direct_hardware</x:v>
      </x:c>
      <x:c r="H7" s="19" t="str">
        <x:v>WT_TURBINE_EQUIPMENT_ASSEMBLY</x:v>
      </x:c>
      <x:c r="I7" s="19" t="str">
        <x:v>direct_vulnerable_value</x:v>
      </x:c>
      <x:c r="J7" s="19" t="str">
        <x:v>true</x:v>
      </x:c>
      <x:c r="K7" s="19" t="str">
        <x:v>Included in DS2 rotor replacement and DS3 total equipment replacement.</x:v>
      </x:c>
      <x:c r="L7" s="19" t="str">
        <x:v>No separate hub fragility in the assembly curve.</x:v>
      </x:c>
      <x:c r="M7" s="19" t="str">
        <x:v>mapped</x:v>
      </x:c>
      <x:c r="N7" s="19" t="str">
        <x:v>Direct CWER component row.</x:v>
      </x:c>
    </x:row>
    <x:row r="8" ht="44" customHeight="1">
      <x:c r="A8" s="19" t="str">
        <x:v>NREL_CWER_2024</x:v>
      </x:c>
      <x:c r="B8" s="19" t="str">
        <x:v>docs/method/value_basis/solar_wind_value_breakdown.xlsx::Wind_Map!5</x:v>
      </x:c>
      <x:c r="C8" s="19" t="str">
        <x:v>WIND_VALUE_005_NACELLE_STRUCTURE</x:v>
      </x:c>
      <x:c r="D8" s="19" t="str">
        <x:v>Nacelle structural assembly</x:v>
      </x:c>
      <x:c r="E8" s="19" t="str">
        <x:v>76</x:v>
      </x:c>
      <x:c r="F8" s="19" t="str">
        <x:v>2023_USD_per_kW</x:v>
      </x:c>
      <x:c r="G8" s="19" t="str">
        <x:v>direct_hardware</x:v>
      </x:c>
      <x:c r="H8" s="19" t="str">
        <x:v>WT_TURBINE_EQUIPMENT_ASSEMBLY</x:v>
      </x:c>
      <x:c r="I8" s="19" t="str">
        <x:v>direct_vulnerable_value</x:v>
      </x:c>
      <x:c r="J8" s="19" t="str">
        <x:v>true</x:v>
      </x:c>
      <x:c r="K8" s="19" t="str">
        <x:v>Included only in terminal total-equipment state in v2 screening; direct subterminal nacelle DR is withheld.</x:v>
      </x:c>
      <x:c r="L8" s="19" t="str">
        <x:v>Do not infer a nacelle curve from tower/rotor state.</x:v>
      </x:c>
      <x:c r="M8" s="19" t="str">
        <x:v>mapped_with_withheld_substate</x:v>
      </x:c>
      <x:c r="N8" s="19" t="str">
        <x:v>Direct CWER component row.</x:v>
      </x:c>
    </x:row>
    <x:row r="9" ht="44" customHeight="1">
      <x:c r="A9" s="19" t="str">
        <x:v>NREL_CWER_2024</x:v>
      </x:c>
      <x:c r="B9" s="19" t="str">
        <x:v>docs/method/value_basis/solar_wind_value_breakdown.xlsx::Wind_Map!6</x:v>
      </x:c>
      <x:c r="C9" s="19" t="str">
        <x:v>WIND_VALUE_006_DRIVETRAIN</x:v>
      </x:c>
      <x:c r="D9" s="19" t="str">
        <x:v>Drivetrain assembly</x:v>
      </x:c>
      <x:c r="E9" s="19" t="str">
        <x:v>236</x:v>
      </x:c>
      <x:c r="F9" s="19" t="str">
        <x:v>2023_USD_per_kW</x:v>
      </x:c>
      <x:c r="G9" s="19" t="str">
        <x:v>direct_hardware</x:v>
      </x:c>
      <x:c r="H9" s="19" t="str">
        <x:v>WT_TURBINE_EQUIPMENT_ASSEMBLY</x:v>
      </x:c>
      <x:c r="I9" s="19" t="str">
        <x:v>direct_vulnerable_value</x:v>
      </x:c>
      <x:c r="J9" s="19" t="str">
        <x:v>true</x:v>
      </x:c>
      <x:c r="K9" s="19" t="str">
        <x:v>Included only in terminal total-equipment state in v2 screening; direct subterminal drivetrain DR is withheld.</x:v>
      </x:c>
      <x:c r="L9" s="19" t="str">
        <x:v>Do not treat grid loss or rotor load as automatic drivetrain replacement.</x:v>
      </x:c>
      <x:c r="M9" s="19" t="str">
        <x:v>mapped_with_withheld_substate</x:v>
      </x:c>
      <x:c r="N9" s="19" t="str">
        <x:v>Gearbox and generator remain a public rollup.</x:v>
      </x:c>
    </x:row>
    <x:row r="10" ht="44" customHeight="1">
      <x:c r="A10" s="19" t="str">
        <x:v>NREL_CWER_2024</x:v>
      </x:c>
      <x:c r="B10" s="19" t="str">
        <x:v>docs/method/value_basis/solar_wind_value_breakdown.xlsx::Wind_Map!7</x:v>
      </x:c>
      <x:c r="C10" s="19" t="str">
        <x:v>WIND_VALUE_007_POWER_ELECTRONICS</x:v>
      </x:c>
      <x:c r="D10" s="19" t="str">
        <x:v>Nacelle electrical assembly</x:v>
      </x:c>
      <x:c r="E10" s="19" t="str">
        <x:v>137</x:v>
      </x:c>
      <x:c r="F10" s="19" t="str">
        <x:v>2023_USD_per_kW</x:v>
      </x:c>
      <x:c r="G10" s="19" t="str">
        <x:v>direct_hardware</x:v>
      </x:c>
      <x:c r="H10" s="19" t="str">
        <x:v>WT_TURBINE_EQUIPMENT_ASSEMBLY</x:v>
      </x:c>
      <x:c r="I10" s="19" t="str">
        <x:v>direct_vulnerable_value</x:v>
      </x:c>
      <x:c r="J10" s="19" t="str">
        <x:v>true</x:v>
      </x:c>
      <x:c r="K10" s="19" t="str">
        <x:v>Included only in terminal total-equipment state; direct physical acceleration/electrical DR is withheld.</x:v>
      </x:c>
      <x:c r="L10" s="19" t="str">
        <x:v>Grid outage/curtailment is not destruction and receives no DR.</x:v>
      </x:c>
      <x:c r="M10" s="19" t="str">
        <x:v>mapped_with_withheld_substate</x:v>
      </x:c>
      <x:c r="N10" s="19" t="str">
        <x:v>CWER nacelle electrical assembly.</x:v>
      </x:c>
    </x:row>
    <x:row r="11" ht="44" customHeight="1">
      <x:c r="A11" s="19" t="str">
        <x:v>NREL_CWER_2024</x:v>
      </x:c>
      <x:c r="B11" s="19" t="str">
        <x:v>docs/method/value_basis/solar_wind_value_breakdown.xlsx::Wind_Map!8</x:v>
      </x:c>
      <x:c r="C11" s="19" t="str">
        <x:v>WIND_VALUE_008_YAW</x:v>
      </x:c>
      <x:c r="D11" s="19" t="str">
        <x:v>Yaw assembly</x:v>
      </x:c>
      <x:c r="E11" s="19" t="str">
        <x:v>28</x:v>
      </x:c>
      <x:c r="F11" s="19" t="str">
        <x:v>2023_USD_per_kW</x:v>
      </x:c>
      <x:c r="G11" s="19" t="str">
        <x:v>direct_hardware</x:v>
      </x:c>
      <x:c r="H11" s="19" t="str">
        <x:v>WT_TURBINE_EQUIPMENT_ASSEMBLY</x:v>
      </x:c>
      <x:c r="I11" s="19" t="str">
        <x:v>direct_vulnerable_value</x:v>
      </x:c>
      <x:c r="J11" s="19" t="str">
        <x:v>true</x:v>
      </x:c>
      <x:c r="K11" s="19" t="str">
        <x:v>Included only in terminal total-equipment state; yaw availability is a conditioner.</x:v>
      </x:c>
      <x:c r="L11" s="19" t="str">
        <x:v>Do not count yaw impairment as both a conditioner shift and a separate default loss.</x:v>
      </x:c>
      <x:c r="M11" s="19" t="str">
        <x:v>mapped_with_withheld_substate</x:v>
      </x:c>
      <x:c r="N11" s="19" t="str">
        <x:v>Direct CWER component row.</x:v>
      </x:c>
    </x:row>
    <x:row r="12" ht="44" customHeight="1">
      <x:c r="A12" s="19" t="str">
        <x:v>NREL_CWER_2024</x:v>
      </x:c>
      <x:c r="B12" s="19" t="str">
        <x:v>docs/method/value_basis/solar_wind_value_breakdown.xlsx::Wind_Map!9</x:v>
      </x:c>
      <x:c r="C12" s="19" t="str">
        <x:v>WIND_VALUE_009_TOWER</x:v>
      </x:c>
      <x:c r="D12" s="19" t="str">
        <x:v>Tower module</x:v>
      </x:c>
      <x:c r="E12" s="19" t="str">
        <x:v>276</x:v>
      </x:c>
      <x:c r="F12" s="19" t="str">
        <x:v>2023_USD_per_kW</x:v>
      </x:c>
      <x:c r="G12" s="19" t="str">
        <x:v>direct_hardware</x:v>
      </x:c>
      <x:c r="H12" s="19" t="str">
        <x:v>WT_TURBINE_EQUIPMENT_ASSEMBLY</x:v>
      </x:c>
      <x:c r="I12" s="19" t="str">
        <x:v>direct_vulnerable_value</x:v>
      </x:c>
      <x:c r="J12" s="19" t="str">
        <x:v>true</x:v>
      </x:c>
      <x:c r="K12" s="19" t="str">
        <x:v>Terminal collapse makes the turbine-equipment state DS3; no independent tower sum.</x:v>
      </x:c>
      <x:c r="L12" s="19" t="str">
        <x:v>Tower collapse already carries consequential equipment replacement once.</x:v>
      </x:c>
      <x:c r="M12" s="19" t="str">
        <x:v>mapped</x:v>
      </x:c>
      <x:c r="N12" s="19" t="str">
        <x:v>Direct CWER subsystem row.</x:v>
      </x:c>
    </x:row>
    <x:row r="13" ht="44" customHeight="1">
      <x:c r="A13" s="19" t="str">
        <x:v>NREL_CWER_2024</x:v>
      </x:c>
      <x:c r="B13" s="19" t="str">
        <x:v>docs/method/value_basis/solar_wind_value_breakdown.xlsx::Wind_Map!10</x:v>
      </x:c>
      <x:c r="C13" s="19" t="str">
        <x:v>WIND_VALUE_010_FOUNDATION</x:v>
      </x:c>
      <x:c r="D13" s="19" t="str">
        <x:v>Foundation</x:v>
      </x:c>
      <x:c r="E13" s="19" t="str">
        <x:v>120</x:v>
      </x:c>
      <x:c r="F13" s="19" t="str">
        <x:v>2023_USD_per_kW</x:v>
      </x:c>
      <x:c r="G13" s="19" t="str">
        <x:v>direct_hardware</x:v>
      </x:c>
      <x:c r="H13" s="19" t="str">
        <x:v>WT_FOUNDATION</x:v>
      </x:c>
      <x:c r="I13" s="19" t="str">
        <x:v>direct_vulnerable_value</x:v>
      </x:c>
      <x:c r="J13" s="19" t="str">
        <x:v>false</x:v>
      </x:c>
      <x:c r="K13" s="19" t="str">
        <x:v>Separate failure unit; v2 numeric DR withheld pending geotechnical/foundation evidence and post-collapse disposition.</x:v>
      </x:c>
      <x:c r="L13" s="19" t="str">
        <x:v>Never assume terminal equipment loss automatically replaces the foundation.</x:v>
      </x:c>
      <x:c r="M13" s="19" t="str">
        <x:v>withheld</x:v>
      </x:c>
      <x:c r="N13" s="19" t="str">
        <x:v>Plant row allocated by capacity in source ledger.</x:v>
      </x:c>
    </x:row>
    <x:row r="14" ht="44" customHeight="1">
      <x:c r="A14" s="19" t="str">
        <x:v>NREL_CWER_2024</x:v>
      </x:c>
      <x:c r="B14" s="19" t="str">
        <x:v>docs/method/value_basis/solar_wind_value_breakdown.xlsx::Wind_Map!11</x:v>
      </x:c>
      <x:c r="C14" s="19" t="str">
        <x:v>WIND_VALUE_011_CIVIL</x:v>
      </x:c>
      <x:c r="D14" s="19" t="str">
        <x:v>Site access, staging, and facilities</x:v>
      </x:c>
      <x:c r="E14" s="19" t="str">
        <x:v>47</x:v>
      </x:c>
      <x:c r="F14" s="19" t="str">
        <x:v>2023_USD_per_kW</x:v>
      </x:c>
      <x:c r="G14" s="19" t="str">
        <x:v>mixed_civil</x:v>
      </x:c>
      <x:c r="H14" s="19" t="str">
        <x:v>WT_CIVIL_INFRA</x:v>
      </x:c>
      <x:c r="I14" s="19" t="str">
        <x:v>split_required</x:v>
      </x:c>
      <x:c r="J14" s="19" t="str">
        <x:v>false</x:v>
      </x:c>
      <x:c r="K14" s="19" t="str">
        <x:v>Split road, staging, building and facility assets with area/point-specific exposure before damage modeling.</x:v>
      </x:c>
      <x:c r="L14" s="19" t="str">
        <x:v>Do not scale by exposed turbine fraction or turbine DR.</x:v>
      </x:c>
      <x:c r="M14" s="19" t="str">
        <x:v>withheld</x:v>
      </x:c>
      <x:c r="N14" s="19" t="str">
        <x:v>Mixed plant-level physical rollup.</x:v>
      </x:c>
    </x:row>
    <x:row r="15" ht="44" customHeight="1">
      <x:c r="A15" s="19" t="str">
        <x:v>NREL_CWER_2024</x:v>
      </x:c>
      <x:c r="B15" s="19" t="str">
        <x:v>docs/method/value_basis/solar_wind_value_breakdown.xlsx::Wind_Map!12</x:v>
      </x:c>
      <x:c r="C15" s="19" t="str">
        <x:v>WIND_VALUE_012_ELECTRICAL</x:v>
      </x:c>
      <x:c r="D15" s="19" t="str">
        <x:v>Electrical infrastructure</x:v>
      </x:c>
      <x:c r="E15" s="19" t="str">
        <x:v>72</x:v>
      </x:c>
      <x:c r="F15" s="19" t="str">
        <x:v>2023_USD_per_kW</x:v>
      </x:c>
      <x:c r="G15" s="19" t="str">
        <x:v>mixed_direct_hardware</x:v>
      </x:c>
      <x:c r="H15" s="19" t="str">
        <x:v>WT_EXTERNAL_ELECTRICAL</x:v>
      </x:c>
      <x:c r="I15" s="19" t="str">
        <x:v>split_required</x:v>
      </x:c>
      <x:c r="J15" s="19" t="str">
        <x:v>false</x:v>
      </x:c>
      <x:c r="K15" s="19" t="str">
        <x:v>Split collection-line and substation-point assets; v2 numeric DR withheld.</x:v>
      </x:c>
      <x:c r="L15" s="19" t="str">
        <x:v>Do not apply one tornado/convective turbine footprint to cables and substation.</x:v>
      </x:c>
      <x:c r="M15" s="19" t="str">
        <x:v>withheld</x:v>
      </x:c>
      <x:c r="N15" s="19" t="str">
        <x:v>CWER does not split collection versus substation.</x:v>
      </x:c>
    </x:row>
    <x:row r="16" ht="44" customHeight="1">
      <x:c r="A16" s="19" t="str">
        <x:v>NREL_CWER_2024</x:v>
      </x:c>
      <x:c r="B16" s="19" t="str">
        <x:v>docs/method/value_basis/solar_wind_value_breakdown.xlsx::Wind_Map!13</x:v>
      </x:c>
      <x:c r="C16" s="19" t="str">
        <x:v>WIND_VALUE_013_FIELDWORK</x:v>
      </x:c>
      <x:c r="D16" s="19" t="str">
        <x:v>Assembly and installation</x:v>
      </x:c>
      <x:c r="E16" s="19" t="str">
        <x:v>100</x:v>
      </x:c>
      <x:c r="F16" s="19" t="str">
        <x:v>2023_USD_per_kW</x:v>
      </x:c>
      <x:c r="G16" s="19" t="str">
        <x:v>support_logistics</x:v>
      </x:c>
      <x:c r="H16" s="19" t="str">
        <x:v>SUPPORT_FIELDWORK</x:v>
      </x:c>
      <x:c r="I16" s="19" t="str">
        <x:v>support_once</x:v>
      </x:c>
      <x:c r="J16" s="19" t="str">
        <x:v>false</x:v>
      </x:c>
      <x:c r="K16" s="19" t="str">
        <x:v>Allocate once to damaged units using a site/claims rule after direct states are evaluated.</x:v>
      </x:c>
      <x:c r="L16" s="19" t="str">
        <x:v>No independent fragility and no automatic linear multiplication inside DR.</x:v>
      </x:c>
      <x:c r="M16" s="19" t="str">
        <x:v>mapped_support_rule_open</x:v>
      </x:c>
      <x:c r="N16" s="19" t="str">
        <x:v>Recurring replacement cost but not owned hardware.</x:v>
      </x:c>
    </x:row>
    <x:row r="17" ht="44" customHeight="1">
      <x:c r="A17" s="19" t="str">
        <x:v>NREL_CWER_2024</x:v>
      </x:c>
      <x:c r="B17" s="19" t="str">
        <x:v>docs/method/value_basis/solar_wind_value_breakdown.xlsx::Wind_Map!14</x:v>
      </x:c>
      <x:c r="C17" s="19" t="str">
        <x:v>WIND_VALUE_014_TRANSPORT</x:v>
      </x:c>
      <x:c r="D17" s="19" t="str">
        <x:v>Wind turbine transport</x:v>
      </x:c>
      <x:c r="E17" s="19" t="str">
        <x:v>194</x:v>
      </x:c>
      <x:c r="F17" s="19" t="str">
        <x:v>2023_USD_per_kW</x:v>
      </x:c>
      <x:c r="G17" s="19" t="str">
        <x:v>support_logistics</x:v>
      </x:c>
      <x:c r="H17" s="19" t="str">
        <x:v>SUPPORT_TRANSPORT_LOGISTICS</x:v>
      </x:c>
      <x:c r="I17" s="19" t="str">
        <x:v>support_once</x:v>
      </x:c>
      <x:c r="J17" s="19" t="str">
        <x:v>false</x:v>
      </x:c>
      <x:c r="K17" s="19" t="str">
        <x:v>Allocate once when replacement scope requires transport; site distance/crane/logistics override reference.</x:v>
      </x:c>
      <x:c r="L17" s="19" t="str">
        <x:v>Do not include in turbine denominator and then add again downstream.</x:v>
      </x:c>
      <x:c r="M17" s="19" t="str">
        <x:v>mapped_support_rule_open</x:v>
      </x:c>
      <x:c r="N17" s="19" t="str">
        <x:v>Included in physical reference because it recurs on major replacement.</x:v>
      </x:c>
    </x:row>
    <x:row r="18" ht="44" customHeight="1">
      <x:c r="A18" s="19" t="str">
        <x:v>NREL_CWER_2024</x:v>
      </x:c>
      <x:c r="B18" s="19" t="str">
        <x:v>docs/method/value_basis/solar_wind_value_breakdown.xlsx::Wind_Map!15</x:v>
      </x:c>
      <x:c r="C18" s="19" t="str">
        <x:v>WIND_VALUE_015_ENGINEERING_DEVELOPMENT</x:v>
      </x:c>
      <x:c r="D18" s="19" t="str">
        <x:v>Engineering and development</x:v>
      </x:c>
      <x:c r="E18" s="19" t="str">
        <x:v>36</x:v>
      </x:c>
      <x:c r="F18" s="19" t="str">
        <x:v>2023_USD_per_kW</x:v>
      </x:c>
      <x:c r="G18" s="19" t="str">
        <x:v>excluded_soft_sunk_nonphysical</x:v>
      </x:c>
      <x:c r="H18" s="19" t="str">
        <x:v>OUTSIDE_PHYSICAL_CELL</x:v>
      </x:c>
      <x:c r="I18" s="19" t="str">
        <x:v>excluded</x:v>
      </x:c>
      <x:c r="J18" s="19" t="str">
        <x:v>false</x:v>
      </x:c>
      <x:c r="K18" s="19" t="str">
        <x:v>Excluded from physical destruction reference by default.</x:v>
      </x:c>
      <x:c r="L18" s="19" t="str">
        <x:v>Never reintroduce through state or support scaling without an explicit insured-value override.</x:v>
      </x:c>
      <x:c r="M18" s="19" t="str">
        <x:v>excluded</x:v>
      </x:c>
      <x:c r="N18" s="19" t="str">
        <x:v>Source soft-cost row.</x:v>
      </x:c>
    </x:row>
    <x:row r="19" ht="44" customHeight="1">
      <x:c r="A19" s="19" t="str">
        <x:v>NREL_CWER_2024</x:v>
      </x:c>
      <x:c r="B19" s="19" t="str">
        <x:v>docs/method/value_basis/solar_wind_value_breakdown.xlsx::Wind_Map!16</x:v>
      </x:c>
      <x:c r="C19" s="19" t="str">
        <x:v>WIND_VALUE_016_PROJECT_MANAGEMENT</x:v>
      </x:c>
      <x:c r="D19" s="19" t="str">
        <x:v>Project management</x:v>
      </x:c>
      <x:c r="E19" s="19" t="str">
        <x:v>14</x:v>
      </x:c>
      <x:c r="F19" s="19" t="str">
        <x:v>2023_USD_per_kW</x:v>
      </x:c>
      <x:c r="G19" s="19" t="str">
        <x:v>excluded_soft_sunk_nonphysical</x:v>
      </x:c>
      <x:c r="H19" s="19" t="str">
        <x:v>OUTSIDE_PHYSICAL_CELL</x:v>
      </x:c>
      <x:c r="I19" s="19" t="str">
        <x:v>excluded</x:v>
      </x:c>
      <x:c r="J19" s="19" t="str">
        <x:v>false</x:v>
      </x:c>
      <x:c r="K19" s="19" t="str">
        <x:v>Excluded from physical destruction reference by default.</x:v>
      </x:c>
      <x:c r="L19" s="19" t="str">
        <x:v>Never reintroduce through state or support scaling without an explicit insured-value override.</x:v>
      </x:c>
      <x:c r="M19" s="19" t="str">
        <x:v>excluded</x:v>
      </x:c>
      <x:c r="N19" s="19" t="str">
        <x:v>Source soft-cost row.</x:v>
      </x:c>
    </x:row>
    <x:row r="20" ht="44" customHeight="1">
      <x:c r="A20" s="19" t="str">
        <x:v>NREL_CWER_2024</x:v>
      </x:c>
      <x:c r="B20" s="19" t="str">
        <x:v>docs/method/value_basis/solar_wind_value_breakdown.xlsx::Wind_Map!17</x:v>
      </x:c>
      <x:c r="C20" s="19" t="str">
        <x:v>WIND_VALUE_017_FINANCE</x:v>
      </x:c>
      <x:c r="D20" s="19" t="str">
        <x:v>Construction finance</x:v>
      </x:c>
      <x:c r="E20" s="19" t="str">
        <x:v>111</x:v>
      </x:c>
      <x:c r="F20" s="19" t="str">
        <x:v>2023_USD_per_kW</x:v>
      </x:c>
      <x:c r="G20" s="19" t="str">
        <x:v>excluded_soft_sunk_nonphysical</x:v>
      </x:c>
      <x:c r="H20" s="19" t="str">
        <x:v>OUTSIDE_PHYSICAL_CELL</x:v>
      </x:c>
      <x:c r="I20" s="19" t="str">
        <x:v>excluded</x:v>
      </x:c>
      <x:c r="J20" s="19" t="str">
        <x:v>false</x:v>
      </x:c>
      <x:c r="K20" s="19" t="str">
        <x:v>Excluded from physical destruction reference.</x:v>
      </x:c>
      <x:c r="L20" s="19" t="str">
        <x:v>Financial cost is not physical repair value.</x:v>
      </x:c>
      <x:c r="M20" s="19" t="str">
        <x:v>excluded</x:v>
      </x:c>
      <x:c r="N20" s="19" t="str">
        <x:v>Source soft-cost row.</x:v>
      </x:c>
    </x:row>
    <x:row r="21" ht="44" customHeight="1">
      <x:c r="A21" s="19" t="str">
        <x:v>NREL_CWER_2024</x:v>
      </x:c>
      <x:c r="B21" s="19" t="str">
        <x:v>docs/method/value_basis/solar_wind_value_breakdown.xlsx::Wind_Map!18</x:v>
      </x:c>
      <x:c r="C21" s="19" t="str">
        <x:v>WIND_VALUE_018_CONTINGENCY</x:v>
      </x:c>
      <x:c r="D21" s="19" t="str">
        <x:v>Contingency</x:v>
      </x:c>
      <x:c r="E21" s="19" t="str">
        <x:v>54</x:v>
      </x:c>
      <x:c r="F21" s="19" t="str">
        <x:v>2023_USD_per_kW</x:v>
      </x:c>
      <x:c r="G21" s="19" t="str">
        <x:v>excluded_soft_sunk_nonphysical</x:v>
      </x:c>
      <x:c r="H21" s="19" t="str">
        <x:v>OUTSIDE_PHYSICAL_CELL</x:v>
      </x:c>
      <x:c r="I21" s="19" t="str">
        <x:v>excluded</x:v>
      </x:c>
      <x:c r="J21" s="19" t="str">
        <x:v>false</x:v>
      </x:c>
      <x:c r="K21" s="19" t="str">
        <x:v>Excluded from physical destruction reference; any claim contingency belongs to explicit downstream valuation.</x:v>
      </x:c>
      <x:c r="L21" s="19" t="str">
        <x:v>Do not use as curve uncertainty or add to support automatically.</x:v>
      </x:c>
      <x:c r="M21" s="19" t="str">
        <x:v>excluded</x:v>
      </x:c>
      <x:c r="N21" s="19" t="str">
        <x:v>CWER contingency includes insurance, permitting, bonding and markup.</x:v>
      </x:c>
    </x:row>
    <x:row r="22" ht="44" customHeight="1">
      <x:c r="A22" s="19" t="str">
        <x:v>NREL_CWER_2024</x:v>
      </x:c>
      <x:c r="B22" s="19" t="str">
        <x:v>docs/method/value_basis/solar_wind_value_breakdown.xlsx::Wind_Map!19</x:v>
      </x:c>
      <x:c r="C22" s="19" t="str">
        <x:v>WIND_VALUE_019_WARRANTY</x:v>
      </x:c>
      <x:c r="D22" s="19" t="str">
        <x:v>Wind turbine warranty</x:v>
      </x:c>
      <x:c r="E22" s="19" t="str">
        <x:v>130</x:v>
      </x:c>
      <x:c r="F22" s="19" t="str">
        <x:v>2023_USD_per_kW</x:v>
      </x:c>
      <x:c r="G22" s="19" t="str">
        <x:v>excluded_soft_sunk_nonphysical</x:v>
      </x:c>
      <x:c r="H22" s="19" t="str">
        <x:v>OUTSIDE_PHYSICAL_CELL</x:v>
      </x:c>
      <x:c r="I22" s="19" t="str">
        <x:v>excluded</x:v>
      </x:c>
      <x:c r="J22" s="19" t="str">
        <x:v>false</x:v>
      </x:c>
      <x:c r="K22" s="19" t="str">
        <x:v>Excluded from physical destruction reference.</x:v>
      </x:c>
      <x:c r="L22" s="19" t="str">
        <x:v>Warranty value is not replacement damage.</x:v>
      </x:c>
      <x:c r="M22" s="19" t="str">
        <x:v>excluded</x:v>
      </x:c>
      <x:c r="N22" s="19" t="str">
        <x:v>Source soft-cost row.</x:v>
      </x:c>
    </x:row>
    <x:row r="23" ht="44" customHeight="1">
      <x:c r="A23" s="19" t="str">
        <x:v>SUMMARY</x:v>
      </x:c>
      <x:c r="B23" s="19" t="str">
        <x:v>Wind_Map!2:9</x:v>
      </x:c>
      <x:c r="C23" s="19" t="str">
        <x:v>WT_TURBINE_EQUIPMENT_ASSEMBLY_TOTAL</x:v>
      </x:c>
      <x:c r="D23" s="19" t="str">
        <x:v>Turbine equipment direct denominator</x:v>
      </x:c>
      <x:c r="E23" s="19" t="str">
        <x:v>1090</x:v>
      </x:c>
      <x:c r="F23" s="19" t="str">
        <x:v>2023_USD_per_kW</x:v>
      </x:c>
      <x:c r="G23" s="19" t="str">
        <x:v>reconciliation</x:v>
      </x:c>
      <x:c r="H23" s="19" t="str">
        <x:v>WT_TURBINE_EQUIPMENT_ASSEMBLY</x:v>
      </x:c>
      <x:c r="I23" s="19" t="str">
        <x:v>direct_vulnerable_value</x:v>
      </x:c>
      <x:c r="J23" s="19" t="str">
        <x:v>true</x:v>
      </x:c>
      <x:c r="K23" s="19" t="str">
        <x:v>One repeated turbine-equipment assembly; physical-base share 0.671595810227973; installed share 0.553861788617886.</x:v>
      </x:c>
      <x:c r="L23" s="19" t="str">
        <x:v>Apply exposure per turbine and never call either share an intrinsic DR cap.</x:v>
      </x:c>
      <x:c r="M23" s="19" t="str">
        <x:v>mapped</x:v>
      </x:c>
      <x:c r="N23" s="19" t="str">
        <x:v>Rotor 337 + nacelle 477 + tower 276 = 1090.</x:v>
      </x:c>
    </x:row>
    <x:row r="24" ht="44" customHeight="1">
      <x:c r="A24" s="19" t="str">
        <x:v>SUMMARY</x:v>
      </x:c>
      <x:c r="B24" s="19" t="str">
        <x:v>Wind_Map!10:12</x:v>
      </x:c>
      <x:c r="C24" s="19" t="str">
        <x:v>WITHHELD_DIRECT_OTHER_TOTAL</x:v>
      </x:c>
      <x:c r="D24" s="19" t="str">
        <x:v>Foundation + civil + external electrical</x:v>
      </x:c>
      <x:c r="E24" s="19" t="str">
        <x:v>239</x:v>
      </x:c>
      <x:c r="F24" s="19" t="str">
        <x:v>2023_USD_per_kW</x:v>
      </x:c>
      <x:c r="G24" s="19" t="str">
        <x:v>reconciliation</x:v>
      </x:c>
      <x:c r="H24" s="19" t="str">
        <x:v>MULTIPLE_WITHHELD_UNITS</x:v>
      </x:c>
      <x:c r="I24" s="19" t="str">
        <x:v>split_required</x:v>
      </x:c>
      <x:c r="J24" s="19" t="str">
        <x:v>false</x:v>
      </x:c>
      <x:c r="K24" s="19" t="str">
        <x:v>Physical-base share 0.147258163894023; installed share 0.121443089430894.</x:v>
      </x:c>
      <x:c r="L24" s="19" t="str">
        <x:v>Do not treat withheld as zero or inherit assembly DR.</x:v>
      </x:c>
      <x:c r="M24" s="19" t="str">
        <x:v>withheld</x:v>
      </x:c>
      <x:c r="N24" s="19" t="str">
        <x:v>Requires unit-specific curves and exposure.</x:v>
      </x:c>
    </x:row>
    <x:row r="25" ht="44" customHeight="1">
      <x:c r="A25" s="19" t="str">
        <x:v>SUMMARY</x:v>
      </x:c>
      <x:c r="B25" s="19" t="str">
        <x:v>Wind_Map!13:14</x:v>
      </x:c>
      <x:c r="C25" s="19" t="str">
        <x:v>SUPPORT_TOTAL</x:v>
      </x:c>
      <x:c r="D25" s="19" t="str">
        <x:v>Fieldwork + transport/logistics</x:v>
      </x:c>
      <x:c r="E25" s="19" t="str">
        <x:v>294</x:v>
      </x:c>
      <x:c r="F25" s="19" t="str">
        <x:v>2023_USD_per_kW</x:v>
      </x:c>
      <x:c r="G25" s="19" t="str">
        <x:v>reconciliation</x:v>
      </x:c>
      <x:c r="H25" s="19" t="str">
        <x:v>SUPPORT_ONCE</x:v>
      </x:c>
      <x:c r="I25" s="19" t="str">
        <x:v>support_once</x:v>
      </x:c>
      <x:c r="J25" s="19" t="str">
        <x:v>false</x:v>
      </x:c>
      <x:c r="K25" s="19" t="str">
        <x:v>Physical-base share 0.181146025878004; installed share 0.149390243902439.</x:v>
      </x:c>
      <x:c r="L25" s="19" t="str">
        <x:v>Allocate once only after direct damaged units are known.</x:v>
      </x:c>
      <x:c r="M25" s="19" t="str">
        <x:v>mapped_support_rule_open</x:v>
      </x:c>
      <x:c r="N25" s="19" t="str">
        <x:v>No default proportional rule is authorized.</x:v>
      </x:c>
    </x:row>
    <x:row r="26" ht="44" customHeight="1">
      <x:c r="A26" s="19" t="str">
        <x:v>SUMMARY</x:v>
      </x:c>
      <x:c r="B26" s="19" t="str">
        <x:v>Wind_Map!2:14</x:v>
      </x:c>
      <x:c r="C26" s="19" t="str">
        <x:v>PHYSICAL_REFERENCE_TOTAL</x:v>
      </x:c>
      <x:c r="D26" s="19" t="str">
        <x:v>Physical replaceable reference basis</x:v>
      </x:c>
      <x:c r="E26" s="19" t="str">
        <x:v>1623</x:v>
      </x:c>
      <x:c r="F26" s="19" t="str">
        <x:v>2023_USD_per_kW</x:v>
      </x:c>
      <x:c r="G26" s="19" t="str">
        <x:v>reconciliation</x:v>
      </x:c>
      <x:c r="H26" s="19" t="str">
        <x:v>REFERENCE_DENOMINATOR_ONLY</x:v>
      </x:c>
      <x:c r="I26" s="19" t="str">
        <x:v>reference</x:v>
      </x:c>
      <x:c r="J26" s="19" t="str">
        <x:v>false</x:v>
      </x:c>
      <x:c r="K26" s="19" t="str">
        <x:v>1090 turbine equipment + 239 withheld direct other + 294 support = 1623.</x:v>
      </x:c>
      <x:c r="L26" s="19" t="str">
        <x:v>No pooled physical-base DR may bypass unit/exposure/support rules.</x:v>
      </x:c>
      <x:c r="M26" s="19" t="str">
        <x:v>reconciled</x:v>
      </x:c>
      <x:c r="N26" s="19" t="str">
        <x:v>Physical-to-installed ratio 0.824695121951220.</x:v>
      </x:c>
    </x:row>
    <x:row r="27" ht="44" customHeight="1">
      <x:c r="A27" s="19" t="str">
        <x:v>SUMMARY</x:v>
      </x:c>
      <x:c r="B27" s="19" t="str">
        <x:v>Wind_Map!15:19</x:v>
      </x:c>
      <x:c r="C27" s="19" t="str">
        <x:v>EXCLUDED_TOTAL</x:v>
      </x:c>
      <x:c r="D27" s="19" t="str">
        <x:v>Sunk/soft/nonphysical excluded</x:v>
      </x:c>
      <x:c r="E27" s="19" t="str">
        <x:v>345</x:v>
      </x:c>
      <x:c r="F27" s="19" t="str">
        <x:v>2023_USD_per_kW</x:v>
      </x:c>
      <x:c r="G27" s="19" t="str">
        <x:v>reconciliation</x:v>
      </x:c>
      <x:c r="H27" s="19" t="str">
        <x:v>OUTSIDE_PHYSICAL_CELL</x:v>
      </x:c>
      <x:c r="I27" s="19" t="str">
        <x:v>excluded</x:v>
      </x:c>
      <x:c r="J27" s="19" t="str">
        <x:v>false</x:v>
      </x:c>
      <x:c r="K27" s="19" t="str">
        <x:v>36 + 14 + 111 + 54 + 130 = 345.</x:v>
      </x:c>
      <x:c r="L27" s="19" t="str">
        <x:v>Do not reintroduce by convenience TIV scaling.</x:v>
      </x:c>
      <x:c r="M27" s="19" t="str">
        <x:v>reconciled</x:v>
      </x:c>
      <x:c r="N27" s="19" t="str">
        <x:v>Installed 1968 = physical 1623 + excluded 345.</x:v>
      </x:c>
    </x:row>
    <x:row r="28" ht="44" customHeight="1">
      <x:c r="A28" s="19" t="str">
        <x:v>SUMMARY</x:v>
      </x:c>
      <x:c r="B28" s="19" t="str">
        <x:v>Wind_Map!2:19</x:v>
      </x:c>
      <x:c r="C28" s="19" t="str">
        <x:v>INSTALLED_REFERENCE_TOTAL</x:v>
      </x:c>
      <x:c r="D28" s="19" t="str">
        <x:v>Installed CAPEX reference basis</x:v>
      </x:c>
      <x:c r="E28" s="19" t="str">
        <x:v>1968</x:v>
      </x:c>
      <x:c r="F28" s="19" t="str">
        <x:v>2023_USD_per_kW</x:v>
      </x:c>
      <x:c r="G28" s="19" t="str">
        <x:v>reconciliation</x:v>
      </x:c>
      <x:c r="H28" s="19" t="str">
        <x:v>REFERENCE_REPORTING_DENOMINATOR</x:v>
      </x:c>
      <x:c r="I28" s="19" t="str">
        <x:v>reference</x:v>
      </x:c>
      <x:c r="J28" s="19" t="str">
        <x:v>false</x:v>
      </x:c>
      <x:c r="K28" s="19" t="str">
        <x:v>Reference installed value for denominator conversion only.</x:v>
      </x:c>
      <x:c r="L28" s="19" t="str">
        <x:v>No implicit value profile or full-TIV loss is published.</x:v>
      </x:c>
      <x:c r="M28" s="19" t="str">
        <x:v>reconciled</x:v>
      </x:c>
      <x:c r="N28" s="19" t="str">
        <x:v>200 MW reference equals 393.6 million 2023 USD installed.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6" hidden="0" customWidth="1"/>
    <x:col min="3" max="3" width="70" hidden="0" customWidth="1"/>
    <x:col min="4" max="4" width="40" hidden="0" customWidth="1"/>
    <x:col min="5" max="5" width="44" hidden="0" customWidth="1"/>
    <x:col min="6" max="6" width="5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" t="str">
        <x:v>Ordered-state construction and dependency guardrails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Exact states are mutually exclusive; tower collapse is terminal for the equipment assembly; foundation and support remain separate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5" t="str">
        <x:v>State</x:v>
      </x:c>
      <x:c r="B4" s="15" t="str">
        <x:v>Cost ratio</x:v>
      </x:c>
      <x:c r="C4" s="15" t="str">
        <x:v>Exact-state probability</x:v>
      </x:c>
      <x:c r="D4" s="15" t="str">
        <x:v>Physical scope</x:v>
      </x:c>
      <x:c r="E4" s="15" t="str">
        <x:v>Explicit exclusions</x:v>
      </x:c>
      <x:c r="F4" s="15" t="str">
        <x:v>Why this avoids double counting</x:v>
      </x:c>
    </x:row>
    <x:row r="5">
      <x:c r="A5" s="19" t="str">
        <x:v>DS0_NO_DIRECT_DAMAGE</x:v>
      </x:c>
      <x:c r="B5" s="28" t="n">
        <x:f>'Inputs'!J6</x:f>
        <x:v>0</x:v>
      </x:c>
      <x:c r="C5" s="19" t="str">
        <x:v>1 - q1</x:v>
      </x:c>
      <x:c r="D5" s="19" t="str">
        <x:v>No direct equipment destruction</x:v>
      </x:c>
      <x:c r="E5" s="19" t="str">
        <x:v>Outage; BI; fatigue</x:v>
      </x:c>
      <x:c r="F5" s="19" t="str">
        <x:v>No independent component loss</x:v>
      </x:c>
    </x:row>
    <x:row r="6">
      <x:c r="A6" s="19" t="str">
        <x:v>DS1_CONTROL_PITCH_REPAIR_PROXY</x:v>
      </x:c>
      <x:c r="B6" s="28" t="n">
        <x:f>'Inputs'!J7</x:f>
        <x:v>0.011926605504587157</x:v>
      </x:c>
      <x:c r="C6" s="19" t="str">
        <x:v>q1 - q2</x:v>
      </x:c>
      <x:c r="D6" s="19" t="str">
        <x:v>Pitch-system repair proxy</x:v>
      </x:c>
      <x:c r="E6" s="19" t="str">
        <x:v>Grid loss alone; broad nacelle repair</x:v>
      </x:c>
      <x:c r="F6" s="19" t="str">
        <x:v>Included once as the lowest nonzero state</x:v>
      </x:c>
    </x:row>
    <x:row r="7">
      <x:c r="A7" s="19" t="str">
        <x:v>DS2_ROTOR_ASSEMBLY_REPLACEMENT</x:v>
      </x:c>
      <x:c r="B7" s="28" t="n">
        <x:f>'Inputs'!J8</x:f>
        <x:v>0.3091743119266055</x:v>
      </x:c>
      <x:c r="C7" s="19" t="str">
        <x:v>q2 - q3</x:v>
      </x:c>
      <x:c r="D7" s="19" t="str">
        <x:v>Blades + hub + pitch</x:v>
      </x:c>
      <x:c r="E7" s="19" t="str">
        <x:v>Nacelle; tower; foundation; support</x:v>
      </x:c>
      <x:c r="F7" s="19" t="str">
        <x:v>Rotor and pitch are one replacement state, not summed curves</x:v>
      </x:c>
    </x:row>
    <x:row r="8">
      <x:c r="A8" s="19" t="str">
        <x:v>DS3_TERMINAL_TURBINE_EQUIPMENT_REPLACEMENT</x:v>
      </x:c>
      <x:c r="B8" s="28" t="n">
        <x:f>'Inputs'!J9</x:f>
        <x:v>1</x:v>
      </x:c>
      <x:c r="C8" s="19" t="str">
        <x:v>q3</x:v>
      </x:c>
      <x:c r="D8" s="19" t="str">
        <x:v>Rotor + nacelle + power/yaw + tower</x:v>
      </x:c>
      <x:c r="E8" s="19" t="str">
        <x:v>Foundation; external plant; support; soft cost</x:v>
      </x:c>
      <x:c r="F8" s="19" t="str">
        <x:v>Terminal state supersedes component replacement</x:v>
      </x:c>
    </x:row>
    <x:row r="10">
      <x:c r="A10" s="10" t="str">
        <x:v>Evaluation equation</x:v>
      </x:c>
      <x:c r="B10" s="10" t="str">
        <x:v>Evaluation equation</x:v>
      </x:c>
      <x:c r="C10" s="10" t="str">
        <x:v>Evaluation equation</x:v>
      </x:c>
      <x:c r="D10" s="10" t="str">
        <x:v>Evaluation equation</x:v>
      </x:c>
      <x:c r="E10" s="10" t="str">
        <x:v>Evaluation equation</x:v>
      </x:c>
      <x:c r="F10" s="10" t="str">
        <x:v>Evaluation equation</x:v>
      </x:c>
      <x:c r="G10" s="10" t="str">
        <x:v>Evaluation equation</x:v>
      </x:c>
      <x:c r="H10" s="10" t="str">
        <x:v>Evaluation equation</x:v>
      </x:c>
      <x:c r="I10" s="10" t="str">
        <x:v>Evaluation equation</x:v>
      </x:c>
      <x:c r="J10" s="10" t="str">
        <x:v>Evaluation equation</x:v>
      </x:c>
    </x:row>
    <x:row r="11">
      <x:c r="A11" s="39" t="str">
        <x:v>Exceedance</x:v>
      </x:c>
      <x:c r="B11" s="19" t="str">
        <x:v>q_j = Φ( ln(x / θ_j) / β_ln )</x:v>
      </x:c>
    </x:row>
    <x:row r="12">
      <x:c r="A12" s="39" t="str">
        <x:v>Exact probabilities</x:v>
      </x:c>
      <x:c r="B12" s="19" t="str">
        <x:v>p0 = 1-q1; p1 = q1-q2; p2 = q2-q3; p3 = q3</x:v>
      </x:c>
    </x:row>
    <x:row r="13">
      <x:c r="A13" s="39" t="str">
        <x:v>Expected DR</x:v>
      </x:c>
      <x:c r="B13" s="19" t="str">
        <x:v>E[DR | x, scenario] = Σ p_j × r_j</x:v>
      </x:c>
    </x:row>
    <x:row r="14">
      <x:c r="A14" s="39" t="str">
        <x:v>Scenario rule</x:v>
      </x:c>
      <x:c r="B14" s="19" t="str">
        <x:v>Evaluate lower_resistance, central_screening, and upper_resistance independently; no weights or averaging are authorized.</x:v>
      </x:c>
    </x:row>
    <x:row r="16">
      <x:c r="A16" s="10" t="str">
        <x:v>Disposition of non-equipment value</x:v>
      </x:c>
      <x:c r="B16" s="10" t="str">
        <x:v>Disposition of non-equipment value</x:v>
      </x:c>
      <x:c r="C16" s="10" t="str">
        <x:v>Disposition of non-equipment value</x:v>
      </x:c>
      <x:c r="D16" s="10" t="str">
        <x:v>Disposition of non-equipment value</x:v>
      </x:c>
      <x:c r="E16" s="10" t="str">
        <x:v>Disposition of non-equipment value</x:v>
      </x:c>
      <x:c r="F16" s="10" t="str">
        <x:v>Disposition of non-equipment value</x:v>
      </x:c>
      <x:c r="G16" s="10" t="str">
        <x:v>Disposition of non-equipment value</x:v>
      </x:c>
      <x:c r="H16" s="10" t="str">
        <x:v>Disposition of non-equipment value</x:v>
      </x:c>
      <x:c r="I16" s="10" t="str">
        <x:v>Disposition of non-equipment value</x:v>
      </x:c>
      <x:c r="J16" s="10" t="str">
        <x:v>Disposition of non-equipment value</x:v>
      </x:c>
    </x:row>
    <x:row r="17">
      <x:c r="A17" s="23" t="str">
        <x:v>Unit</x:v>
      </x:c>
      <x:c r="B17" s="23" t="str">
        <x:v>Status</x:v>
      </x:c>
      <x:c r="C17" s="23" t="str">
        <x:v>Required next evidence / rule</x:v>
      </x:c>
    </x:row>
    <x:row r="18" ht="42" customHeight="1">
      <x:c r="A18" s="19" t="str">
        <x:v>WT_FOUNDATION</x:v>
      </x:c>
      <x:c r="B18" s="19" t="str">
        <x:v>Withheld</x:v>
      </x:c>
      <x:c r="C18" s="19" t="str">
        <x:v>Foundation/geotechnical damage calibration and post-collapse repair disposition</x:v>
      </x:c>
    </x:row>
    <x:row r="19" ht="42" customHeight="1">
      <x:c r="A19" s="19" t="str">
        <x:v>WT_EXTERNAL_ELECTRICAL</x:v>
      </x:c>
      <x:c r="B19" s="19" t="str">
        <x:v>Withheld</x:v>
      </x:c>
      <x:c r="C19" s="19" t="str">
        <x:v>Collection-line/substation split, distinct exposure objects, and unit-specific curves</x:v>
      </x:c>
    </x:row>
    <x:row r="20" ht="42" customHeight="1">
      <x:c r="A20" s="19" t="str">
        <x:v>WT_CIVIL_INFRA</x:v>
      </x:c>
      <x:c r="B20" s="19" t="str">
        <x:v>Withheld</x:v>
      </x:c>
      <x:c r="C20" s="19" t="str">
        <x:v>Road/staging/building split and area/point exposure</x:v>
      </x:c>
    </x:row>
    <x:row r="21" ht="42" customHeight="1">
      <x:c r="A21" s="19" t="str">
        <x:v>WT_REPLACEMENT_SUPPORT</x:v>
      </x:c>
      <x:c r="B21" s="19" t="str">
        <x:v>Allocate once outside intrinsic DR</x:v>
      </x:c>
      <x:c r="C21" s="19" t="str">
        <x:v>Claims/site rule for crane, fieldwork, transport, and mobilization</x:v>
      </x:c>
    </x:row>
  </x:sheetData>
  <x:mergeCells>
    <x:mergeCell ref="A1:K1"/>
    <x:mergeCell ref="A2:K2"/>
    <x:mergeCell ref="A10:J10"/>
    <x:mergeCell ref="A16:J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7" hidden="0" customWidth="1"/>
    <x:col min="11" max="11" width="55" hidden="0" customWidth="1"/>
  </x:cols>
  <x:sheetData>
    <x:row r="1" ht="30" customHeight="1">
      <x:c r="A1" s="3" t="str">
        <x:v>straight_line_convective — formula-derived screening envelope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Example selector uses IEC Class II Ve50 = 59.5 m/s; replace with the actual documented turbine Ve50 before evaluation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5" t="str">
        <x:v>Delivered rotor/hub 3s gust m/s</x:v>
      </x:c>
      <x:c r="B4" s="15" t="str">
        <x:v>x = V / Ve50</x:v>
      </x:c>
      <x:c r="C4" s="15" t="str">
        <x:v>Lower resistance DR</x:v>
      </x:c>
      <x:c r="D4" s="15" t="str">
        <x:v>Central screening DR</x:v>
      </x:c>
      <x:c r="E4" s="15" t="str">
        <x:v>Upper resistance DR</x:v>
      </x:c>
      <x:c r="F4" s="15" t="str">
        <x:v>Central P(DS0)</x:v>
      </x:c>
      <x:c r="G4" s="15" t="str">
        <x:v>Central P(DS1)</x:v>
      </x:c>
      <x:c r="H4" s="15" t="str">
        <x:v>Central P(DS2)</x:v>
      </x:c>
      <x:c r="I4" s="15" t="str">
        <x:v>Central P(DS3)</x:v>
      </x:c>
      <x:c r="J4" s="15" t="str">
        <x:v>Domain flag</x:v>
      </x:c>
      <x:c r="K4" s="15" t="str">
        <x:v>Interpretation</x:v>
      </x:c>
    </x:row>
    <x:row r="5">
      <x:c r="A5" s="19" t="n">
        <x:v>20</x:v>
      </x:c>
      <x:c r="B5" s="27" t="n">
        <x:f>A5/'Inputs'!$B$8</x:f>
        <x:v>0.33613445378151263</x:v>
      </x:c>
      <x:c r="C5" s="40" t="n">
        <x:f>IF(B5&lt;'Inputs'!$B$10,0,(NORM.S.DIST(LN(B5/'Inputs'!$I$13)/'Inputs'!$B$9,TRUE)-NORM.S.DIST(LN(B5/'Inputs'!$J$13)/'Inputs'!$B$9,TRUE))*'Inputs'!$J$7+(NORM.S.DIST(LN(B5/'Inputs'!$J$13)/'Inputs'!$B$9,TRUE)-NORM.S.DIST(LN(B5/'Inputs'!$K$13)/'Inputs'!$B$9,TRUE))*'Inputs'!$J$8+NORM.S.DIST(LN(B5/'Inputs'!$K$13)/'Inputs'!$B$9,TRUE)*'Inputs'!$J$9)</x:f>
        <x:v>0</x:v>
      </x:c>
      <x:c r="D5" s="40" t="n">
        <x:f>IF(B5&lt;'Inputs'!$B$10,0,(NORM.S.DIST(LN(B5/'Inputs'!$I$14)/'Inputs'!$B$9,TRUE)-NORM.S.DIST(LN(B5/'Inputs'!$J$14)/'Inputs'!$B$9,TRUE))*'Inputs'!$J$7+(NORM.S.DIST(LN(B5/'Inputs'!$J$14)/'Inputs'!$B$9,TRUE)-NORM.S.DIST(LN(B5/'Inputs'!$K$14)/'Inputs'!$B$9,TRUE))*'Inputs'!$J$8+NORM.S.DIST(LN(B5/'Inputs'!$K$14)/'Inputs'!$B$9,TRUE)*'Inputs'!$J$9)</x:f>
        <x:v>0</x:v>
      </x:c>
      <x:c r="E5" s="40" t="n">
        <x:f>IF(B5&lt;'Inputs'!$B$10,0,(NORM.S.DIST(LN(B5/'Inputs'!$I$15)/'Inputs'!$B$9,TRUE)-NORM.S.DIST(LN(B5/'Inputs'!$J$15)/'Inputs'!$B$9,TRUE))*'Inputs'!$J$7+(NORM.S.DIST(LN(B5/'Inputs'!$J$15)/'Inputs'!$B$9,TRUE)-NORM.S.DIST(LN(B5/'Inputs'!$K$15)/'Inputs'!$B$9,TRUE))*'Inputs'!$J$8+NORM.S.DIST(LN(B5/'Inputs'!$K$15)/'Inputs'!$B$9,TRUE)*'Inputs'!$J$9)</x:f>
        <x:v>0</x:v>
      </x:c>
      <x:c r="F5" s="28" t="n">
        <x:f>IF(B5&lt;'Inputs'!$B$10,1,1-NORM.S.DIST(LN(B5/'Inputs'!$I$14)/'Inputs'!$B$9,TRUE))</x:f>
        <x:v>1</x:v>
      </x:c>
      <x:c r="G5" s="28" t="n">
        <x:f>IF(B5&lt;'Inputs'!$B$10,0,NORM.S.DIST(LN(B5/'Inputs'!$I$14)/'Inputs'!$B$9,TRUE)-NORM.S.DIST(LN(B5/'Inputs'!$J$14)/'Inputs'!$B$9,TRUE))</x:f>
        <x:v>0</x:v>
      </x:c>
      <x:c r="H5" s="28" t="n">
        <x:f>IF(B5&lt;'Inputs'!$B$10,0,NORM.S.DIST(LN(B5/'Inputs'!$J$14)/'Inputs'!$B$9,TRUE)-NORM.S.DIST(LN(B5/'Inputs'!$K$14)/'Inputs'!$B$9,TRUE))</x:f>
        <x:v>0</x:v>
      </x:c>
      <x:c r="I5" s="28" t="n">
        <x:f>IF(B5&lt;'Inputs'!$B$10,0,NORM.S.DIST(LN(B5/'Inputs'!$K$14)/'Inputs'!$B$9,TRUE))</x:f>
        <x:v>0</x:v>
      </x:c>
      <x:c r="J5" s="19" t="str">
        <x:f>IF(A5&lt;'Inputs'!$B$11,"BELOW_28_MPS_NEAR_ZERO_EXTRAPOLATION",IF(A5&gt;'Inputs'!$B$13,"WITHHELD",IF(A5&gt;'Inputs'!$B$12,"ABOVE_55_MPS_HIGH_EXTRAPOLATION","EVIDENCE_LOAD_REGION")))</x:f>
        <x:v>BELOW_28_MPS_NEAR_ZERO_EXTRAPOLATION</x:v>
      </x:c>
      <x:c r="K5" s="19" t="str">
        <x:v>Conditional equipment DR only; unresolved control state preserves all scenarios.</x:v>
      </x:c>
    </x:row>
    <x:row r="6">
      <x:c r="A6" s="19" t="n">
        <x:v>25</x:v>
      </x:c>
      <x:c r="B6" s="27" t="n">
        <x:f>A6/'Inputs'!$B$8</x:f>
        <x:v>0.42016806722689076</x:v>
      </x:c>
      <x:c r="C6" s="40" t="n">
        <x:f>IF(B6&lt;'Inputs'!$B$10,0,(NORM.S.DIST(LN(B6/'Inputs'!$I$13)/'Inputs'!$B$9,TRUE)-NORM.S.DIST(LN(B6/'Inputs'!$J$13)/'Inputs'!$B$9,TRUE))*'Inputs'!$J$7+(NORM.S.DIST(LN(B6/'Inputs'!$J$13)/'Inputs'!$B$9,TRUE)-NORM.S.DIST(LN(B6/'Inputs'!$K$13)/'Inputs'!$B$9,TRUE))*'Inputs'!$J$8+NORM.S.DIST(LN(B6/'Inputs'!$K$13)/'Inputs'!$B$9,TRUE)*'Inputs'!$J$9)</x:f>
        <x:v>4.094435977827592e-11</x:v>
      </x:c>
      <x:c r="D6" s="40" t="n">
        <x:f>IF(B6&lt;'Inputs'!$B$10,0,(NORM.S.DIST(LN(B6/'Inputs'!$I$14)/'Inputs'!$B$9,TRUE)-NORM.S.DIST(LN(B6/'Inputs'!$J$14)/'Inputs'!$B$9,TRUE))*'Inputs'!$J$7+(NORM.S.DIST(LN(B6/'Inputs'!$J$14)/'Inputs'!$B$9,TRUE)-NORM.S.DIST(LN(B6/'Inputs'!$K$14)/'Inputs'!$B$9,TRUE))*'Inputs'!$J$8+NORM.S.DIST(LN(B6/'Inputs'!$K$14)/'Inputs'!$B$9,TRUE)*'Inputs'!$J$9)</x:f>
        <x:v>1.542598872288807e-16</x:v>
      </x:c>
      <x:c r="E6" s="40" t="n">
        <x:f>IF(B6&lt;'Inputs'!$B$10,0,(NORM.S.DIST(LN(B6/'Inputs'!$I$15)/'Inputs'!$B$9,TRUE)-NORM.S.DIST(LN(B6/'Inputs'!$J$15)/'Inputs'!$B$9,TRUE))*'Inputs'!$J$7+(NORM.S.DIST(LN(B6/'Inputs'!$J$15)/'Inputs'!$B$9,TRUE)-NORM.S.DIST(LN(B6/'Inputs'!$K$15)/'Inputs'!$B$9,TRUE))*'Inputs'!$J$8+NORM.S.DIST(LN(B6/'Inputs'!$K$15)/'Inputs'!$B$9,TRUE)*'Inputs'!$J$9)</x:f>
        <x:v>0</x:v>
      </x:c>
      <x:c r="F6" s="28" t="n">
        <x:f>IF(B6&lt;'Inputs'!$B$10,1,1-NORM.S.DIST(LN(B6/'Inputs'!$I$14)/'Inputs'!$B$9,TRUE))</x:f>
        <x:v>0.9999999999999871</x:v>
      </x:c>
      <x:c r="G6" s="28" t="n">
        <x:f>IF(B6&lt;'Inputs'!$B$10,0,NORM.S.DIST(LN(B6/'Inputs'!$I$14)/'Inputs'!$B$9,TRUE)-NORM.S.DIST(LN(B6/'Inputs'!$J$14)/'Inputs'!$B$9,TRUE))</x:f>
        <x:v>1.2934098236883074e-14</x:v>
      </x:c>
      <x:c r="H6" s="28" t="n">
        <x:f>IF(B6&lt;'Inputs'!$B$10,0,NORM.S.DIST(LN(B6/'Inputs'!$J$14)/'Inputs'!$B$9,TRUE)-NORM.S.DIST(LN(B6/'Inputs'!$K$14)/'Inputs'!$B$9,TRUE))</x:f>
        <x:v>0</x:v>
      </x:c>
      <x:c r="I6" s="28" t="n">
        <x:f>IF(B6&lt;'Inputs'!$B$10,0,NORM.S.DIST(LN(B6/'Inputs'!$K$14)/'Inputs'!$B$9,TRUE))</x:f>
        <x:v>0</x:v>
      </x:c>
      <x:c r="J6" s="19" t="str">
        <x:f>IF(A6&lt;'Inputs'!$B$11,"BELOW_28_MPS_NEAR_ZERO_EXTRAPOLATION",IF(A6&gt;'Inputs'!$B$13,"WITHHELD",IF(A6&gt;'Inputs'!$B$12,"ABOVE_55_MPS_HIGH_EXTRAPOLATION","EVIDENCE_LOAD_REGION")))</x:f>
        <x:v>BELOW_28_MPS_NEAR_ZERO_EXTRAPOLATION</x:v>
      </x:c>
      <x:c r="K6" s="19" t="str">
        <x:v>Conditional equipment DR only; unresolved control state preserves all scenarios.</x:v>
      </x:c>
    </x:row>
    <x:row r="7">
      <x:c r="A7" s="19" t="n">
        <x:v>28</x:v>
      </x:c>
      <x:c r="B7" s="27" t="n">
        <x:f>A7/'Inputs'!$B$8</x:f>
        <x:v>0.47058823529411764</x:v>
      </x:c>
      <x:c r="C7" s="40" t="n">
        <x:f>IF(B7&lt;'Inputs'!$B$10,0,(NORM.S.DIST(LN(B7/'Inputs'!$I$13)/'Inputs'!$B$9,TRUE)-NORM.S.DIST(LN(B7/'Inputs'!$J$13)/'Inputs'!$B$9,TRUE))*'Inputs'!$J$7+(NORM.S.DIST(LN(B7/'Inputs'!$J$13)/'Inputs'!$B$9,TRUE)-NORM.S.DIST(LN(B7/'Inputs'!$K$13)/'Inputs'!$B$9,TRUE))*'Inputs'!$J$8+NORM.S.DIST(LN(B7/'Inputs'!$K$13)/'Inputs'!$B$9,TRUE)*'Inputs'!$J$9)</x:f>
        <x:v>1.8787758146276368e-8</x:v>
      </x:c>
      <x:c r="D7" s="40" t="n">
        <x:f>IF(B7&lt;'Inputs'!$B$10,0,(NORM.S.DIST(LN(B7/'Inputs'!$I$14)/'Inputs'!$B$9,TRUE)-NORM.S.DIST(LN(B7/'Inputs'!$J$14)/'Inputs'!$B$9,TRUE))*'Inputs'!$J$7+(NORM.S.DIST(LN(B7/'Inputs'!$J$14)/'Inputs'!$B$9,TRUE)-NORM.S.DIST(LN(B7/'Inputs'!$K$14)/'Inputs'!$B$9,TRUE))*'Inputs'!$J$8+NORM.S.DIST(LN(B7/'Inputs'!$K$14)/'Inputs'!$B$9,TRUE)*'Inputs'!$J$9)</x:f>
        <x:v>5.32405363424865e-13</x:v>
      </x:c>
      <x:c r="E7" s="40" t="n">
        <x:f>IF(B7&lt;'Inputs'!$B$10,0,(NORM.S.DIST(LN(B7/'Inputs'!$I$15)/'Inputs'!$B$9,TRUE)-NORM.S.DIST(LN(B7/'Inputs'!$J$15)/'Inputs'!$B$9,TRUE))*'Inputs'!$J$7+(NORM.S.DIST(LN(B7/'Inputs'!$J$15)/'Inputs'!$B$9,TRUE)-NORM.S.DIST(LN(B7/'Inputs'!$K$15)/'Inputs'!$B$9,TRUE))*'Inputs'!$J$8+NORM.S.DIST(LN(B7/'Inputs'!$K$15)/'Inputs'!$B$9,TRUE)*'Inputs'!$J$9)</x:f>
        <x:v>5.9585364165662075e-18</x:v>
      </x:c>
      <x:c r="F7" s="28" t="n">
        <x:f>IF(B7&lt;'Inputs'!$B$10,1,1-NORM.S.DIST(LN(B7/'Inputs'!$I$14)/'Inputs'!$B$9,TRUE))</x:f>
        <x:v>0.9999999999553724</x:v>
      </x:c>
      <x:c r="G7" s="28" t="n">
        <x:f>IF(B7&lt;'Inputs'!$B$10,0,NORM.S.DIST(LN(B7/'Inputs'!$I$14)/'Inputs'!$B$9,TRUE)-NORM.S.DIST(LN(B7/'Inputs'!$J$14)/'Inputs'!$B$9,TRUE))</x:f>
        <x:v>4.462719083164757e-11</x:v>
      </x:c>
      <x:c r="H7" s="28" t="n">
        <x:f>IF(B7&lt;'Inputs'!$B$10,0,NORM.S.DIST(LN(B7/'Inputs'!$J$14)/'Inputs'!$B$9,TRUE)-NORM.S.DIST(LN(B7/'Inputs'!$K$14)/'Inputs'!$B$9,TRUE))</x:f>
        <x:v>4.996003610813204e-16</x:v>
      </x:c>
      <x:c r="I7" s="28" t="n">
        <x:f>IF(B7&lt;'Inputs'!$B$10,0,NORM.S.DIST(LN(B7/'Inputs'!$K$14)/'Inputs'!$B$9,TRUE))</x:f>
        <x:v>0</x:v>
      </x:c>
      <x:c r="J7" s="19" t="str">
        <x:f>IF(A7&lt;'Inputs'!$B$11,"BELOW_28_MPS_NEAR_ZERO_EXTRAPOLATION",IF(A7&gt;'Inputs'!$B$13,"WITHHELD",IF(A7&gt;'Inputs'!$B$12,"ABOVE_55_MPS_HIGH_EXTRAPOLATION","EVIDENCE_LOAD_REGION")))</x:f>
        <x:v>EVIDENCE_LOAD_REGION</x:v>
      </x:c>
      <x:c r="K7" s="19" t="str">
        <x:v>Conditional equipment DR only; unresolved control state preserves all scenarios.</x:v>
      </x:c>
    </x:row>
    <x:row r="8">
      <x:c r="A8" s="19" t="n">
        <x:v>35</x:v>
      </x:c>
      <x:c r="B8" s="27" t="n">
        <x:f>A8/'Inputs'!$B$8</x:f>
        <x:v>0.5882352941176471</x:v>
      </x:c>
      <x:c r="C8" s="40" t="n">
        <x:f>IF(B8&lt;'Inputs'!$B$10,0,(NORM.S.DIST(LN(B8/'Inputs'!$I$13)/'Inputs'!$B$9,TRUE)-NORM.S.DIST(LN(B8/'Inputs'!$J$13)/'Inputs'!$B$9,TRUE))*'Inputs'!$J$7+(NORM.S.DIST(LN(B8/'Inputs'!$J$13)/'Inputs'!$B$9,TRUE)-NORM.S.DIST(LN(B8/'Inputs'!$K$13)/'Inputs'!$B$9,TRUE))*'Inputs'!$J$8+NORM.S.DIST(LN(B8/'Inputs'!$K$13)/'Inputs'!$B$9,TRUE)*'Inputs'!$J$9)</x:f>
        <x:v>0.00009331203045864517</x:v>
      </x:c>
      <x:c r="D8" s="40" t="n">
        <x:f>IF(B8&lt;'Inputs'!$B$10,0,(NORM.S.DIST(LN(B8/'Inputs'!$I$14)/'Inputs'!$B$9,TRUE)-NORM.S.DIST(LN(B8/'Inputs'!$J$14)/'Inputs'!$B$9,TRUE))*'Inputs'!$J$7+(NORM.S.DIST(LN(B8/'Inputs'!$J$14)/'Inputs'!$B$9,TRUE)-NORM.S.DIST(LN(B8/'Inputs'!$K$14)/'Inputs'!$B$9,TRUE))*'Inputs'!$J$8+NORM.S.DIST(LN(B8/'Inputs'!$K$14)/'Inputs'!$B$9,TRUE)*'Inputs'!$J$9)</x:f>
        <x:v>1.2698309350760685e-7</x:v>
      </x:c>
      <x:c r="E8" s="40" t="n">
        <x:f>IF(B8&lt;'Inputs'!$B$10,0,(NORM.S.DIST(LN(B8/'Inputs'!$I$15)/'Inputs'!$B$9,TRUE)-NORM.S.DIST(LN(B8/'Inputs'!$J$15)/'Inputs'!$B$9,TRUE))*'Inputs'!$J$7+(NORM.S.DIST(LN(B8/'Inputs'!$J$15)/'Inputs'!$B$9,TRUE)-NORM.S.DIST(LN(B8/'Inputs'!$K$15)/'Inputs'!$B$9,TRUE))*'Inputs'!$J$8+NORM.S.DIST(LN(B8/'Inputs'!$K$15)/'Inputs'!$B$9,TRUE)*'Inputs'!$J$9)</x:f>
        <x:v>4.109022474975347e-11</x:v>
      </x:c>
      <x:c r="F8" s="28" t="n">
        <x:f>IF(B8&lt;'Inputs'!$B$10,1,1-NORM.S.DIST(LN(B8/'Inputs'!$I$14)/'Inputs'!$B$9,TRUE))</x:f>
        <x:v>0.9999894385096343</x:v>
      </x:c>
      <x:c r="G8" s="28" t="n">
        <x:f>IF(B8&lt;'Inputs'!$B$10,0,NORM.S.DIST(LN(B8/'Inputs'!$I$14)/'Inputs'!$B$9,TRUE)-NORM.S.DIST(LN(B8/'Inputs'!$J$14)/'Inputs'!$B$9,TRUE))</x:f>
        <x:v>0.000010558057660980946</x:v>
      </x:c>
      <x:c r="H8" s="28" t="n">
        <x:f>IF(B8&lt;'Inputs'!$B$10,0,NORM.S.DIST(LN(B8/'Inputs'!$J$14)/'Inputs'!$B$9,TRUE)-NORM.S.DIST(LN(B8/'Inputs'!$K$14)/'Inputs'!$B$9,TRUE))</x:f>
        <x:v>3.4327036213532836e-9</x:v>
      </x:c>
      <x:c r="I8" s="28" t="n">
        <x:f>IF(B8&lt;'Inputs'!$B$10,0,NORM.S.DIST(LN(B8/'Inputs'!$K$14)/'Inputs'!$B$9,TRUE))</x:f>
        <x:v>1.1102230246251565e-15</x:v>
      </x:c>
      <x:c r="J8" s="19" t="str">
        <x:f>IF(A8&lt;'Inputs'!$B$11,"BELOW_28_MPS_NEAR_ZERO_EXTRAPOLATION",IF(A8&gt;'Inputs'!$B$13,"WITHHELD",IF(A8&gt;'Inputs'!$B$12,"ABOVE_55_MPS_HIGH_EXTRAPOLATION","EVIDENCE_LOAD_REGION")))</x:f>
        <x:v>EVIDENCE_LOAD_REGION</x:v>
      </x:c>
      <x:c r="K8" s="19" t="str">
        <x:v>Conditional equipment DR only; unresolved control state preserves all scenarios.</x:v>
      </x:c>
    </x:row>
    <x:row r="9">
      <x:c r="A9" s="19" t="n">
        <x:v>40</x:v>
      </x:c>
      <x:c r="B9" s="27" t="n">
        <x:f>A9/'Inputs'!$B$8</x:f>
        <x:v>0.6722689075630253</x:v>
      </x:c>
      <x:c r="C9" s="40" t="n">
        <x:f>IF(B9&lt;'Inputs'!$B$10,0,(NORM.S.DIST(LN(B9/'Inputs'!$I$13)/'Inputs'!$B$9,TRUE)-NORM.S.DIST(LN(B9/'Inputs'!$J$13)/'Inputs'!$B$9,TRUE))*'Inputs'!$J$7+(NORM.S.DIST(LN(B9/'Inputs'!$J$13)/'Inputs'!$B$9,TRUE)-NORM.S.DIST(LN(B9/'Inputs'!$K$13)/'Inputs'!$B$9,TRUE))*'Inputs'!$J$8+NORM.S.DIST(LN(B9/'Inputs'!$K$13)/'Inputs'!$B$9,TRUE)*'Inputs'!$J$9)</x:f>
        <x:v>0.0021579656499432364</x:v>
      </x:c>
      <x:c r="D9" s="40" t="n">
        <x:f>IF(B9&lt;'Inputs'!$B$10,0,(NORM.S.DIST(LN(B9/'Inputs'!$I$14)/'Inputs'!$B$9,TRUE)-NORM.S.DIST(LN(B9/'Inputs'!$J$14)/'Inputs'!$B$9,TRUE))*'Inputs'!$J$7+(NORM.S.DIST(LN(B9/'Inputs'!$J$14)/'Inputs'!$B$9,TRUE)-NORM.S.DIST(LN(B9/'Inputs'!$K$14)/'Inputs'!$B$9,TRUE))*'Inputs'!$J$8+NORM.S.DIST(LN(B9/'Inputs'!$K$14)/'Inputs'!$B$9,TRUE)*'Inputs'!$J$9)</x:f>
        <x:v>0.000022275277240089033</x:v>
      </x:c>
      <x:c r="E9" s="40" t="n">
        <x:f>IF(B9&lt;'Inputs'!$B$10,0,(NORM.S.DIST(LN(B9/'Inputs'!$I$15)/'Inputs'!$B$9,TRUE)-NORM.S.DIST(LN(B9/'Inputs'!$J$15)/'Inputs'!$B$9,TRUE))*'Inputs'!$J$7+(NORM.S.DIST(LN(B9/'Inputs'!$J$15)/'Inputs'!$B$9,TRUE)-NORM.S.DIST(LN(B9/'Inputs'!$K$15)/'Inputs'!$B$9,TRUE))*'Inputs'!$J$8+NORM.S.DIST(LN(B9/'Inputs'!$K$15)/'Inputs'!$B$9,TRUE)*'Inputs'!$J$9)</x:f>
        <x:v>5.015368082551857e-8</x:v>
      </x:c>
      <x:c r="F9" s="28" t="n">
        <x:f>IF(B9&lt;'Inputs'!$B$10,1,1-NORM.S.DIST(LN(B9/'Inputs'!$I$14)/'Inputs'!$B$9,TRUE))</x:f>
        <x:v>0.9982349789979992</x:v>
      </x:c>
      <x:c r="G9" s="28" t="n">
        <x:f>IF(B9&lt;'Inputs'!$B$10,0,NORM.S.DIST(LN(B9/'Inputs'!$I$14)/'Inputs'!$B$9,TRUE)-NORM.S.DIST(LN(B9/'Inputs'!$J$14)/'Inputs'!$B$9,TRUE))</x:f>
        <x:v>0.0017609013627636894</x:v>
      </x:c>
      <x:c r="H9" s="28" t="n">
        <x:f>IF(B9&lt;'Inputs'!$B$10,0,NORM.S.DIST(LN(B9/'Inputs'!$J$14)/'Inputs'!$B$9,TRUE)-NORM.S.DIST(LN(B9/'Inputs'!$K$14)/'Inputs'!$B$9,TRUE))</x:f>
        <x:v>0.000004119617918518781</x:v>
      </x:c>
      <x:c r="I9" s="28" t="n">
        <x:f>IF(B9&lt;'Inputs'!$B$10,0,NORM.S.DIST(LN(B9/'Inputs'!$K$14)/'Inputs'!$B$9,TRUE))</x:f>
        <x:v>2.1318558030003487e-11</x:v>
      </x:c>
      <x:c r="J9" s="19" t="str">
        <x:f>IF(A9&lt;'Inputs'!$B$11,"BELOW_28_MPS_NEAR_ZERO_EXTRAPOLATION",IF(A9&gt;'Inputs'!$B$13,"WITHHELD",IF(A9&gt;'Inputs'!$B$12,"ABOVE_55_MPS_HIGH_EXTRAPOLATION","EVIDENCE_LOAD_REGION")))</x:f>
        <x:v>EVIDENCE_LOAD_REGION</x:v>
      </x:c>
      <x:c r="K9" s="19" t="str">
        <x:v>Conditional equipment DR only; unresolved control state preserves all scenarios.</x:v>
      </x:c>
    </x:row>
    <x:row r="10">
      <x:c r="A10" s="19" t="n">
        <x:v>45</x:v>
      </x:c>
      <x:c r="B10" s="27" t="n">
        <x:f>A10/'Inputs'!$B$8</x:f>
        <x:v>0.7563025210084033</x:v>
      </x:c>
      <x:c r="C10" s="40" t="n">
        <x:f>IF(B10&lt;'Inputs'!$B$10,0,(NORM.S.DIST(LN(B10/'Inputs'!$I$13)/'Inputs'!$B$9,TRUE)-NORM.S.DIST(LN(B10/'Inputs'!$J$13)/'Inputs'!$B$9,TRUE))*'Inputs'!$J$7+(NORM.S.DIST(LN(B10/'Inputs'!$J$13)/'Inputs'!$B$9,TRUE)-NORM.S.DIST(LN(B10/'Inputs'!$K$13)/'Inputs'!$B$9,TRUE))*'Inputs'!$J$8+NORM.S.DIST(LN(B10/'Inputs'!$K$13)/'Inputs'!$B$9,TRUE)*'Inputs'!$J$9)</x:f>
        <x:v>0.018548998595518888</x:v>
      </x:c>
      <x:c r="D10" s="40" t="n">
        <x:f>IF(B10&lt;'Inputs'!$B$10,0,(NORM.S.DIST(LN(B10/'Inputs'!$I$14)/'Inputs'!$B$9,TRUE)-NORM.S.DIST(LN(B10/'Inputs'!$J$14)/'Inputs'!$B$9,TRUE))*'Inputs'!$J$7+(NORM.S.DIST(LN(B10/'Inputs'!$J$14)/'Inputs'!$B$9,TRUE)-NORM.S.DIST(LN(B10/'Inputs'!$K$14)/'Inputs'!$B$9,TRUE))*'Inputs'!$J$8+NORM.S.DIST(LN(B10/'Inputs'!$K$14)/'Inputs'!$B$9,TRUE)*'Inputs'!$J$9)</x:f>
        <x:v>0.0006423745949634483</x:v>
      </x:c>
      <x:c r="E10" s="40" t="n">
        <x:f>IF(B10&lt;'Inputs'!$B$10,0,(NORM.S.DIST(LN(B10/'Inputs'!$I$15)/'Inputs'!$B$9,TRUE)-NORM.S.DIST(LN(B10/'Inputs'!$J$15)/'Inputs'!$B$9,TRUE))*'Inputs'!$J$7+(NORM.S.DIST(LN(B10/'Inputs'!$J$15)/'Inputs'!$B$9,TRUE)-NORM.S.DIST(LN(B10/'Inputs'!$K$15)/'Inputs'!$B$9,TRUE))*'Inputs'!$J$8+NORM.S.DIST(LN(B10/'Inputs'!$K$15)/'Inputs'!$B$9,TRUE)*'Inputs'!$J$9)</x:f>
        <x:v>0.000006748016384630501</x:v>
      </x:c>
      <x:c r="F10" s="28" t="n">
        <x:f>IF(B10&lt;'Inputs'!$B$10,1,1-NORM.S.DIST(LN(B10/'Inputs'!$I$14)/'Inputs'!$B$9,TRUE))</x:f>
        <x:v>0.9590294798541765</x:v>
      </x:c>
      <x:c r="G10" s="28" t="n">
        <x:f>IF(B10&lt;'Inputs'!$B$10,0,NORM.S.DIST(LN(B10/'Inputs'!$I$14)/'Inputs'!$B$9,TRUE)-NORM.S.DIST(LN(B10/'Inputs'!$J$14)/'Inputs'!$B$9,TRUE))</x:f>
        <x:v>0.04045339452860375</x:v>
      </x:c>
      <x:c r="H10" s="28" t="n">
        <x:f>IF(B10&lt;'Inputs'!$B$10,0,NORM.S.DIST(LN(B10/'Inputs'!$J$14)/'Inputs'!$B$9,TRUE)-NORM.S.DIST(LN(B10/'Inputs'!$K$14)/'Inputs'!$B$9,TRUE))</x:f>
        <x:v>0.000517095276402646</x:v>
      </x:c>
      <x:c r="I10" s="28" t="n">
        <x:f>IF(B10&lt;'Inputs'!$B$10,0,NORM.S.DIST(LN(B10/'Inputs'!$K$14)/'Inputs'!$B$9,TRUE))</x:f>
        <x:v>3.0340817080976024e-8</x:v>
      </x:c>
      <x:c r="J10" s="19" t="str">
        <x:f>IF(A10&lt;'Inputs'!$B$11,"BELOW_28_MPS_NEAR_ZERO_EXTRAPOLATION",IF(A10&gt;'Inputs'!$B$13,"WITHHELD",IF(A10&gt;'Inputs'!$B$12,"ABOVE_55_MPS_HIGH_EXTRAPOLATION","EVIDENCE_LOAD_REGION")))</x:f>
        <x:v>EVIDENCE_LOAD_REGION</x:v>
      </x:c>
      <x:c r="K10" s="19" t="str">
        <x:v>Conditional equipment DR only; unresolved control state preserves all scenarios.</x:v>
      </x:c>
    </x:row>
    <x:row r="11">
      <x:c r="A11" s="19" t="n">
        <x:v>50</x:v>
      </x:c>
      <x:c r="B11" s="27" t="n">
        <x:f>A11/'Inputs'!$B$8</x:f>
        <x:v>0.8403361344537815</x:v>
      </x:c>
      <x:c r="C11" s="40" t="n">
        <x:f>IF(B11&lt;'Inputs'!$B$10,0,(NORM.S.DIST(LN(B11/'Inputs'!$I$13)/'Inputs'!$B$9,TRUE)-NORM.S.DIST(LN(B11/'Inputs'!$J$13)/'Inputs'!$B$9,TRUE))*'Inputs'!$J$7+(NORM.S.DIST(LN(B11/'Inputs'!$J$13)/'Inputs'!$B$9,TRUE)-NORM.S.DIST(LN(B11/'Inputs'!$K$13)/'Inputs'!$B$9,TRUE))*'Inputs'!$J$8+NORM.S.DIST(LN(B11/'Inputs'!$K$13)/'Inputs'!$B$9,TRUE)*'Inputs'!$J$9)</x:f>
        <x:v>0.0842284123738714</x:v>
      </x:c>
      <x:c r="D11" s="40" t="n">
        <x:f>IF(B11&lt;'Inputs'!$B$10,0,(NORM.S.DIST(LN(B11/'Inputs'!$I$14)/'Inputs'!$B$9,TRUE)-NORM.S.DIST(LN(B11/'Inputs'!$J$14)/'Inputs'!$B$9,TRUE))*'Inputs'!$J$7+(NORM.S.DIST(LN(B11/'Inputs'!$J$14)/'Inputs'!$B$9,TRUE)-NORM.S.DIST(LN(B11/'Inputs'!$K$14)/'Inputs'!$B$9,TRUE))*'Inputs'!$J$8+NORM.S.DIST(LN(B11/'Inputs'!$K$14)/'Inputs'!$B$9,TRUE)*'Inputs'!$J$9)</x:f>
        <x:v>0.006794964185411033</x:v>
      </x:c>
      <x:c r="E11" s="40" t="n">
        <x:f>IF(B11&lt;'Inputs'!$B$10,0,(NORM.S.DIST(LN(B11/'Inputs'!$I$15)/'Inputs'!$B$9,TRUE)-NORM.S.DIST(LN(B11/'Inputs'!$J$15)/'Inputs'!$B$9,TRUE))*'Inputs'!$J$7+(NORM.S.DIST(LN(B11/'Inputs'!$J$15)/'Inputs'!$B$9,TRUE)-NORM.S.DIST(LN(B11/'Inputs'!$K$15)/'Inputs'!$B$9,TRUE))*'Inputs'!$J$8+NORM.S.DIST(LN(B11/'Inputs'!$K$15)/'Inputs'!$B$9,TRUE)*'Inputs'!$J$9)</x:f>
        <x:v>0.00020911895086644285</x:v>
      </x:c>
      <x:c r="F11" s="28" t="n">
        <x:f>IF(B11&lt;'Inputs'!$B$10,1,1-NORM.S.DIST(LN(B11/'Inputs'!$I$14)/'Inputs'!$B$9,TRUE))</x:f>
        <x:v>0.753620716859217</x:v>
      </x:c>
      <x:c r="G11" s="28" t="n">
        <x:f>IF(B11&lt;'Inputs'!$B$10,0,NORM.S.DIST(LN(B11/'Inputs'!$I$14)/'Inputs'!$B$9,TRUE)-NORM.S.DIST(LN(B11/'Inputs'!$J$14)/'Inputs'!$B$9,TRUE))</x:f>
        <x:v>0.23342016583576036</x:v>
      </x:c>
      <x:c r="H11" s="28" t="n">
        <x:f>IF(B11&lt;'Inputs'!$B$10,0,NORM.S.DIST(LN(B11/'Inputs'!$J$14)/'Inputs'!$B$9,TRUE)-NORM.S.DIST(LN(B11/'Inputs'!$K$14)/'Inputs'!$B$9,TRUE))</x:f>
        <x:v>0.012952707910015238</x:v>
      </x:c>
      <x:c r="I11" s="28" t="n">
        <x:f>IF(B11&lt;'Inputs'!$B$10,0,NORM.S.DIST(LN(B11/'Inputs'!$K$14)/'Inputs'!$B$9,TRUE))</x:f>
        <x:v>0.0000064093950073451644</x:v>
      </x:c>
      <x:c r="J11" s="19" t="str">
        <x:f>IF(A11&lt;'Inputs'!$B$11,"BELOW_28_MPS_NEAR_ZERO_EXTRAPOLATION",IF(A11&gt;'Inputs'!$B$13,"WITHHELD",IF(A11&gt;'Inputs'!$B$12,"ABOVE_55_MPS_HIGH_EXTRAPOLATION","EVIDENCE_LOAD_REGION")))</x:f>
        <x:v>EVIDENCE_LOAD_REGION</x:v>
      </x:c>
      <x:c r="K11" s="19" t="str">
        <x:v>Conditional equipment DR only; unresolved control state preserves all scenarios.</x:v>
      </x:c>
    </x:row>
    <x:row r="12">
      <x:c r="A12" s="19" t="n">
        <x:v>55</x:v>
      </x:c>
      <x:c r="B12" s="27" t="n">
        <x:f>A12/'Inputs'!$B$8</x:f>
        <x:v>0.9243697478991597</x:v>
      </x:c>
      <x:c r="C12" s="40" t="n">
        <x:f>IF(B12&lt;'Inputs'!$B$10,0,(NORM.S.DIST(LN(B12/'Inputs'!$I$13)/'Inputs'!$B$9,TRUE)-NORM.S.DIST(LN(B12/'Inputs'!$J$13)/'Inputs'!$B$9,TRUE))*'Inputs'!$J$7+(NORM.S.DIST(LN(B12/'Inputs'!$J$13)/'Inputs'!$B$9,TRUE)-NORM.S.DIST(LN(B12/'Inputs'!$K$13)/'Inputs'!$B$9,TRUE))*'Inputs'!$J$8+NORM.S.DIST(LN(B12/'Inputs'!$K$13)/'Inputs'!$B$9,TRUE)*'Inputs'!$J$9)</x:f>
        <x:v>0.20164475190558553</x:v>
      </x:c>
      <x:c r="D12" s="40" t="n">
        <x:f>IF(B12&lt;'Inputs'!$B$10,0,(NORM.S.DIST(LN(B12/'Inputs'!$I$14)/'Inputs'!$B$9,TRUE)-NORM.S.DIST(LN(B12/'Inputs'!$J$14)/'Inputs'!$B$9,TRUE))*'Inputs'!$J$7+(NORM.S.DIST(LN(B12/'Inputs'!$J$14)/'Inputs'!$B$9,TRUE)-NORM.S.DIST(LN(B12/'Inputs'!$K$14)/'Inputs'!$B$9,TRUE))*'Inputs'!$J$8+NORM.S.DIST(LN(B12/'Inputs'!$K$14)/'Inputs'!$B$9,TRUE)*'Inputs'!$J$9)</x:f>
        <x:v>0.03754697570652779</x:v>
      </x:c>
      <x:c r="E12" s="40" t="n">
        <x:f>IF(B12&lt;'Inputs'!$B$10,0,(NORM.S.DIST(LN(B12/'Inputs'!$I$15)/'Inputs'!$B$9,TRUE)-NORM.S.DIST(LN(B12/'Inputs'!$J$15)/'Inputs'!$B$9,TRUE))*'Inputs'!$J$7+(NORM.S.DIST(LN(B12/'Inputs'!$J$15)/'Inputs'!$B$9,TRUE)-NORM.S.DIST(LN(B12/'Inputs'!$K$15)/'Inputs'!$B$9,TRUE))*'Inputs'!$J$8+NORM.S.DIST(LN(B12/'Inputs'!$K$15)/'Inputs'!$B$9,TRUE)*'Inputs'!$J$9)</x:f>
        <x:v>0.0025572276181280804</x:v>
      </x:c>
      <x:c r="F12" s="28" t="n">
        <x:f>IF(B12&lt;'Inputs'!$B$10,1,1-NORM.S.DIST(LN(B12/'Inputs'!$I$14)/'Inputs'!$B$9,TRUE))</x:f>
        <x:v>0.39466764175421365</x:v>
      </x:c>
      <x:c r="G12" s="28" t="n">
        <x:f>IF(B12&lt;'Inputs'!$B$10,0,NORM.S.DIST(LN(B12/'Inputs'!$I$14)/'Inputs'!$B$9,TRUE)-NORM.S.DIST(LN(B12/'Inputs'!$J$14)/'Inputs'!$B$9,TRUE))</x:f>
        <x:v>0.5040596301507476</x:v>
      </x:c>
      <x:c r="H12" s="28" t="n">
        <x:f>IF(B12&lt;'Inputs'!$B$10,0,NORM.S.DIST(LN(B12/'Inputs'!$J$14)/'Inputs'!$B$9,TRUE)-NORM.S.DIST(LN(B12/'Inputs'!$K$14)/'Inputs'!$B$9,TRUE))</x:f>
        <x:v>0.10094800172036739</x:v>
      </x:c>
      <x:c r="I12" s="28" t="n">
        <x:f>IF(B12&lt;'Inputs'!$B$10,0,NORM.S.DIST(LN(B12/'Inputs'!$K$14)/'Inputs'!$B$9,TRUE))</x:f>
        <x:v>0.0003247263746713469</x:v>
      </x:c>
      <x:c r="J12" s="19" t="str">
        <x:f>IF(A12&lt;'Inputs'!$B$11,"BELOW_28_MPS_NEAR_ZERO_EXTRAPOLATION",IF(A12&gt;'Inputs'!$B$13,"WITHHELD",IF(A12&gt;'Inputs'!$B$12,"ABOVE_55_MPS_HIGH_EXTRAPOLATION","EVIDENCE_LOAD_REGION")))</x:f>
        <x:v>EVIDENCE_LOAD_REGION</x:v>
      </x:c>
      <x:c r="K12" s="19" t="str">
        <x:v>Conditional equipment DR only; unresolved control state preserves all scenarios.</x:v>
      </x:c>
    </x:row>
    <x:row r="13">
      <x:c r="A13" s="19" t="n">
        <x:v>59.5</x:v>
      </x:c>
      <x:c r="B13" s="27" t="n">
        <x:f>A13/'Inputs'!$B$8</x:f>
        <x:v>1</x:v>
      </x:c>
      <x:c r="C13" s="40" t="n">
        <x:f>IF(B13&lt;'Inputs'!$B$10,0,(NORM.S.DIST(LN(B13/'Inputs'!$I$13)/'Inputs'!$B$9,TRUE)-NORM.S.DIST(LN(B13/'Inputs'!$J$13)/'Inputs'!$B$9,TRUE))*'Inputs'!$J$7+(NORM.S.DIST(LN(B13/'Inputs'!$J$13)/'Inputs'!$B$9,TRUE)-NORM.S.DIST(LN(B13/'Inputs'!$K$13)/'Inputs'!$B$9,TRUE))*'Inputs'!$J$8+NORM.S.DIST(LN(B13/'Inputs'!$K$13)/'Inputs'!$B$9,TRUE)*'Inputs'!$J$9)</x:f>
        <x:v>0.3217781420905224</x:v>
      </x:c>
      <x:c r="D13" s="40" t="n">
        <x:f>IF(B13&lt;'Inputs'!$B$10,0,(NORM.S.DIST(LN(B13/'Inputs'!$I$14)/'Inputs'!$B$9,TRUE)-NORM.S.DIST(LN(B13/'Inputs'!$J$14)/'Inputs'!$B$9,TRUE))*'Inputs'!$J$7+(NORM.S.DIST(LN(B13/'Inputs'!$J$14)/'Inputs'!$B$9,TRUE)-NORM.S.DIST(LN(B13/'Inputs'!$K$14)/'Inputs'!$B$9,TRUE))*'Inputs'!$J$8+NORM.S.DIST(LN(B13/'Inputs'!$K$14)/'Inputs'!$B$9,TRUE)*'Inputs'!$J$9)</x:f>
        <x:v>0.10617184284828451</x:v>
      </x:c>
      <x:c r="E13" s="40" t="n">
        <x:f>IF(B13&lt;'Inputs'!$B$10,0,(NORM.S.DIST(LN(B13/'Inputs'!$I$15)/'Inputs'!$B$9,TRUE)-NORM.S.DIST(LN(B13/'Inputs'!$J$15)/'Inputs'!$B$9,TRUE))*'Inputs'!$J$7+(NORM.S.DIST(LN(B13/'Inputs'!$J$15)/'Inputs'!$B$9,TRUE)-NORM.S.DIST(LN(B13/'Inputs'!$K$15)/'Inputs'!$B$9,TRUE))*'Inputs'!$J$8+NORM.S.DIST(LN(B13/'Inputs'!$K$15)/'Inputs'!$B$9,TRUE)*'Inputs'!$J$9)</x:f>
        <x:v>0.013947433158386223</x:v>
      </x:c>
      <x:c r="F13" s="28" t="n">
        <x:f>IF(B13&lt;'Inputs'!$B$10,1,1-NORM.S.DIST(LN(B13/'Inputs'!$I$14)/'Inputs'!$B$9,TRUE))</x:f>
        <x:v>0.1460318636790744</x:v>
      </x:c>
      <x:c r="G13" s="28" t="n">
        <x:f>IF(B13&lt;'Inputs'!$B$10,0,NORM.S.DIST(LN(B13/'Inputs'!$I$14)/'Inputs'!$B$9,TRUE)-NORM.S.DIST(LN(B13/'Inputs'!$J$14)/'Inputs'!$B$9,TRUE))</x:f>
        <x:v>0.5411583805125384</x:v>
      </x:c>
      <x:c r="H13" s="28" t="n">
        <x:f>IF(B13&lt;'Inputs'!$B$10,0,NORM.S.DIST(LN(B13/'Inputs'!$J$14)/'Inputs'!$B$9,TRUE)-NORM.S.DIST(LN(B13/'Inputs'!$K$14)/'Inputs'!$B$9,TRUE))</x:f>
        <x:v>0.30846000540926294</x:v>
      </x:c>
      <x:c r="I13" s="28" t="n">
        <x:f>IF(B13&lt;'Inputs'!$B$10,0,NORM.S.DIST(LN(B13/'Inputs'!$K$14)/'Inputs'!$B$9,TRUE))</x:f>
        <x:v>0.00434975039912433</x:v>
      </x:c>
      <x:c r="J13" s="19" t="str">
        <x:f>IF(A13&lt;'Inputs'!$B$11,"BELOW_28_MPS_NEAR_ZERO_EXTRAPOLATION",IF(A13&gt;'Inputs'!$B$13,"WITHHELD",IF(A13&gt;'Inputs'!$B$12,"ABOVE_55_MPS_HIGH_EXTRAPOLATION","EVIDENCE_LOAD_REGION")))</x:f>
        <x:v>ABOVE_55_MPS_HIGH_EXTRAPOLATION</x:v>
      </x:c>
      <x:c r="K13" s="19" t="str">
        <x:v>Tier-4 high-extrapolation screening; do not extend above 70 m/s.</x:v>
      </x:c>
    </x:row>
    <x:row r="14">
      <x:c r="A14" s="19" t="n">
        <x:v>60</x:v>
      </x:c>
      <x:c r="B14" s="27" t="n">
        <x:f>A14/'Inputs'!$B$8</x:f>
        <x:v>1.0084033613445378</x:v>
      </x:c>
      <x:c r="C14" s="40" t="n">
        <x:f>IF(B14&lt;'Inputs'!$B$10,0,(NORM.S.DIST(LN(B14/'Inputs'!$I$13)/'Inputs'!$B$9,TRUE)-NORM.S.DIST(LN(B14/'Inputs'!$J$13)/'Inputs'!$B$9,TRUE))*'Inputs'!$J$7+(NORM.S.DIST(LN(B14/'Inputs'!$J$13)/'Inputs'!$B$9,TRUE)-NORM.S.DIST(LN(B14/'Inputs'!$K$13)/'Inputs'!$B$9,TRUE))*'Inputs'!$J$8+NORM.S.DIST(LN(B14/'Inputs'!$K$13)/'Inputs'!$B$9,TRUE)*'Inputs'!$J$9)</x:f>
        <x:v>0.33643201733579986</x:v>
      </x:c>
      <x:c r="D14" s="40" t="n">
        <x:f>IF(B14&lt;'Inputs'!$B$10,0,(NORM.S.DIST(LN(B14/'Inputs'!$I$14)/'Inputs'!$B$9,TRUE)-NORM.S.DIST(LN(B14/'Inputs'!$J$14)/'Inputs'!$B$9,TRUE))*'Inputs'!$J$7+(NORM.S.DIST(LN(B14/'Inputs'!$J$14)/'Inputs'!$B$9,TRUE)-NORM.S.DIST(LN(B14/'Inputs'!$K$14)/'Inputs'!$B$9,TRUE))*'Inputs'!$J$8+NORM.S.DIST(LN(B14/'Inputs'!$K$14)/'Inputs'!$B$9,TRUE)*'Inputs'!$J$9)</x:f>
        <x:v>0.11619652209622623</x:v>
      </x:c>
      <x:c r="E14" s="40" t="n">
        <x:f>IF(B14&lt;'Inputs'!$B$10,0,(NORM.S.DIST(LN(B14/'Inputs'!$I$15)/'Inputs'!$B$9,TRUE)-NORM.S.DIST(LN(B14/'Inputs'!$J$15)/'Inputs'!$B$9,TRUE))*'Inputs'!$J$7+(NORM.S.DIST(LN(B14/'Inputs'!$J$15)/'Inputs'!$B$9,TRUE)-NORM.S.DIST(LN(B14/'Inputs'!$K$15)/'Inputs'!$B$9,TRUE))*'Inputs'!$J$8+NORM.S.DIST(LN(B14/'Inputs'!$K$15)/'Inputs'!$B$9,TRUE)*'Inputs'!$J$9)</x:f>
        <x:v>0.016366685604146336</x:v>
      </x:c>
      <x:c r="F14" s="28" t="n">
        <x:f>IF(B14&lt;'Inputs'!$B$10,1,1-NORM.S.DIST(LN(B14/'Inputs'!$I$14)/'Inputs'!$B$9,TRUE))</x:f>
        <x:v>0.12770902723563304</x:v>
      </x:c>
      <x:c r="G14" s="28" t="n">
        <x:f>IF(B14&lt;'Inputs'!$B$10,0,NORM.S.DIST(LN(B14/'Inputs'!$I$14)/'Inputs'!$B$9,TRUE)-NORM.S.DIST(LN(B14/'Inputs'!$J$14)/'Inputs'!$B$9,TRUE))</x:f>
        <x:v>0.5292651844961107</x:v>
      </x:c>
      <x:c r="H14" s="28" t="n">
        <x:f>IF(B14&lt;'Inputs'!$B$10,0,NORM.S.DIST(LN(B14/'Inputs'!$J$14)/'Inputs'!$B$9,TRUE)-NORM.S.DIST(LN(B14/'Inputs'!$K$14)/'Inputs'!$B$9,TRUE))</x:f>
        <x:v>0.33748253323500943</x:v>
      </x:c>
      <x:c r="I14" s="28" t="n">
        <x:f>IF(B14&lt;'Inputs'!$B$10,0,NORM.S.DIST(LN(B14/'Inputs'!$K$14)/'Inputs'!$B$9,TRUE))</x:f>
        <x:v>0.005543255033246763</x:v>
      </x:c>
      <x:c r="J14" s="19" t="str">
        <x:f>IF(A14&lt;'Inputs'!$B$11,"BELOW_28_MPS_NEAR_ZERO_EXTRAPOLATION",IF(A14&gt;'Inputs'!$B$13,"WITHHELD",IF(A14&gt;'Inputs'!$B$12,"ABOVE_55_MPS_HIGH_EXTRAPOLATION","EVIDENCE_LOAD_REGION")))</x:f>
        <x:v>ABOVE_55_MPS_HIGH_EXTRAPOLATION</x:v>
      </x:c>
      <x:c r="K14" s="19" t="str">
        <x:v>Tier-4 high-extrapolation screening; do not extend above 70 m/s.</x:v>
      </x:c>
    </x:row>
    <x:row r="15">
      <x:c r="A15" s="19" t="n">
        <x:v>65</x:v>
      </x:c>
      <x:c r="B15" s="27" t="n">
        <x:f>A15/'Inputs'!$B$8</x:f>
        <x:v>1.0924369747899159</x:v>
      </x:c>
      <x:c r="C15" s="40" t="n">
        <x:f>IF(B15&lt;'Inputs'!$B$10,0,(NORM.S.DIST(LN(B15/'Inputs'!$I$13)/'Inputs'!$B$9,TRUE)-NORM.S.DIST(LN(B15/'Inputs'!$J$13)/'Inputs'!$B$9,TRUE))*'Inputs'!$J$7+(NORM.S.DIST(LN(B15/'Inputs'!$J$13)/'Inputs'!$B$9,TRUE)-NORM.S.DIST(LN(B15/'Inputs'!$K$13)/'Inputs'!$B$9,TRUE))*'Inputs'!$J$8+NORM.S.DIST(LN(B15/'Inputs'!$K$13)/'Inputs'!$B$9,TRUE)*'Inputs'!$J$9)</x:f>
        <x:v>0.5112180832692674</x:v>
      </x:c>
      <x:c r="D15" s="40" t="n">
        <x:f>IF(B15&lt;'Inputs'!$B$10,0,(NORM.S.DIST(LN(B15/'Inputs'!$I$14)/'Inputs'!$B$9,TRUE)-NORM.S.DIST(LN(B15/'Inputs'!$J$14)/'Inputs'!$B$9,TRUE))*'Inputs'!$J$7+(NORM.S.DIST(LN(B15/'Inputs'!$J$14)/'Inputs'!$B$9,TRUE)-NORM.S.DIST(LN(B15/'Inputs'!$K$14)/'Inputs'!$B$9,TRUE))*'Inputs'!$J$8+NORM.S.DIST(LN(B15/'Inputs'!$K$14)/'Inputs'!$B$9,TRUE)*'Inputs'!$J$9)</x:f>
        <x:v>0.23432326485177202</x:v>
      </x:c>
      <x:c r="E15" s="40" t="n">
        <x:f>IF(B15&lt;'Inputs'!$B$10,0,(NORM.S.DIST(LN(B15/'Inputs'!$I$15)/'Inputs'!$B$9,TRUE)-NORM.S.DIST(LN(B15/'Inputs'!$J$15)/'Inputs'!$B$9,TRUE))*'Inputs'!$J$7+(NORM.S.DIST(LN(B15/'Inputs'!$J$15)/'Inputs'!$B$9,TRUE)-NORM.S.DIST(LN(B15/'Inputs'!$K$15)/'Inputs'!$B$9,TRUE))*'Inputs'!$J$8+NORM.S.DIST(LN(B15/'Inputs'!$K$15)/'Inputs'!$B$9,TRUE)*'Inputs'!$J$9)</x:f>
        <x:v>0.061073459468633004</x:v>
      </x:c>
      <x:c r="F15" s="28" t="n">
        <x:f>IF(B15&lt;'Inputs'!$B$10,1,1-NORM.S.DIST(LN(B15/'Inputs'!$I$14)/'Inputs'!$B$9,TRUE))</x:f>
        <x:v>0.026329017914392794</x:v>
      </x:c>
      <x:c r="G15" s="28" t="n">
        <x:f>IF(B15&lt;'Inputs'!$B$10,0,NORM.S.DIST(LN(B15/'Inputs'!$I$14)/'Inputs'!$B$9,TRUE)-NORM.S.DIST(LN(B15/'Inputs'!$J$14)/'Inputs'!$B$9,TRUE))</x:f>
        <x:v>0.31964680229698517</x:v>
      </x:c>
      <x:c r="H15" s="28" t="n">
        <x:f>IF(B15&lt;'Inputs'!$B$10,0,NORM.S.DIST(LN(B15/'Inputs'!$J$14)/'Inputs'!$B$9,TRUE)-NORM.S.DIST(LN(B15/'Inputs'!$K$14)/'Inputs'!$B$9,TRUE))</x:f>
        <x:v>0.6130536596427986</x:v>
      </x:c>
      <x:c r="I15" s="28" t="n">
        <x:f>IF(B15&lt;'Inputs'!$B$10,0,NORM.S.DIST(LN(B15/'Inputs'!$K$14)/'Inputs'!$B$9,TRUE))</x:f>
        <x:v>0.040970520145823475</x:v>
      </x:c>
      <x:c r="J15" s="19" t="str">
        <x:f>IF(A15&lt;'Inputs'!$B$11,"BELOW_28_MPS_NEAR_ZERO_EXTRAPOLATION",IF(A15&gt;'Inputs'!$B$13,"WITHHELD",IF(A15&gt;'Inputs'!$B$12,"ABOVE_55_MPS_HIGH_EXTRAPOLATION","EVIDENCE_LOAD_REGION")))</x:f>
        <x:v>ABOVE_55_MPS_HIGH_EXTRAPOLATION</x:v>
      </x:c>
      <x:c r="K15" s="19" t="str">
        <x:v>Tier-4 high-extrapolation screening; do not extend above 70 m/s.</x:v>
      </x:c>
    </x:row>
    <x:row r="16">
      <x:c r="A16" s="19" t="n">
        <x:v>70</x:v>
      </x:c>
      <x:c r="B16" s="27" t="n">
        <x:f>A16/'Inputs'!$B$8</x:f>
        <x:v>1.1764705882352942</x:v>
      </x:c>
      <x:c r="C16" s="40" t="n">
        <x:f>IF(B16&lt;'Inputs'!$B$10,0,(NORM.S.DIST(LN(B16/'Inputs'!$I$13)/'Inputs'!$B$9,TRUE)-NORM.S.DIST(LN(B16/'Inputs'!$J$13)/'Inputs'!$B$9,TRUE))*'Inputs'!$J$7+(NORM.S.DIST(LN(B16/'Inputs'!$J$13)/'Inputs'!$B$9,TRUE)-NORM.S.DIST(LN(B16/'Inputs'!$K$13)/'Inputs'!$B$9,TRUE))*'Inputs'!$J$8+NORM.S.DIST(LN(B16/'Inputs'!$K$13)/'Inputs'!$B$9,TRUE)*'Inputs'!$J$9)</x:f>
        <x:v>0.715669965329233</x:v>
      </x:c>
      <x:c r="D16" s="40" t="n">
        <x:f>IF(B16&lt;'Inputs'!$B$10,0,(NORM.S.DIST(LN(B16/'Inputs'!$I$14)/'Inputs'!$B$9,TRUE)-NORM.S.DIST(LN(B16/'Inputs'!$J$14)/'Inputs'!$B$9,TRUE))*'Inputs'!$J$7+(NORM.S.DIST(LN(B16/'Inputs'!$J$14)/'Inputs'!$B$9,TRUE)-NORM.S.DIST(LN(B16/'Inputs'!$K$14)/'Inputs'!$B$9,TRUE))*'Inputs'!$J$8+NORM.S.DIST(LN(B16/'Inputs'!$K$14)/'Inputs'!$B$9,TRUE)*'Inputs'!$J$9)</x:f>
        <x:v>0.3810308973287265</x:v>
      </x:c>
      <x:c r="E16" s="40" t="n">
        <x:f>IF(B16&lt;'Inputs'!$B$10,0,(NORM.S.DIST(LN(B16/'Inputs'!$I$15)/'Inputs'!$B$9,TRUE)-NORM.S.DIST(LN(B16/'Inputs'!$J$15)/'Inputs'!$B$9,TRUE))*'Inputs'!$J$7+(NORM.S.DIST(LN(B16/'Inputs'!$J$15)/'Inputs'!$B$9,TRUE)-NORM.S.DIST(LN(B16/'Inputs'!$K$15)/'Inputs'!$B$9,TRUE))*'Inputs'!$J$8+NORM.S.DIST(LN(B16/'Inputs'!$K$15)/'Inputs'!$B$9,TRUE)*'Inputs'!$J$9)</x:f>
        <x:v>0.14833143885780964</x:v>
      </x:c>
      <x:c r="F16" s="28" t="n">
        <x:f>IF(B16&lt;'Inputs'!$B$10,1,1-NORM.S.DIST(LN(B16/'Inputs'!$I$14)/'Inputs'!$B$9,TRUE))</x:f>
        <x:v>0.003694386785251025</x:v>
      </x:c>
      <x:c r="G16" s="28" t="n">
        <x:f>IF(B16&lt;'Inputs'!$B$10,0,NORM.S.DIST(LN(B16/'Inputs'!$I$14)/'Inputs'!$B$9,TRUE)-NORM.S.DIST(LN(B16/'Inputs'!$J$14)/'Inputs'!$B$9,TRUE))</x:f>
        <x:v>0.12401464045038202</x:v>
      </x:c>
      <x:c r="H16" s="28" t="n">
        <x:f>IF(B16&lt;'Inputs'!$B$10,0,NORM.S.DIST(LN(B16/'Inputs'!$J$14)/'Inputs'!$B$9,TRUE)-NORM.S.DIST(LN(B16/'Inputs'!$K$14)/'Inputs'!$B$9,TRUE))</x:f>
        <x:v>0.7132611853262988</x:v>
      </x:c>
      <x:c r="I16" s="28" t="n">
        <x:f>IF(B16&lt;'Inputs'!$B$10,0,NORM.S.DIST(LN(B16/'Inputs'!$K$14)/'Inputs'!$B$9,TRUE))</x:f>
        <x:v>0.15902978743806817</x:v>
      </x:c>
      <x:c r="J16" s="19" t="str">
        <x:f>IF(A16&lt;'Inputs'!$B$11,"BELOW_28_MPS_NEAR_ZERO_EXTRAPOLATION",IF(A16&gt;'Inputs'!$B$13,"WITHHELD",IF(A16&gt;'Inputs'!$B$12,"ABOVE_55_MPS_HIGH_EXTRAPOLATION","EVIDENCE_LOAD_REGION")))</x:f>
        <x:v>ABOVE_55_MPS_HIGH_EXTRAPOLATION</x:v>
      </x:c>
      <x:c r="K16" s="19" t="str">
        <x:v>Tier-4 high-extrapolation screening; do not extend above 70 m/s.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5" hidden="0" customWidth="1"/>
    <x:col min="11" max="11" width="55" hidden="0" customWidth="1"/>
  </x:cols>
  <x:sheetData>
    <x:row r="1" ht="30" customHeight="1">
      <x:c r="A1" s="3" t="str">
        <x:v>tornado_direct_hit — formula-derived screening envelope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EF class alone is prohibited; local rotor-effective speed or a qualified hub/profile proxy is required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5" t="str">
        <x:v>Delivered tornado effective speed m/s</x:v>
      </x:c>
      <x:c r="B4" s="15" t="str">
        <x:v>Axis x m/s</x:v>
      </x:c>
      <x:c r="C4" s="15" t="str">
        <x:v>Lower resistance DR</x:v>
      </x:c>
      <x:c r="D4" s="15" t="str">
        <x:v>Central screening DR</x:v>
      </x:c>
      <x:c r="E4" s="15" t="str">
        <x:v>Upper resistance DR</x:v>
      </x:c>
      <x:c r="F4" s="15" t="str">
        <x:v>Central P(DS0)</x:v>
      </x:c>
      <x:c r="G4" s="15" t="str">
        <x:v>Central P(DS1)</x:v>
      </x:c>
      <x:c r="H4" s="15" t="str">
        <x:v>Central P(DS2)</x:v>
      </x:c>
      <x:c r="I4" s="15" t="str">
        <x:v>Central P(DS3)</x:v>
      </x:c>
      <x:c r="J4" s="15" t="str">
        <x:v>Domain flag</x:v>
      </x:c>
      <x:c r="K4" s="15" t="str">
        <x:v>Interpretation</x:v>
      </x:c>
    </x:row>
    <x:row r="5">
      <x:c r="A5" s="19" t="n">
        <x:v>20</x:v>
      </x:c>
      <x:c r="B5" s="27" t="n">
        <x:f>A5</x:f>
        <x:v>20</x:v>
      </x:c>
      <x:c r="C5" s="40" t="n">
        <x:f>IF(B5&lt;'Inputs'!$B$15,0,(NORM.S.DIST(LN(B5/'Inputs'!$I$17)/'Inputs'!$B$14,TRUE)-NORM.S.DIST(LN(B5/'Inputs'!$J$17)/'Inputs'!$B$14,TRUE))*'Inputs'!$J$7+(NORM.S.DIST(LN(B5/'Inputs'!$J$17)/'Inputs'!$B$14,TRUE)-NORM.S.DIST(LN(B5/'Inputs'!$K$17)/'Inputs'!$B$14,TRUE))*'Inputs'!$J$8+NORM.S.DIST(LN(B5/'Inputs'!$K$17)/'Inputs'!$B$14,TRUE)*'Inputs'!$J$9)</x:f>
        <x:v>0</x:v>
      </x:c>
      <x:c r="D5" s="40" t="n">
        <x:f>IF(B5&lt;'Inputs'!$B$15,0,(NORM.S.DIST(LN(B5/'Inputs'!$I$18)/'Inputs'!$B$14,TRUE)-NORM.S.DIST(LN(B5/'Inputs'!$J$18)/'Inputs'!$B$14,TRUE))*'Inputs'!$J$7+(NORM.S.DIST(LN(B5/'Inputs'!$J$18)/'Inputs'!$B$14,TRUE)-NORM.S.DIST(LN(B5/'Inputs'!$K$18)/'Inputs'!$B$14,TRUE))*'Inputs'!$J$8+NORM.S.DIST(LN(B5/'Inputs'!$K$18)/'Inputs'!$B$14,TRUE)*'Inputs'!$J$9)</x:f>
        <x:v>0</x:v>
      </x:c>
      <x:c r="E5" s="40" t="n">
        <x:f>IF(B5&lt;'Inputs'!$B$15,0,(NORM.S.DIST(LN(B5/'Inputs'!$I$19)/'Inputs'!$B$14,TRUE)-NORM.S.DIST(LN(B5/'Inputs'!$J$19)/'Inputs'!$B$14,TRUE))*'Inputs'!$J$7+(NORM.S.DIST(LN(B5/'Inputs'!$J$19)/'Inputs'!$B$14,TRUE)-NORM.S.DIST(LN(B5/'Inputs'!$K$19)/'Inputs'!$B$14,TRUE))*'Inputs'!$J$8+NORM.S.DIST(LN(B5/'Inputs'!$K$19)/'Inputs'!$B$14,TRUE)*'Inputs'!$J$9)</x:f>
        <x:v>0</x:v>
      </x:c>
      <x:c r="F5" s="28" t="n">
        <x:f>IF(B5&lt;'Inputs'!$B$15,1,1-NORM.S.DIST(LN(B5/'Inputs'!$I$18)/'Inputs'!$B$14,TRUE))</x:f>
        <x:v>1</x:v>
      </x:c>
      <x:c r="G5" s="28" t="n">
        <x:f>IF(B5&lt;'Inputs'!$B$15,0,NORM.S.DIST(LN(B5/'Inputs'!$I$18)/'Inputs'!$B$14,TRUE)-NORM.S.DIST(LN(B5/'Inputs'!$J$18)/'Inputs'!$B$14,TRUE))</x:f>
        <x:v>0</x:v>
      </x:c>
      <x:c r="H5" s="28" t="n">
        <x:f>IF(B5&lt;'Inputs'!$B$15,0,NORM.S.DIST(LN(B5/'Inputs'!$J$18)/'Inputs'!$B$14,TRUE)-NORM.S.DIST(LN(B5/'Inputs'!$K$18)/'Inputs'!$B$14,TRUE))</x:f>
        <x:v>0</x:v>
      </x:c>
      <x:c r="I5" s="28" t="n">
        <x:f>IF(B5&lt;'Inputs'!$B$15,0,NORM.S.DIST(LN(B5/'Inputs'!$K$18)/'Inputs'!$B$14,TRUE))</x:f>
        <x:v>0</x:v>
      </x:c>
      <x:c r="J5" s="19" t="str">
        <x:f>IF(A5&lt;'Inputs'!$B$15,"ZERO_BELOW_25_MPS",IF(A5&gt;'Inputs'!$B$16,"ABOVE_80_MPS_TERMINAL_SATURATION_EXTRAPOLATION","SCREENING_DOMAIN"))</x:f>
        <x:v>ZERO_BELOW_25_MPS</x:v>
      </x:c>
      <x:c r="K5" s="19" t="str">
        <x:v>Conditional equipment DR; Hazard must supply turbine intersection and speed provenance.</x:v>
      </x:c>
    </x:row>
    <x:row r="6">
      <x:c r="A6" s="19" t="n">
        <x:v>25</x:v>
      </x:c>
      <x:c r="B6" s="27" t="n">
        <x:f>A6</x:f>
        <x:v>25</x:v>
      </x:c>
      <x:c r="C6" s="40" t="n">
        <x:f>IF(B6&lt;'Inputs'!$B$15,0,(NORM.S.DIST(LN(B6/'Inputs'!$I$17)/'Inputs'!$B$14,TRUE)-NORM.S.DIST(LN(B6/'Inputs'!$J$17)/'Inputs'!$B$14,TRUE))*'Inputs'!$J$7+(NORM.S.DIST(LN(B6/'Inputs'!$J$17)/'Inputs'!$B$14,TRUE)-NORM.S.DIST(LN(B6/'Inputs'!$K$17)/'Inputs'!$B$14,TRUE))*'Inputs'!$J$8+NORM.S.DIST(LN(B6/'Inputs'!$K$17)/'Inputs'!$B$14,TRUE)*'Inputs'!$J$9)</x:f>
        <x:v>0.000012107817910991778</x:v>
      </x:c>
      <x:c r="D6" s="40" t="n">
        <x:f>IF(B6&lt;'Inputs'!$B$15,0,(NORM.S.DIST(LN(B6/'Inputs'!$I$18)/'Inputs'!$B$14,TRUE)-NORM.S.DIST(LN(B6/'Inputs'!$J$18)/'Inputs'!$B$14,TRUE))*'Inputs'!$J$7+(NORM.S.DIST(LN(B6/'Inputs'!$J$18)/'Inputs'!$B$14,TRUE)-NORM.S.DIST(LN(B6/'Inputs'!$K$18)/'Inputs'!$B$14,TRUE))*'Inputs'!$J$8+NORM.S.DIST(LN(B6/'Inputs'!$K$18)/'Inputs'!$B$14,TRUE)*'Inputs'!$J$9)</x:f>
        <x:v>3.079060187972976e-8</x:v>
      </x:c>
      <x:c r="E6" s="40" t="n">
        <x:f>IF(B6&lt;'Inputs'!$B$15,0,(NORM.S.DIST(LN(B6/'Inputs'!$I$19)/'Inputs'!$B$14,TRUE)-NORM.S.DIST(LN(B6/'Inputs'!$J$19)/'Inputs'!$B$14,TRUE))*'Inputs'!$J$7+(NORM.S.DIST(LN(B6/'Inputs'!$J$19)/'Inputs'!$B$14,TRUE)-NORM.S.DIST(LN(B6/'Inputs'!$K$19)/'Inputs'!$B$14,TRUE))*'Inputs'!$J$8+NORM.S.DIST(LN(B6/'Inputs'!$K$19)/'Inputs'!$B$14,TRUE)*'Inputs'!$J$9)</x:f>
        <x:v>2.5208524462560342e-11</x:v>
      </x:c>
      <x:c r="F6" s="28" t="n">
        <x:f>IF(B6&lt;'Inputs'!$B$15,1,1-NORM.S.DIST(LN(B6/'Inputs'!$I$18)/'Inputs'!$B$14,TRUE))</x:f>
        <x:v>0.9999974183264577</x:v>
      </x:c>
      <x:c r="G6" s="28" t="n">
        <x:f>IF(B6&lt;'Inputs'!$B$15,0,NORM.S.DIST(LN(B6/'Inputs'!$I$18)/'Inputs'!$B$14,TRUE)-NORM.S.DIST(LN(B6/'Inputs'!$J$18)/'Inputs'!$B$14,TRUE))</x:f>
        <x:v>0.000002581673542223495</x:v>
      </x:c>
      <x:c r="H6" s="28" t="n">
        <x:f>IF(B6&lt;'Inputs'!$B$15,0,NORM.S.DIST(LN(B6/'Inputs'!$J$18)/'Inputs'!$B$14,TRUE)-NORM.S.DIST(LN(B6/'Inputs'!$K$18)/'Inputs'!$B$14,TRUE))</x:f>
        <x:v>0</x:v>
      </x:c>
      <x:c r="I6" s="28" t="n">
        <x:f>IF(B6&lt;'Inputs'!$B$15,0,NORM.S.DIST(LN(B6/'Inputs'!$K$18)/'Inputs'!$B$14,TRUE))</x:f>
        <x:v>0</x:v>
      </x:c>
      <x:c r="J6" s="19" t="str">
        <x:f>IF(A6&lt;'Inputs'!$B$15,"ZERO_BELOW_25_MPS",IF(A6&gt;'Inputs'!$B$16,"ABOVE_80_MPS_TERMINAL_SATURATION_EXTRAPOLATION","SCREENING_DOMAIN"))</x:f>
        <x:v>SCREENING_DOMAIN</x:v>
      </x:c>
      <x:c r="K6" s="19" t="str">
        <x:v>Conditional equipment DR; Hazard must supply turbine intersection and speed provenance.</x:v>
      </x:c>
    </x:row>
    <x:row r="7">
      <x:c r="A7" s="19" t="n">
        <x:v>30</x:v>
      </x:c>
      <x:c r="B7" s="27" t="n">
        <x:f>A7</x:f>
        <x:v>30</x:v>
      </x:c>
      <x:c r="C7" s="40" t="n">
        <x:f>IF(B7&lt;'Inputs'!$B$15,0,(NORM.S.DIST(LN(B7/'Inputs'!$I$17)/'Inputs'!$B$14,TRUE)-NORM.S.DIST(LN(B7/'Inputs'!$J$17)/'Inputs'!$B$14,TRUE))*'Inputs'!$J$7+(NORM.S.DIST(LN(B7/'Inputs'!$J$17)/'Inputs'!$B$14,TRUE)-NORM.S.DIST(LN(B7/'Inputs'!$K$17)/'Inputs'!$B$14,TRUE))*'Inputs'!$J$8+NORM.S.DIST(LN(B7/'Inputs'!$K$17)/'Inputs'!$B$14,TRUE)*'Inputs'!$J$9)</x:f>
        <x:v>0.002503580470378248</x:v>
      </x:c>
      <x:c r="D7" s="40" t="n">
        <x:f>IF(B7&lt;'Inputs'!$B$15,0,(NORM.S.DIST(LN(B7/'Inputs'!$I$18)/'Inputs'!$B$14,TRUE)-NORM.S.DIST(LN(B7/'Inputs'!$J$18)/'Inputs'!$B$14,TRUE))*'Inputs'!$J$7+(NORM.S.DIST(LN(B7/'Inputs'!$J$18)/'Inputs'!$B$14,TRUE)-NORM.S.DIST(LN(B7/'Inputs'!$K$18)/'Inputs'!$B$14,TRUE))*'Inputs'!$J$8+NORM.S.DIST(LN(B7/'Inputs'!$K$18)/'Inputs'!$B$14,TRUE)*'Inputs'!$J$9)</x:f>
        <x:v>0.00013516367967676977</x:v>
      </x:c>
      <x:c r="E7" s="40" t="n">
        <x:f>IF(B7&lt;'Inputs'!$B$15,0,(NORM.S.DIST(LN(B7/'Inputs'!$I$19)/'Inputs'!$B$14,TRUE)-NORM.S.DIST(LN(B7/'Inputs'!$J$19)/'Inputs'!$B$14,TRUE))*'Inputs'!$J$7+(NORM.S.DIST(LN(B7/'Inputs'!$J$19)/'Inputs'!$B$14,TRUE)-NORM.S.DIST(LN(B7/'Inputs'!$K$19)/'Inputs'!$B$14,TRUE))*'Inputs'!$J$8+NORM.S.DIST(LN(B7/'Inputs'!$K$19)/'Inputs'!$B$14,TRUE)*'Inputs'!$J$9)</x:f>
        <x:v>0.0000019268363647182104</x:v>
      </x:c>
      <x:c r="F7" s="28" t="n">
        <x:f>IF(B7&lt;'Inputs'!$B$15,1,1-NORM.S.DIST(LN(B7/'Inputs'!$I$18)/'Inputs'!$B$14,TRUE))</x:f>
        <x:v>0.9886670457297164</x:v>
      </x:c>
      <x:c r="G7" s="28" t="n">
        <x:f>IF(B7&lt;'Inputs'!$B$15,0,NORM.S.DIST(LN(B7/'Inputs'!$I$18)/'Inputs'!$B$14,TRUE)-NORM.S.DIST(LN(B7/'Inputs'!$J$18)/'Inputs'!$B$14,TRUE))</x:f>
        <x:v>0.011332954253820582</x:v>
      </x:c>
      <x:c r="H7" s="28" t="n">
        <x:f>IF(B7&lt;'Inputs'!$B$15,0,NORM.S.DIST(LN(B7/'Inputs'!$J$18)/'Inputs'!$B$14,TRUE)-NORM.S.DIST(LN(B7/'Inputs'!$K$18)/'Inputs'!$B$14,TRUE))</x:f>
        <x:v>1.6462942120654134e-11</x:v>
      </x:c>
      <x:c r="I7" s="28" t="n">
        <x:f>IF(B7&lt;'Inputs'!$B$15,0,NORM.S.DIST(LN(B7/'Inputs'!$K$18)/'Inputs'!$B$14,TRUE))</x:f>
        <x:v>0</x:v>
      </x:c>
      <x:c r="J7" s="19" t="str">
        <x:f>IF(A7&lt;'Inputs'!$B$15,"ZERO_BELOW_25_MPS",IF(A7&gt;'Inputs'!$B$16,"ABOVE_80_MPS_TERMINAL_SATURATION_EXTRAPOLATION","SCREENING_DOMAIN"))</x:f>
        <x:v>SCREENING_DOMAIN</x:v>
      </x:c>
      <x:c r="K7" s="19" t="str">
        <x:v>Conditional equipment DR; Hazard must supply turbine intersection and speed provenance.</x:v>
      </x:c>
    </x:row>
    <x:row r="8">
      <x:c r="A8" s="19" t="n">
        <x:v>32</x:v>
      </x:c>
      <x:c r="B8" s="27" t="n">
        <x:f>A8</x:f>
        <x:v>32</x:v>
      </x:c>
      <x:c r="C8" s="40" t="n">
        <x:f>IF(B8&lt;'Inputs'!$B$15,0,(NORM.S.DIST(LN(B8/'Inputs'!$I$17)/'Inputs'!$B$14,TRUE)-NORM.S.DIST(LN(B8/'Inputs'!$J$17)/'Inputs'!$B$14,TRUE))*'Inputs'!$J$7+(NORM.S.DIST(LN(B8/'Inputs'!$J$17)/'Inputs'!$B$14,TRUE)-NORM.S.DIST(LN(B8/'Inputs'!$K$17)/'Inputs'!$B$14,TRUE))*'Inputs'!$J$8+NORM.S.DIST(LN(B8/'Inputs'!$K$17)/'Inputs'!$B$14,TRUE)*'Inputs'!$J$9)</x:f>
        <x:v>0.005966319586780766</x:v>
      </x:c>
      <x:c r="D8" s="40" t="n">
        <x:f>IF(B8&lt;'Inputs'!$B$15,0,(NORM.S.DIST(LN(B8/'Inputs'!$I$18)/'Inputs'!$B$14,TRUE)-NORM.S.DIST(LN(B8/'Inputs'!$J$18)/'Inputs'!$B$14,TRUE))*'Inputs'!$J$7+(NORM.S.DIST(LN(B8/'Inputs'!$J$18)/'Inputs'!$B$14,TRUE)-NORM.S.DIST(LN(B8/'Inputs'!$K$18)/'Inputs'!$B$14,TRUE))*'Inputs'!$J$8+NORM.S.DIST(LN(B8/'Inputs'!$K$18)/'Inputs'!$B$14,TRUE)*'Inputs'!$J$9)</x:f>
        <x:v>0.0008404874402525601</x:v>
      </x:c>
      <x:c r="E8" s="40" t="n">
        <x:f>IF(B8&lt;'Inputs'!$B$15,0,(NORM.S.DIST(LN(B8/'Inputs'!$I$19)/'Inputs'!$B$14,TRUE)-NORM.S.DIST(LN(B8/'Inputs'!$J$19)/'Inputs'!$B$14,TRUE))*'Inputs'!$J$7+(NORM.S.DIST(LN(B8/'Inputs'!$J$19)/'Inputs'!$B$14,TRUE)-NORM.S.DIST(LN(B8/'Inputs'!$K$19)/'Inputs'!$B$14,TRUE))*'Inputs'!$J$8+NORM.S.DIST(LN(B8/'Inputs'!$K$19)/'Inputs'!$B$14,TRUE)*'Inputs'!$J$9)</x:f>
        <x:v>0.00003149996947577135</x:v>
      </x:c>
      <x:c r="F8" s="28" t="n">
        <x:f>IF(B8&lt;'Inputs'!$B$15,1,1-NORM.S.DIST(LN(B8/'Inputs'!$I$18)/'Inputs'!$B$14,TRUE))</x:f>
        <x:v>0.9295284314734796</x:v>
      </x:c>
      <x:c r="G8" s="28" t="n">
        <x:f>IF(B8&lt;'Inputs'!$B$15,0,NORM.S.DIST(LN(B8/'Inputs'!$I$18)/'Inputs'!$B$14,TRUE)-NORM.S.DIST(LN(B8/'Inputs'!$J$18)/'Inputs'!$B$14,TRUE))</x:f>
        <x:v>0.0704715656900064</x:v>
      </x:c>
      <x:c r="H8" s="28" t="n">
        <x:f>IF(B8&lt;'Inputs'!$B$15,0,NORM.S.DIST(LN(B8/'Inputs'!$J$18)/'Inputs'!$B$14,TRUE)-NORM.S.DIST(LN(B8/'Inputs'!$K$18)/'Inputs'!$B$14,TRUE))</x:f>
        <x:v>2.836513968151877e-9</x:v>
      </x:c>
      <x:c r="I8" s="28" t="n">
        <x:f>IF(B8&lt;'Inputs'!$B$15,0,NORM.S.DIST(LN(B8/'Inputs'!$K$18)/'Inputs'!$B$14,TRUE))</x:f>
        <x:v>0</x:v>
      </x:c>
      <x:c r="J8" s="19" t="str">
        <x:f>IF(A8&lt;'Inputs'!$B$15,"ZERO_BELOW_25_MPS",IF(A8&gt;'Inputs'!$B$16,"ABOVE_80_MPS_TERMINAL_SATURATION_EXTRAPOLATION","SCREENING_DOMAIN"))</x:f>
        <x:v>SCREENING_DOMAIN</x:v>
      </x:c>
      <x:c r="K8" s="19" t="str">
        <x:v>Conditional equipment DR; Hazard must supply turbine intersection and speed provenance.</x:v>
      </x:c>
    </x:row>
    <x:row r="9">
      <x:c r="A9" s="19" t="n">
        <x:v>36</x:v>
      </x:c>
      <x:c r="B9" s="27" t="n">
        <x:f>A9</x:f>
        <x:v>36</x:v>
      </x:c>
      <x:c r="C9" s="40" t="n">
        <x:f>IF(B9&lt;'Inputs'!$B$15,0,(NORM.S.DIST(LN(B9/'Inputs'!$I$17)/'Inputs'!$B$14,TRUE)-NORM.S.DIST(LN(B9/'Inputs'!$J$17)/'Inputs'!$B$14,TRUE))*'Inputs'!$J$7+(NORM.S.DIST(LN(B9/'Inputs'!$J$17)/'Inputs'!$B$14,TRUE)-NORM.S.DIST(LN(B9/'Inputs'!$K$17)/'Inputs'!$B$14,TRUE))*'Inputs'!$J$8+NORM.S.DIST(LN(B9/'Inputs'!$K$17)/'Inputs'!$B$14,TRUE)*'Inputs'!$J$9)</x:f>
        <x:v>0.011871195923020666</x:v>
      </x:c>
      <x:c r="D9" s="40" t="n">
        <x:f>IF(B9&lt;'Inputs'!$B$15,0,(NORM.S.DIST(LN(B9/'Inputs'!$I$18)/'Inputs'!$B$14,TRUE)-NORM.S.DIST(LN(B9/'Inputs'!$J$18)/'Inputs'!$B$14,TRUE))*'Inputs'!$J$7+(NORM.S.DIST(LN(B9/'Inputs'!$J$18)/'Inputs'!$B$14,TRUE)-NORM.S.DIST(LN(B9/'Inputs'!$K$18)/'Inputs'!$B$14,TRUE))*'Inputs'!$J$8+NORM.S.DIST(LN(B9/'Inputs'!$K$18)/'Inputs'!$B$14,TRUE)*'Inputs'!$J$9)</x:f>
        <x:v>0.005965291000857186</x:v>
      </x:c>
      <x:c r="E9" s="40" t="n">
        <x:f>IF(B9&lt;'Inputs'!$B$15,0,(NORM.S.DIST(LN(B9/'Inputs'!$I$19)/'Inputs'!$B$14,TRUE)-NORM.S.DIST(LN(B9/'Inputs'!$J$19)/'Inputs'!$B$14,TRUE))*'Inputs'!$J$7+(NORM.S.DIST(LN(B9/'Inputs'!$J$19)/'Inputs'!$B$14,TRUE)-NORM.S.DIST(LN(B9/'Inputs'!$K$19)/'Inputs'!$B$14,TRUE))*'Inputs'!$J$8+NORM.S.DIST(LN(B9/'Inputs'!$K$19)/'Inputs'!$B$14,TRUE)*'Inputs'!$J$9)</x:f>
        <x:v>0.0011201306582412343</x:v>
      </x:c>
      <x:c r="F9" s="28" t="n">
        <x:f>IF(B9&lt;'Inputs'!$B$15,1,1-NORM.S.DIST(LN(B9/'Inputs'!$I$18)/'Inputs'!$B$14,TRUE))</x:f>
        <x:v>0.5</x:v>
      </x:c>
      <x:c r="G9" s="28" t="n">
        <x:f>IF(B9&lt;'Inputs'!$B$15,0,NORM.S.DIST(LN(B9/'Inputs'!$I$18)/'Inputs'!$B$14,TRUE)-NORM.S.DIST(LN(B9/'Inputs'!$J$18)/'Inputs'!$B$14,TRUE))</x:f>
        <x:v>0.4999933111391011</x:v>
      </x:c>
      <x:c r="H9" s="28" t="n">
        <x:f>IF(B9&lt;'Inputs'!$B$15,0,NORM.S.DIST(LN(B9/'Inputs'!$J$18)/'Inputs'!$B$14,TRUE)-NORM.S.DIST(LN(B9/'Inputs'!$K$18)/'Inputs'!$B$14,TRUE))</x:f>
        <x:v>0.000006688860894776827</x:v>
      </x:c>
      <x:c r="I9" s="28" t="n">
        <x:f>IF(B9&lt;'Inputs'!$B$15,0,NORM.S.DIST(LN(B9/'Inputs'!$K$18)/'Inputs'!$B$14,TRUE))</x:f>
        <x:v>4.107825191113079e-15</x:v>
      </x:c>
      <x:c r="J9" s="19" t="str">
        <x:f>IF(A9&lt;'Inputs'!$B$15,"ZERO_BELOW_25_MPS",IF(A9&gt;'Inputs'!$B$16,"ABOVE_80_MPS_TERMINAL_SATURATION_EXTRAPOLATION","SCREENING_DOMAIN"))</x:f>
        <x:v>SCREENING_DOMAIN</x:v>
      </x:c>
      <x:c r="K9" s="19" t="str">
        <x:v>Conditional equipment DR; Hazard must supply turbine intersection and speed provenance.</x:v>
      </x:c>
    </x:row>
    <x:row r="10">
      <x:c r="A10" s="19" t="n">
        <x:v>40</x:v>
      </x:c>
      <x:c r="B10" s="27" t="n">
        <x:f>A10</x:f>
        <x:v>40</x:v>
      </x:c>
      <x:c r="C10" s="40" t="n">
        <x:f>IF(B10&lt;'Inputs'!$B$15,0,(NORM.S.DIST(LN(B10/'Inputs'!$I$17)/'Inputs'!$B$14,TRUE)-NORM.S.DIST(LN(B10/'Inputs'!$J$17)/'Inputs'!$B$14,TRUE))*'Inputs'!$J$7+(NORM.S.DIST(LN(B10/'Inputs'!$J$17)/'Inputs'!$B$14,TRUE)-NORM.S.DIST(LN(B10/'Inputs'!$K$17)/'Inputs'!$B$14,TRUE))*'Inputs'!$J$8+NORM.S.DIST(LN(B10/'Inputs'!$K$17)/'Inputs'!$B$14,TRUE)*'Inputs'!$J$9)</x:f>
        <x:v>0.03284379491047531</x:v>
      </x:c>
      <x:c r="D10" s="40" t="n">
        <x:f>IF(B10&lt;'Inputs'!$B$15,0,(NORM.S.DIST(LN(B10/'Inputs'!$I$18)/'Inputs'!$B$14,TRUE)-NORM.S.DIST(LN(B10/'Inputs'!$J$18)/'Inputs'!$B$14,TRUE))*'Inputs'!$J$7+(NORM.S.DIST(LN(B10/'Inputs'!$J$18)/'Inputs'!$B$14,TRUE)-NORM.S.DIST(LN(B10/'Inputs'!$K$18)/'Inputs'!$B$14,TRUE))*'Inputs'!$J$8+NORM.S.DIST(LN(B10/'Inputs'!$K$18)/'Inputs'!$B$14,TRUE)*'Inputs'!$J$9)</x:f>
        <x:v>0.0111618133833557</x:v>
      </x:c>
      <x:c r="E10" s="40" t="n">
        <x:f>IF(B10&lt;'Inputs'!$B$15,0,(NORM.S.DIST(LN(B10/'Inputs'!$I$19)/'Inputs'!$B$14,TRUE)-NORM.S.DIST(LN(B10/'Inputs'!$J$19)/'Inputs'!$B$14,TRUE))*'Inputs'!$J$7+(NORM.S.DIST(LN(B10/'Inputs'!$J$19)/'Inputs'!$B$14,TRUE)-NORM.S.DIST(LN(B10/'Inputs'!$K$19)/'Inputs'!$B$14,TRUE))*'Inputs'!$J$8+NORM.S.DIST(LN(B10/'Inputs'!$K$19)/'Inputs'!$B$14,TRUE)*'Inputs'!$J$9)</x:f>
        <x:v>0.005967167593800225</x:v>
      </x:c>
      <x:c r="F10" s="28" t="n">
        <x:f>IF(B10&lt;'Inputs'!$B$15,1,1-NORM.S.DIST(LN(B10/'Inputs'!$I$18)/'Inputs'!$B$14,TRUE))</x:f>
        <x:v>0.0939182319915105</x:v>
      </x:c>
      <x:c r="G10" s="28" t="n">
        <x:f>IF(B10&lt;'Inputs'!$B$15,0,NORM.S.DIST(LN(B10/'Inputs'!$I$18)/'Inputs'!$B$14,TRUE)-NORM.S.DIST(LN(B10/'Inputs'!$J$18)/'Inputs'!$B$14,TRUE))</x:f>
        <x:v>0.9048863557832367</x:v>
      </x:c>
      <x:c r="H10" s="28" t="n">
        <x:f>IF(B10&lt;'Inputs'!$B$15,0,NORM.S.DIST(LN(B10/'Inputs'!$J$18)/'Inputs'!$B$14,TRUE)-NORM.S.DIST(LN(B10/'Inputs'!$K$18)/'Inputs'!$B$14,TRUE))</x:f>
        <x:v>0.0011954121684594199</x:v>
      </x:c>
      <x:c r="I10" s="28" t="n">
        <x:f>IF(B10&lt;'Inputs'!$B$15,0,NORM.S.DIST(LN(B10/'Inputs'!$K$18)/'Inputs'!$B$14,TRUE))</x:f>
        <x:v>5.679340331354865e-11</x:v>
      </x:c>
      <x:c r="J10" s="19" t="str">
        <x:f>IF(A10&lt;'Inputs'!$B$15,"ZERO_BELOW_25_MPS",IF(A10&gt;'Inputs'!$B$16,"ABOVE_80_MPS_TERMINAL_SATURATION_EXTRAPOLATION","SCREENING_DOMAIN"))</x:f>
        <x:v>SCREENING_DOMAIN</x:v>
      </x:c>
      <x:c r="K10" s="19" t="str">
        <x:v>Conditional equipment DR; Hazard must supply turbine intersection and speed provenance.</x:v>
      </x:c>
    </x:row>
    <x:row r="11">
      <x:c r="A11" s="19" t="n">
        <x:v>45</x:v>
      </x:c>
      <x:c r="B11" s="27" t="n">
        <x:f>A11</x:f>
        <x:v>45</x:v>
      </x:c>
      <x:c r="C11" s="40" t="n">
        <x:f>IF(B11&lt;'Inputs'!$B$15,0,(NORM.S.DIST(LN(B11/'Inputs'!$I$17)/'Inputs'!$B$14,TRUE)-NORM.S.DIST(LN(B11/'Inputs'!$J$17)/'Inputs'!$B$14,TRUE))*'Inputs'!$J$7+(NORM.S.DIST(LN(B11/'Inputs'!$J$17)/'Inputs'!$B$14,TRUE)-NORM.S.DIST(LN(B11/'Inputs'!$K$17)/'Inputs'!$B$14,TRUE))*'Inputs'!$J$8+NORM.S.DIST(LN(B11/'Inputs'!$K$17)/'Inputs'!$B$14,TRUE)*'Inputs'!$J$9)</x:f>
        <x:v>0.161072806860318</x:v>
      </x:c>
      <x:c r="D11" s="40" t="n">
        <x:f>IF(B11&lt;'Inputs'!$B$15,0,(NORM.S.DIST(LN(B11/'Inputs'!$I$18)/'Inputs'!$B$14,TRUE)-NORM.S.DIST(LN(B11/'Inputs'!$J$18)/'Inputs'!$B$14,TRUE))*'Inputs'!$J$7+(NORM.S.DIST(LN(B11/'Inputs'!$J$18)/'Inputs'!$B$14,TRUE)-NORM.S.DIST(LN(B11/'Inputs'!$K$18)/'Inputs'!$B$14,TRUE))*'Inputs'!$J$8+NORM.S.DIST(LN(B11/'Inputs'!$K$18)/'Inputs'!$B$14,TRUE)*'Inputs'!$J$9)</x:f>
        <x:v>0.029387016548682404</x:v>
      </x:c>
      <x:c r="E11" s="40" t="n">
        <x:f>IF(B11&lt;'Inputs'!$B$15,0,(NORM.S.DIST(LN(B11/'Inputs'!$I$19)/'Inputs'!$B$14,TRUE)-NORM.S.DIST(LN(B11/'Inputs'!$J$19)/'Inputs'!$B$14,TRUE))*'Inputs'!$J$7+(NORM.S.DIST(LN(B11/'Inputs'!$J$19)/'Inputs'!$B$14,TRUE)-NORM.S.DIST(LN(B11/'Inputs'!$K$19)/'Inputs'!$B$14,TRUE))*'Inputs'!$J$8+NORM.S.DIST(LN(B11/'Inputs'!$K$19)/'Inputs'!$B$14,TRUE)*'Inputs'!$J$9)</x:f>
        <x:v>0.012017146899019077</x:v>
      </x:c>
      <x:c r="F11" s="28" t="n">
        <x:f>IF(B11&lt;'Inputs'!$B$15,1,1-NORM.S.DIST(LN(B11/'Inputs'!$I$18)/'Inputs'!$B$14,TRUE))</x:f>
        <x:v>0.002641151253805485</x:v>
      </x:c>
      <x:c r="G11" s="28" t="n">
        <x:f>IF(B11&lt;'Inputs'!$B$15,0,NORM.S.DIST(LN(B11/'Inputs'!$I$18)/'Inputs'!$B$14,TRUE)-NORM.S.DIST(LN(B11/'Inputs'!$J$18)/'Inputs'!$B$14,TRUE))</x:f>
        <x:v>0.9385133616345657</x:v>
      </x:c>
      <x:c r="H11" s="28" t="n">
        <x:f>IF(B11&lt;'Inputs'!$B$15,0,NORM.S.DIST(LN(B11/'Inputs'!$J$18)/'Inputs'!$B$14,TRUE)-NORM.S.DIST(LN(B11/'Inputs'!$K$18)/'Inputs'!$B$14,TRUE))</x:f>
        <x:v>0.05884516150711949</x:v>
      </x:c>
      <x:c r="I11" s="28" t="n">
        <x:f>IF(B11&lt;'Inputs'!$B$15,0,NORM.S.DIST(LN(B11/'Inputs'!$K$18)/'Inputs'!$B$14,TRUE))</x:f>
        <x:v>3.256045093547044e-7</x:v>
      </x:c>
      <x:c r="J11" s="19" t="str">
        <x:f>IF(A11&lt;'Inputs'!$B$15,"ZERO_BELOW_25_MPS",IF(A11&gt;'Inputs'!$B$16,"ABOVE_80_MPS_TERMINAL_SATURATION_EXTRAPOLATION","SCREENING_DOMAIN"))</x:f>
        <x:v>SCREENING_DOMAIN</x:v>
      </x:c>
      <x:c r="K11" s="19" t="str">
        <x:v>Conditional equipment DR; Hazard must supply turbine intersection and speed provenance.</x:v>
      </x:c>
    </x:row>
    <x:row r="12">
      <x:c r="A12" s="19" t="n">
        <x:v>49</x:v>
      </x:c>
      <x:c r="B12" s="27" t="n">
        <x:f>A12</x:f>
        <x:v>49</x:v>
      </x:c>
      <x:c r="C12" s="40" t="n">
        <x:f>IF(B12&lt;'Inputs'!$B$15,0,(NORM.S.DIST(LN(B12/'Inputs'!$I$17)/'Inputs'!$B$14,TRUE)-NORM.S.DIST(LN(B12/'Inputs'!$J$17)/'Inputs'!$B$14,TRUE))*'Inputs'!$J$7+(NORM.S.DIST(LN(B12/'Inputs'!$J$17)/'Inputs'!$B$14,TRUE)-NORM.S.DIST(LN(B12/'Inputs'!$K$17)/'Inputs'!$B$14,TRUE))*'Inputs'!$J$8+NORM.S.DIST(LN(B12/'Inputs'!$K$17)/'Inputs'!$B$14,TRUE)*'Inputs'!$J$9)</x:f>
        <x:v>0.27860883605920017</x:v>
      </x:c>
      <x:c r="D12" s="40" t="n">
        <x:f>IF(B12&lt;'Inputs'!$B$15,0,(NORM.S.DIST(LN(B12/'Inputs'!$I$18)/'Inputs'!$B$14,TRUE)-NORM.S.DIST(LN(B12/'Inputs'!$J$18)/'Inputs'!$B$14,TRUE))*'Inputs'!$J$7+(NORM.S.DIST(LN(B12/'Inputs'!$J$18)/'Inputs'!$B$14,TRUE)-NORM.S.DIST(LN(B12/'Inputs'!$K$18)/'Inputs'!$B$14,TRUE))*'Inputs'!$J$8+NORM.S.DIST(LN(B12/'Inputs'!$K$18)/'Inputs'!$B$14,TRUE)*'Inputs'!$J$9)</x:f>
        <x:v>0.10366277051651923</x:v>
      </x:c>
      <x:c r="E12" s="40" t="n">
        <x:f>IF(B12&lt;'Inputs'!$B$15,0,(NORM.S.DIST(LN(B12/'Inputs'!$I$19)/'Inputs'!$B$14,TRUE)-NORM.S.DIST(LN(B12/'Inputs'!$J$19)/'Inputs'!$B$14,TRUE))*'Inputs'!$J$7+(NORM.S.DIST(LN(B12/'Inputs'!$J$19)/'Inputs'!$B$14,TRUE)-NORM.S.DIST(LN(B12/'Inputs'!$K$19)/'Inputs'!$B$14,TRUE))*'Inputs'!$J$8+NORM.S.DIST(LN(B12/'Inputs'!$K$19)/'Inputs'!$B$14,TRUE)*'Inputs'!$J$9)</x:f>
        <x:v>0.025992403765615173</x:v>
      </x:c>
      <x:c r="F12" s="28" t="n">
        <x:f>IF(B12&lt;'Inputs'!$B$15,1,1-NORM.S.DIST(LN(B12/'Inputs'!$I$18)/'Inputs'!$B$14,TRUE))</x:f>
        <x:v>0.00005815714670309724</x:v>
      </x:c>
      <x:c r="G12" s="28" t="n">
        <x:f>IF(B12&lt;'Inputs'!$B$15,0,NORM.S.DIST(LN(B12/'Inputs'!$I$18)/'Inputs'!$B$14,TRUE)-NORM.S.DIST(LN(B12/'Inputs'!$J$18)/'Inputs'!$B$14,TRUE))</x:f>
        <x:v>0.6914277803923647</x:v>
      </x:c>
      <x:c r="H12" s="28" t="n">
        <x:f>IF(B12&lt;'Inputs'!$B$15,0,NORM.S.DIST(LN(B12/'Inputs'!$J$18)/'Inputs'!$B$14,TRUE)-NORM.S.DIST(LN(B12/'Inputs'!$K$18)/'Inputs'!$B$14,TRUE))</x:f>
        <x:v>0.3084680868054592</x:v>
      </x:c>
      <x:c r="I12" s="28" t="n">
        <x:f>IF(B12&lt;'Inputs'!$B$15,0,NORM.S.DIST(LN(B12/'Inputs'!$K$18)/'Inputs'!$B$14,TRUE))</x:f>
        <x:v>0.00004597565547292959</x:v>
      </x:c>
      <x:c r="J12" s="19" t="str">
        <x:f>IF(A12&lt;'Inputs'!$B$15,"ZERO_BELOW_25_MPS",IF(A12&gt;'Inputs'!$B$16,"ABOVE_80_MPS_TERMINAL_SATURATION_EXTRAPOLATION","SCREENING_DOMAIN"))</x:f>
        <x:v>SCREENING_DOMAIN</x:v>
      </x:c>
      <x:c r="K12" s="19" t="str">
        <x:v>Conditional equipment DR; Hazard must supply turbine intersection and speed provenance.</x:v>
      </x:c>
    </x:row>
    <x:row r="13">
      <x:c r="A13" s="19" t="n">
        <x:v>51</x:v>
      </x:c>
      <x:c r="B13" s="27" t="n">
        <x:f>A13</x:f>
        <x:v>51</x:v>
      </x:c>
      <x:c r="C13" s="40" t="n">
        <x:f>IF(B13&lt;'Inputs'!$B$15,0,(NORM.S.DIST(LN(B13/'Inputs'!$I$17)/'Inputs'!$B$14,TRUE)-NORM.S.DIST(LN(B13/'Inputs'!$J$17)/'Inputs'!$B$14,TRUE))*'Inputs'!$J$7+(NORM.S.DIST(LN(B13/'Inputs'!$J$17)/'Inputs'!$B$14,TRUE)-NORM.S.DIST(LN(B13/'Inputs'!$K$17)/'Inputs'!$B$14,TRUE))*'Inputs'!$J$8+NORM.S.DIST(LN(B13/'Inputs'!$K$17)/'Inputs'!$B$14,TRUE)*'Inputs'!$J$9)</x:f>
        <x:v>0.32895167855664603</x:v>
      </x:c>
      <x:c r="D13" s="40" t="n">
        <x:f>IF(B13&lt;'Inputs'!$B$15,0,(NORM.S.DIST(LN(B13/'Inputs'!$I$18)/'Inputs'!$B$14,TRUE)-NORM.S.DIST(LN(B13/'Inputs'!$J$18)/'Inputs'!$B$14,TRUE))*'Inputs'!$J$7+(NORM.S.DIST(LN(B13/'Inputs'!$J$18)/'Inputs'!$B$14,TRUE)-NORM.S.DIST(LN(B13/'Inputs'!$K$18)/'Inputs'!$B$14,TRUE))*'Inputs'!$J$8+NORM.S.DIST(LN(B13/'Inputs'!$K$18)/'Inputs'!$B$14,TRUE)*'Inputs'!$J$9)</x:f>
        <x:v>0.1607740811351627</x:v>
      </x:c>
      <x:c r="E13" s="40" t="n">
        <x:f>IF(B13&lt;'Inputs'!$B$15,0,(NORM.S.DIST(LN(B13/'Inputs'!$I$19)/'Inputs'!$B$14,TRUE)-NORM.S.DIST(LN(B13/'Inputs'!$J$19)/'Inputs'!$B$14,TRUE))*'Inputs'!$J$7+(NORM.S.DIST(LN(B13/'Inputs'!$J$19)/'Inputs'!$B$14,TRUE)-NORM.S.DIST(LN(B13/'Inputs'!$K$19)/'Inputs'!$B$14,TRUE))*'Inputs'!$J$8+NORM.S.DIST(LN(B13/'Inputs'!$K$19)/'Inputs'!$B$14,TRUE)*'Inputs'!$J$9)</x:f>
        <x:v>0.04793478209692521</x:v>
      </x:c>
      <x:c r="F13" s="28" t="n">
        <x:f>IF(B13&lt;'Inputs'!$B$15,1,1-NORM.S.DIST(LN(B13/'Inputs'!$I$18)/'Inputs'!$B$14,TRUE))</x:f>
        <x:v>0.000006688860898940163</x:v>
      </x:c>
      <x:c r="G13" s="28" t="n">
        <x:f>IF(B13&lt;'Inputs'!$B$15,0,NORM.S.DIST(LN(B13/'Inputs'!$I$18)/'Inputs'!$B$14,TRUE)-NORM.S.DIST(LN(B13/'Inputs'!$J$18)/'Inputs'!$B$14,TRUE))</x:f>
        <x:v>0.49999331113910106</x:v>
      </x:c>
      <x:c r="H13" s="28" t="n">
        <x:f>IF(B13&lt;'Inputs'!$B$15,0,NORM.S.DIST(LN(B13/'Inputs'!$J$18)/'Inputs'!$B$14,TRUE)-NORM.S.DIST(LN(B13/'Inputs'!$K$18)/'Inputs'!$B$14,TRUE))</x:f>
        <x:v>0.4996761814176374</x:v>
      </x:c>
      <x:c r="I13" s="28" t="n">
        <x:f>IF(B13&lt;'Inputs'!$B$15,0,NORM.S.DIST(LN(B13/'Inputs'!$K$18)/'Inputs'!$B$14,TRUE))</x:f>
        <x:v>0.0003238185823625783</x:v>
      </x:c>
      <x:c r="J13" s="19" t="str">
        <x:f>IF(A13&lt;'Inputs'!$B$15,"ZERO_BELOW_25_MPS",IF(A13&gt;'Inputs'!$B$16,"ABOVE_80_MPS_TERMINAL_SATURATION_EXTRAPOLATION","SCREENING_DOMAIN"))</x:f>
        <x:v>SCREENING_DOMAIN</x:v>
      </x:c>
      <x:c r="K13" s="19" t="str">
        <x:v>Conditional equipment DR; Hazard must supply turbine intersection and speed provenance.</x:v>
      </x:c>
    </x:row>
    <x:row r="14">
      <x:c r="A14" s="19" t="n">
        <x:v>56</x:v>
      </x:c>
      <x:c r="B14" s="27" t="n">
        <x:f>A14</x:f>
        <x:v>56</x:v>
      </x:c>
      <x:c r="C14" s="40" t="n">
        <x:f>IF(B14&lt;'Inputs'!$B$15,0,(NORM.S.DIST(LN(B14/'Inputs'!$I$17)/'Inputs'!$B$14,TRUE)-NORM.S.DIST(LN(B14/'Inputs'!$J$17)/'Inputs'!$B$14,TRUE))*'Inputs'!$J$7+(NORM.S.DIST(LN(B14/'Inputs'!$J$17)/'Inputs'!$B$14,TRUE)-NORM.S.DIST(LN(B14/'Inputs'!$K$17)/'Inputs'!$B$14,TRUE))*'Inputs'!$J$8+NORM.S.DIST(LN(B14/'Inputs'!$K$17)/'Inputs'!$B$14,TRUE)*'Inputs'!$J$9)</x:f>
        <x:v>0.5365339979099775</x:v>
      </x:c>
      <x:c r="D14" s="40" t="n">
        <x:f>IF(B14&lt;'Inputs'!$B$15,0,(NORM.S.DIST(LN(B14/'Inputs'!$I$18)/'Inputs'!$B$14,TRUE)-NORM.S.DIST(LN(B14/'Inputs'!$J$18)/'Inputs'!$B$14,TRUE))*'Inputs'!$J$7+(NORM.S.DIST(LN(B14/'Inputs'!$J$18)/'Inputs'!$B$14,TRUE)-NORM.S.DIST(LN(B14/'Inputs'!$K$18)/'Inputs'!$B$14,TRUE))*'Inputs'!$J$8+NORM.S.DIST(LN(B14/'Inputs'!$K$18)/'Inputs'!$B$14,TRUE)*'Inputs'!$J$9)</x:f>
        <x:v>0.2817791861454935</x:v>
      </x:c>
      <x:c r="E14" s="40" t="n">
        <x:f>IF(B14&lt;'Inputs'!$B$15,0,(NORM.S.DIST(LN(B14/'Inputs'!$I$19)/'Inputs'!$B$14,TRUE)-NORM.S.DIST(LN(B14/'Inputs'!$J$19)/'Inputs'!$B$14,TRUE))*'Inputs'!$J$7+(NORM.S.DIST(LN(B14/'Inputs'!$J$19)/'Inputs'!$B$14,TRUE)-NORM.S.DIST(LN(B14/'Inputs'!$K$19)/'Inputs'!$B$14,TRUE))*'Inputs'!$J$8+NORM.S.DIST(LN(B14/'Inputs'!$K$19)/'Inputs'!$B$14,TRUE)*'Inputs'!$J$9)</x:f>
        <x:v>0.16055315535705494</x:v>
      </x:c>
      <x:c r="F14" s="28" t="n">
        <x:f>IF(B14&lt;'Inputs'!$B$15,1,1-NORM.S.DIST(LN(B14/'Inputs'!$I$18)/'Inputs'!$B$14,TRUE))</x:f>
        <x:v>1.6671584335270495e-8</x:v>
      </x:c>
      <x:c r="G14" s="28" t="n">
        <x:f>IF(B14&lt;'Inputs'!$B$15,0,NORM.S.DIST(LN(B14/'Inputs'!$I$18)/'Inputs'!$B$14,TRUE)-NORM.S.DIST(LN(B14/'Inputs'!$J$18)/'Inputs'!$B$14,TRUE))</x:f>
        <x:v>0.12118654493688541</x:v>
      </x:c>
      <x:c r="H14" s="28" t="n">
        <x:f>IF(B14&lt;'Inputs'!$B$15,0,NORM.S.DIST(LN(B14/'Inputs'!$J$18)/'Inputs'!$B$14,TRUE)-NORM.S.DIST(LN(B14/'Inputs'!$K$18)/'Inputs'!$B$14,TRUE))</x:f>
        <x:v>0.8663250465237178</x:v>
      </x:c>
      <x:c r="I14" s="28" t="n">
        <x:f>IF(B14&lt;'Inputs'!$B$15,0,NORM.S.DIST(LN(B14/'Inputs'!$K$18)/'Inputs'!$B$14,TRUE))</x:f>
        <x:v>0.01248839186781242</x:v>
      </x:c>
      <x:c r="J14" s="19" t="str">
        <x:f>IF(A14&lt;'Inputs'!$B$15,"ZERO_BELOW_25_MPS",IF(A14&gt;'Inputs'!$B$16,"ABOVE_80_MPS_TERMINAL_SATURATION_EXTRAPOLATION","SCREENING_DOMAIN"))</x:f>
        <x:v>SCREENING_DOMAIN</x:v>
      </x:c>
      <x:c r="K14" s="19" t="str">
        <x:v>Conditional equipment DR; Hazard must supply turbine intersection and speed provenance.</x:v>
      </x:c>
    </x:row>
    <x:row r="15">
      <x:c r="A15" s="19" t="n">
        <x:v>58</x:v>
      </x:c>
      <x:c r="B15" s="27" t="n">
        <x:f>A15</x:f>
        <x:v>58</x:v>
      </x:c>
      <x:c r="C15" s="40" t="n">
        <x:f>IF(B15&lt;'Inputs'!$B$15,0,(NORM.S.DIST(LN(B15/'Inputs'!$I$17)/'Inputs'!$B$14,TRUE)-NORM.S.DIST(LN(B15/'Inputs'!$J$17)/'Inputs'!$B$14,TRUE))*'Inputs'!$J$7+(NORM.S.DIST(LN(B15/'Inputs'!$J$17)/'Inputs'!$B$14,TRUE)-NORM.S.DIST(LN(B15/'Inputs'!$K$17)/'Inputs'!$B$14,TRUE))*'Inputs'!$J$8+NORM.S.DIST(LN(B15/'Inputs'!$K$17)/'Inputs'!$B$14,TRUE)*'Inputs'!$J$9)</x:f>
        <x:v>0.6543623485028272</x:v>
      </x:c>
      <x:c r="D15" s="40" t="n">
        <x:f>IF(B15&lt;'Inputs'!$B$15,0,(NORM.S.DIST(LN(B15/'Inputs'!$I$18)/'Inputs'!$B$14,TRUE)-NORM.S.DIST(LN(B15/'Inputs'!$J$18)/'Inputs'!$B$14,TRUE))*'Inputs'!$J$7+(NORM.S.DIST(LN(B15/'Inputs'!$J$18)/'Inputs'!$B$14,TRUE)-NORM.S.DIST(LN(B15/'Inputs'!$K$18)/'Inputs'!$B$14,TRUE))*'Inputs'!$J$8+NORM.S.DIST(LN(B15/'Inputs'!$K$18)/'Inputs'!$B$14,TRUE)*'Inputs'!$J$9)</x:f>
        <x:v>0.3177901168245671</x:v>
      </x:c>
      <x:c r="E15" s="40" t="n">
        <x:f>IF(B15&lt;'Inputs'!$B$15,0,(NORM.S.DIST(LN(B15/'Inputs'!$I$19)/'Inputs'!$B$14,TRUE)-NORM.S.DIST(LN(B15/'Inputs'!$J$19)/'Inputs'!$B$14,TRUE))*'Inputs'!$J$7+(NORM.S.DIST(LN(B15/'Inputs'!$J$19)/'Inputs'!$B$14,TRUE)-NORM.S.DIST(LN(B15/'Inputs'!$K$19)/'Inputs'!$B$14,TRUE))*'Inputs'!$J$8+NORM.S.DIST(LN(B15/'Inputs'!$K$19)/'Inputs'!$B$14,TRUE)*'Inputs'!$J$9)</x:f>
        <x:v>0.21096573771918592</x:v>
      </x:c>
      <x:c r="F15" s="28" t="n">
        <x:f>IF(B15&lt;'Inputs'!$B$15,1,1-NORM.S.DIST(LN(B15/'Inputs'!$I$18)/'Inputs'!$B$14,TRUE))</x:f>
        <x:v>1.2492753498349884e-9</x:v>
      </x:c>
      <x:c r="G15" s="28" t="n">
        <x:f>IF(B15&lt;'Inputs'!$B$15,0,NORM.S.DIST(LN(B15/'Inputs'!$I$18)/'Inputs'!$B$14,TRUE)-NORM.S.DIST(LN(B15/'Inputs'!$J$18)/'Inputs'!$B$14,TRUE))</x:f>
        <x:v>0.053948561151503815</x:v>
      </x:c>
      <x:c r="H15" s="28" t="n">
        <x:f>IF(B15&lt;'Inputs'!$B$15,0,NORM.S.DIST(LN(B15/'Inputs'!$J$18)/'Inputs'!$B$14,TRUE)-NORM.S.DIST(LN(B15/'Inputs'!$K$18)/'Inputs'!$B$14,TRUE))</x:f>
        <x:v>0.9103667608756204</x:v>
      </x:c>
      <x:c r="I15" s="28" t="n">
        <x:f>IF(B15&lt;'Inputs'!$B$15,0,NORM.S.DIST(LN(B15/'Inputs'!$K$18)/'Inputs'!$B$14,TRUE))</x:f>
        <x:v>0.03568467672360043</x:v>
      </x:c>
      <x:c r="J15" s="19" t="str">
        <x:f>IF(A15&lt;'Inputs'!$B$15,"ZERO_BELOW_25_MPS",IF(A15&gt;'Inputs'!$B$16,"ABOVE_80_MPS_TERMINAL_SATURATION_EXTRAPOLATION","SCREENING_DOMAIN"))</x:f>
        <x:v>SCREENING_DOMAIN</x:v>
      </x:c>
      <x:c r="K15" s="19" t="str">
        <x:v>Conditional equipment DR; Hazard must supply turbine intersection and speed provenance.</x:v>
      </x:c>
    </x:row>
    <x:row r="16">
      <x:c r="A16" s="19" t="n">
        <x:v>65</x:v>
      </x:c>
      <x:c r="B16" s="27" t="n">
        <x:f>A16</x:f>
        <x:v>65</x:v>
      </x:c>
      <x:c r="C16" s="40" t="n">
        <x:f>IF(B16&lt;'Inputs'!$B$15,0,(NORM.S.DIST(LN(B16/'Inputs'!$I$17)/'Inputs'!$B$14,TRUE)-NORM.S.DIST(LN(B16/'Inputs'!$J$17)/'Inputs'!$B$14,TRUE))*'Inputs'!$J$7+(NORM.S.DIST(LN(B16/'Inputs'!$J$17)/'Inputs'!$B$14,TRUE)-NORM.S.DIST(LN(B16/'Inputs'!$K$17)/'Inputs'!$B$14,TRUE))*'Inputs'!$J$8+NORM.S.DIST(LN(B16/'Inputs'!$K$17)/'Inputs'!$B$14,TRUE)*'Inputs'!$J$9)</x:f>
        <x:v>0.9466818807858902</x:v>
      </x:c>
      <x:c r="D16" s="40" t="n">
        <x:f>IF(B16&lt;'Inputs'!$B$15,0,(NORM.S.DIST(LN(B16/'Inputs'!$I$18)/'Inputs'!$B$14,TRUE)-NORM.S.DIST(LN(B16/'Inputs'!$J$18)/'Inputs'!$B$14,TRUE))*'Inputs'!$J$7+(NORM.S.DIST(LN(B16/'Inputs'!$J$18)/'Inputs'!$B$14,TRUE)-NORM.S.DIST(LN(B16/'Inputs'!$K$18)/'Inputs'!$B$14,TRUE))*'Inputs'!$J$8+NORM.S.DIST(LN(B16/'Inputs'!$K$18)/'Inputs'!$B$14,TRUE)*'Inputs'!$J$9)</x:f>
        <x:v>0.5522684848098537</x:v>
      </x:c>
      <x:c r="E16" s="40" t="n">
        <x:f>IF(B16&lt;'Inputs'!$B$15,0,(NORM.S.DIST(LN(B16/'Inputs'!$I$19)/'Inputs'!$B$14,TRUE)-NORM.S.DIST(LN(B16/'Inputs'!$J$19)/'Inputs'!$B$14,TRUE))*'Inputs'!$J$7+(NORM.S.DIST(LN(B16/'Inputs'!$J$19)/'Inputs'!$B$14,TRUE)-NORM.S.DIST(LN(B16/'Inputs'!$K$19)/'Inputs'!$B$14,TRUE))*'Inputs'!$J$8+NORM.S.DIST(LN(B16/'Inputs'!$K$19)/'Inputs'!$B$14,TRUE)*'Inputs'!$J$9)</x:f>
        <x:v>0.30315239089583335</x:v>
      </x:c>
      <x:c r="F16" s="28" t="n">
        <x:f>IF(B16&lt;'Inputs'!$B$15,1,1-NORM.S.DIST(LN(B16/'Inputs'!$I$18)/'Inputs'!$B$14,TRUE))</x:f>
        <x:v>7.571721027943568e-14</x:v>
      </x:c>
      <x:c r="G16" s="28" t="n">
        <x:f>IF(B16&lt;'Inputs'!$B$15,0,NORM.S.DIST(LN(B16/'Inputs'!$I$18)/'Inputs'!$B$14,TRUE)-NORM.S.DIST(LN(B16/'Inputs'!$J$18)/'Inputs'!$B$14,TRUE))</x:f>
        <x:v>0.0012146136699199284</x:v>
      </x:c>
      <x:c r="H16" s="28" t="n">
        <x:f>IF(B16&lt;'Inputs'!$B$15,0,NORM.S.DIST(LN(B16/'Inputs'!$J$18)/'Inputs'!$B$14,TRUE)-NORM.S.DIST(LN(B16/'Inputs'!$K$18)/'Inputs'!$B$14,TRUE))</x:f>
        <x:v>0.6463734563541477</x:v>
      </x:c>
      <x:c r="I16" s="28" t="n">
        <x:f>IF(B16&lt;'Inputs'!$B$15,0,NORM.S.DIST(LN(B16/'Inputs'!$K$18)/'Inputs'!$B$14,TRUE))</x:f>
        <x:v>0.3524119299758567</x:v>
      </x:c>
      <x:c r="J16" s="19" t="str">
        <x:f>IF(A16&lt;'Inputs'!$B$15,"ZERO_BELOW_25_MPS",IF(A16&gt;'Inputs'!$B$16,"ABOVE_80_MPS_TERMINAL_SATURATION_EXTRAPOLATION","SCREENING_DOMAIN"))</x:f>
        <x:v>SCREENING_DOMAIN</x:v>
      </x:c>
      <x:c r="K16" s="19" t="str">
        <x:v>Conditional equipment DR; Hazard must supply turbine intersection and speed provenance.</x:v>
      </x:c>
    </x:row>
    <x:row r="17">
      <x:c r="A17" s="19" t="n">
        <x:v>67</x:v>
      </x:c>
      <x:c r="B17" s="27" t="n">
        <x:f>A17</x:f>
        <x:v>67</x:v>
      </x:c>
      <x:c r="C17" s="40" t="n">
        <x:f>IF(B17&lt;'Inputs'!$B$15,0,(NORM.S.DIST(LN(B17/'Inputs'!$I$17)/'Inputs'!$B$14,TRUE)-NORM.S.DIST(LN(B17/'Inputs'!$J$17)/'Inputs'!$B$14,TRUE))*'Inputs'!$J$7+(NORM.S.DIST(LN(B17/'Inputs'!$J$17)/'Inputs'!$B$14,TRUE)-NORM.S.DIST(LN(B17/'Inputs'!$K$17)/'Inputs'!$B$14,TRUE))*'Inputs'!$J$8+NORM.S.DIST(LN(B17/'Inputs'!$K$17)/'Inputs'!$B$14,TRUE)*'Inputs'!$J$9)</x:f>
        <x:v>0.9753480118635484</x:v>
      </x:c>
      <x:c r="D17" s="40" t="n">
        <x:f>IF(B17&lt;'Inputs'!$B$15,0,(NORM.S.DIST(LN(B17/'Inputs'!$I$18)/'Inputs'!$B$14,TRUE)-NORM.S.DIST(LN(B17/'Inputs'!$J$18)/'Inputs'!$B$14,TRUE))*'Inputs'!$J$7+(NORM.S.DIST(LN(B17/'Inputs'!$J$18)/'Inputs'!$B$14,TRUE)-NORM.S.DIST(LN(B17/'Inputs'!$K$18)/'Inputs'!$B$14,TRUE))*'Inputs'!$J$8+NORM.S.DIST(LN(B17/'Inputs'!$K$18)/'Inputs'!$B$14,TRUE)*'Inputs'!$J$9)</x:f>
        <x:v>0.6544909016323985</x:v>
      </x:c>
      <x:c r="E17" s="40" t="n">
        <x:f>IF(B17&lt;'Inputs'!$B$15,0,(NORM.S.DIST(LN(B17/'Inputs'!$I$19)/'Inputs'!$B$14,TRUE)-NORM.S.DIST(LN(B17/'Inputs'!$J$19)/'Inputs'!$B$14,TRUE))*'Inputs'!$J$7+(NORM.S.DIST(LN(B17/'Inputs'!$J$19)/'Inputs'!$B$14,TRUE)-NORM.S.DIST(LN(B17/'Inputs'!$K$19)/'Inputs'!$B$14,TRUE))*'Inputs'!$J$8+NORM.S.DIST(LN(B17/'Inputs'!$K$19)/'Inputs'!$B$14,TRUE)*'Inputs'!$J$9)</x:f>
        <x:v>0.31466579331117894</x:v>
      </x:c>
      <x:c r="F17" s="28" t="n">
        <x:f>IF(B17&lt;'Inputs'!$B$15,1,1-NORM.S.DIST(LN(B17/'Inputs'!$I$18)/'Inputs'!$B$14,TRUE))</x:f>
        <x:v>4.107825191113079e-15</x:v>
      </x:c>
      <x:c r="G17" s="28" t="n">
        <x:f>IF(B17&lt;'Inputs'!$B$15,0,NORM.S.DIST(LN(B17/'Inputs'!$I$18)/'Inputs'!$B$14,TRUE)-NORM.S.DIST(LN(B17/'Inputs'!$J$18)/'Inputs'!$B$14,TRUE))</x:f>
        <x:v>0.000323818582358526</x:v>
      </x:c>
      <x:c r="H17" s="28" t="n">
        <x:f>IF(B17&lt;'Inputs'!$B$15,0,NORM.S.DIST(LN(B17/'Inputs'!$J$18)/'Inputs'!$B$14,TRUE)-NORM.S.DIST(LN(B17/'Inputs'!$K$18)/'Inputs'!$B$14,TRUE))</x:f>
        <x:v>0.49967618141763737</x:v>
      </x:c>
      <x:c r="I17" s="28" t="n">
        <x:f>IF(B17&lt;'Inputs'!$B$15,0,NORM.S.DIST(LN(B17/'Inputs'!$K$18)/'Inputs'!$B$14,TRUE))</x:f>
        <x:v>0.5</x:v>
      </x:c>
      <x:c r="J17" s="19" t="str">
        <x:f>IF(A17&lt;'Inputs'!$B$15,"ZERO_BELOW_25_MPS",IF(A17&gt;'Inputs'!$B$16,"ABOVE_80_MPS_TERMINAL_SATURATION_EXTRAPOLATION","SCREENING_DOMAIN"))</x:f>
        <x:v>SCREENING_DOMAIN</x:v>
      </x:c>
      <x:c r="K17" s="19" t="str">
        <x:v>Conditional equipment DR; Hazard must supply turbine intersection and speed provenance.</x:v>
      </x:c>
    </x:row>
    <x:row r="18">
      <x:c r="A18" s="19" t="n">
        <x:v>69</x:v>
      </x:c>
      <x:c r="B18" s="27" t="n">
        <x:f>A18</x:f>
        <x:v>69</x:v>
      </x:c>
      <x:c r="C18" s="40" t="n">
        <x:f>IF(B18&lt;'Inputs'!$B$15,0,(NORM.S.DIST(LN(B18/'Inputs'!$I$17)/'Inputs'!$B$14,TRUE)-NORM.S.DIST(LN(B18/'Inputs'!$J$17)/'Inputs'!$B$14,TRUE))*'Inputs'!$J$7+(NORM.S.DIST(LN(B18/'Inputs'!$J$17)/'Inputs'!$B$14,TRUE)-NORM.S.DIST(LN(B18/'Inputs'!$K$17)/'Inputs'!$B$14,TRUE))*'Inputs'!$J$8+NORM.S.DIST(LN(B18/'Inputs'!$K$17)/'Inputs'!$B$14,TRUE)*'Inputs'!$J$9)</x:f>
        <x:v>0.9896559866498127</x:v>
      </x:c>
      <x:c r="D18" s="40" t="n">
        <x:f>IF(B18&lt;'Inputs'!$B$15,0,(NORM.S.DIST(LN(B18/'Inputs'!$I$18)/'Inputs'!$B$14,TRUE)-NORM.S.DIST(LN(B18/'Inputs'!$J$18)/'Inputs'!$B$14,TRUE))*'Inputs'!$J$7+(NORM.S.DIST(LN(B18/'Inputs'!$J$18)/'Inputs'!$B$14,TRUE)-NORM.S.DIST(LN(B18/'Inputs'!$K$18)/'Inputs'!$B$14,TRUE))*'Inputs'!$J$8+NORM.S.DIST(LN(B18/'Inputs'!$K$18)/'Inputs'!$B$14,TRUE)*'Inputs'!$J$9)</x:f>
        <x:v>0.7536569002051516</x:v>
      </x:c>
      <x:c r="E18" s="40" t="n">
        <x:f>IF(B18&lt;'Inputs'!$B$15,0,(NORM.S.DIST(LN(B18/'Inputs'!$I$19)/'Inputs'!$B$14,TRUE)-NORM.S.DIST(LN(B18/'Inputs'!$J$19)/'Inputs'!$B$14,TRUE))*'Inputs'!$J$7+(NORM.S.DIST(LN(B18/'Inputs'!$J$19)/'Inputs'!$B$14,TRUE)-NORM.S.DIST(LN(B18/'Inputs'!$K$19)/'Inputs'!$B$14,TRUE))*'Inputs'!$J$8+NORM.S.DIST(LN(B18/'Inputs'!$K$19)/'Inputs'!$B$14,TRUE)*'Inputs'!$J$9)</x:f>
        <x:v>0.3300908903498173</x:v>
      </x:c>
      <x:c r="F18" s="28" t="n">
        <x:f>IF(B18&lt;'Inputs'!$B$15,1,1-NORM.S.DIST(LN(B18/'Inputs'!$I$18)/'Inputs'!$B$14,TRUE))</x:f>
        <x:v>2.220446049250313e-16</x:v>
      </x:c>
      <x:c r="G18" s="28" t="n">
        <x:f>IF(B18&lt;'Inputs'!$B$15,0,NORM.S.DIST(LN(B18/'Inputs'!$I$18)/'Inputs'!$B$14,TRUE)-NORM.S.DIST(LN(B18/'Inputs'!$J$18)/'Inputs'!$B$14,TRUE))</x:f>
        <x:v>0.0000788844744759043</x:v>
      </x:c>
      <x:c r="H18" s="28" t="n">
        <x:f>IF(B18&lt;'Inputs'!$B$15,0,NORM.S.DIST(LN(B18/'Inputs'!$J$18)/'Inputs'!$B$14,TRUE)-NORM.S.DIST(LN(B18/'Inputs'!$K$18)/'Inputs'!$B$14,TRUE))</x:f>
        <x:v>0.3564794424931924</x:v>
      </x:c>
      <x:c r="I18" s="28" t="n">
        <x:f>IF(B18&lt;'Inputs'!$B$15,0,NORM.S.DIST(LN(B18/'Inputs'!$K$18)/'Inputs'!$B$14,TRUE))</x:f>
        <x:v>0.6434416730323315</x:v>
      </x:c>
      <x:c r="J18" s="19" t="str">
        <x:f>IF(A18&lt;'Inputs'!$B$15,"ZERO_BELOW_25_MPS",IF(A18&gt;'Inputs'!$B$16,"ABOVE_80_MPS_TERMINAL_SATURATION_EXTRAPOLATION","SCREENING_DOMAIN"))</x:f>
        <x:v>SCREENING_DOMAIN</x:v>
      </x:c>
      <x:c r="K18" s="19" t="str">
        <x:v>Conditional equipment DR; Hazard must supply turbine intersection and speed provenance.</x:v>
      </x:c>
    </x:row>
    <x:row r="19">
      <x:c r="A19" s="19" t="n">
        <x:v>70</x:v>
      </x:c>
      <x:c r="B19" s="27" t="n">
        <x:f>A19</x:f>
        <x:v>70</x:v>
      </x:c>
      <x:c r="C19" s="40" t="n">
        <x:f>IF(B19&lt;'Inputs'!$B$15,0,(NORM.S.DIST(LN(B19/'Inputs'!$I$17)/'Inputs'!$B$14,TRUE)-NORM.S.DIST(LN(B19/'Inputs'!$J$17)/'Inputs'!$B$14,TRUE))*'Inputs'!$J$7+(NORM.S.DIST(LN(B19/'Inputs'!$J$17)/'Inputs'!$B$14,TRUE)-NORM.S.DIST(LN(B19/'Inputs'!$K$17)/'Inputs'!$B$14,TRUE))*'Inputs'!$J$8+NORM.S.DIST(LN(B19/'Inputs'!$K$17)/'Inputs'!$B$14,TRUE)*'Inputs'!$J$9)</x:f>
        <x:v>0.9935267833323852</x:v>
      </x:c>
      <x:c r="D19" s="40" t="n">
        <x:f>IF(B19&lt;'Inputs'!$B$15,0,(NORM.S.DIST(LN(B19/'Inputs'!$I$18)/'Inputs'!$B$14,TRUE)-NORM.S.DIST(LN(B19/'Inputs'!$J$18)/'Inputs'!$B$14,TRUE))*'Inputs'!$J$7+(NORM.S.DIST(LN(B19/'Inputs'!$J$18)/'Inputs'!$B$14,TRUE)-NORM.S.DIST(LN(B19/'Inputs'!$K$18)/'Inputs'!$B$14,TRUE))*'Inputs'!$J$8+NORM.S.DIST(LN(B19/'Inputs'!$K$18)/'Inputs'!$B$14,TRUE)*'Inputs'!$J$9)</x:f>
        <x:v>0.7982632780249078</x:v>
      </x:c>
      <x:c r="E19" s="40" t="n">
        <x:f>IF(B19&lt;'Inputs'!$B$15,0,(NORM.S.DIST(LN(B19/'Inputs'!$I$19)/'Inputs'!$B$14,TRUE)-NORM.S.DIST(LN(B19/'Inputs'!$J$19)/'Inputs'!$B$14,TRUE))*'Inputs'!$J$7+(NORM.S.DIST(LN(B19/'Inputs'!$J$19)/'Inputs'!$B$14,TRUE)-NORM.S.DIST(LN(B19/'Inputs'!$K$19)/'Inputs'!$B$14,TRUE))*'Inputs'!$J$8+NORM.S.DIST(LN(B19/'Inputs'!$K$19)/'Inputs'!$B$14,TRUE)*'Inputs'!$J$9)</x:f>
        <x:v>0.3412342531632006</x:v>
      </x:c>
      <x:c r="F19" s="28" t="n">
        <x:f>IF(B19&lt;'Inputs'!$B$15,1,1-NORM.S.DIST(LN(B19/'Inputs'!$I$18)/'Inputs'!$B$14,TRUE))</x:f>
        <x:v>0</x:v>
      </x:c>
      <x:c r="G19" s="28" t="n">
        <x:f>IF(B19&lt;'Inputs'!$B$15,0,NORM.S.DIST(LN(B19/'Inputs'!$I$18)/'Inputs'!$B$14,TRUE)-NORM.S.DIST(LN(B19/'Inputs'!$J$18)/'Inputs'!$B$14,TRUE))</x:f>
        <x:v>0.00003773147926244835</x:v>
      </x:c>
      <x:c r="H19" s="28" t="n">
        <x:f>IF(B19&lt;'Inputs'!$B$15,0,NORM.S.DIST(LN(B19/'Inputs'!$J$18)/'Inputs'!$B$14,TRUE)-NORM.S.DIST(LN(B19/'Inputs'!$K$18)/'Inputs'!$B$14,TRUE))</x:f>
        <x:v>0.29196864561711133</x:v>
      </x:c>
      <x:c r="I19" s="28" t="n">
        <x:f>IF(B19&lt;'Inputs'!$B$15,0,NORM.S.DIST(LN(B19/'Inputs'!$K$18)/'Inputs'!$B$14,TRUE))</x:f>
        <x:v>0.7079936229036262</x:v>
      </x:c>
      <x:c r="J19" s="19" t="str">
        <x:f>IF(A19&lt;'Inputs'!$B$15,"ZERO_BELOW_25_MPS",IF(A19&gt;'Inputs'!$B$16,"ABOVE_80_MPS_TERMINAL_SATURATION_EXTRAPOLATION","SCREENING_DOMAIN"))</x:f>
        <x:v>SCREENING_DOMAIN</x:v>
      </x:c>
      <x:c r="K19" s="19" t="str">
        <x:v>Conditional equipment DR; Hazard must supply turbine intersection and speed provenance.</x:v>
      </x:c>
    </x:row>
    <x:row r="20">
      <x:c r="A20" s="19" t="n">
        <x:v>80</x:v>
      </x:c>
      <x:c r="B20" s="27" t="n">
        <x:f>A20</x:f>
        <x:v>80</x:v>
      </x:c>
      <x:c r="C20" s="40" t="n">
        <x:f>IF(B20&lt;'Inputs'!$B$15,0,(NORM.S.DIST(LN(B20/'Inputs'!$I$17)/'Inputs'!$B$14,TRUE)-NORM.S.DIST(LN(B20/'Inputs'!$J$17)/'Inputs'!$B$14,TRUE))*'Inputs'!$J$7+(NORM.S.DIST(LN(B20/'Inputs'!$J$17)/'Inputs'!$B$14,TRUE)-NORM.S.DIST(LN(B20/'Inputs'!$K$17)/'Inputs'!$B$14,TRUE))*'Inputs'!$J$8+NORM.S.DIST(LN(B20/'Inputs'!$K$17)/'Inputs'!$B$14,TRUE)*'Inputs'!$J$9)</x:f>
        <x:v>0.9999798801406359</x:v>
      </x:c>
      <x:c r="D20" s="40" t="n">
        <x:f>IF(B20&lt;'Inputs'!$B$15,0,(NORM.S.DIST(LN(B20/'Inputs'!$I$18)/'Inputs'!$B$14,TRUE)-NORM.S.DIST(LN(B20/'Inputs'!$J$18)/'Inputs'!$B$14,TRUE))*'Inputs'!$J$7+(NORM.S.DIST(LN(B20/'Inputs'!$J$18)/'Inputs'!$B$14,TRUE)-NORM.S.DIST(LN(B20/'Inputs'!$K$18)/'Inputs'!$B$14,TRUE))*'Inputs'!$J$8+NORM.S.DIST(LN(B20/'Inputs'!$K$18)/'Inputs'!$B$14,TRUE)*'Inputs'!$J$9)</x:f>
        <x:v>0.9907963700578989</x:v>
      </x:c>
      <x:c r="E20" s="40" t="n">
        <x:f>IF(B20&lt;'Inputs'!$B$15,0,(NORM.S.DIST(LN(B20/'Inputs'!$I$19)/'Inputs'!$B$14,TRUE)-NORM.S.DIST(LN(B20/'Inputs'!$J$19)/'Inputs'!$B$14,TRUE))*'Inputs'!$J$7+(NORM.S.DIST(LN(B20/'Inputs'!$J$19)/'Inputs'!$B$14,TRUE)-NORM.S.DIST(LN(B20/'Inputs'!$K$19)/'Inputs'!$B$14,TRUE))*'Inputs'!$J$8+NORM.S.DIST(LN(B20/'Inputs'!$K$19)/'Inputs'!$B$14,TRUE)*'Inputs'!$J$9)</x:f>
        <x:v>0.6545859289317328</x:v>
      </x:c>
      <x:c r="F20" s="28" t="n">
        <x:f>IF(B20&lt;'Inputs'!$B$15,1,1-NORM.S.DIST(LN(B20/'Inputs'!$I$18)/'Inputs'!$B$14,TRUE))</x:f>
        <x:v>0</x:v>
      </x:c>
      <x:c r="G20" s="28" t="n">
        <x:f>IF(B20&lt;'Inputs'!$B$15,0,NORM.S.DIST(LN(B20/'Inputs'!$I$18)/'Inputs'!$B$14,TRUE)-NORM.S.DIST(LN(B20/'Inputs'!$J$18)/'Inputs'!$B$14,TRUE))</x:f>
        <x:v>9.141344570195997e-9</x:v>
      </x:c>
      <x:c r="H20" s="28" t="n">
        <x:f>IF(B20&lt;'Inputs'!$B$15,0,NORM.S.DIST(LN(B20/'Inputs'!$J$18)/'Inputs'!$B$14,TRUE)-NORM.S.DIST(LN(B20/'Inputs'!$K$18)/'Inputs'!$B$14,TRUE))</x:f>
        <x:v>0.01332263850154336</x:v>
      </x:c>
      <x:c r="I20" s="28" t="n">
        <x:f>IF(B20&lt;'Inputs'!$B$15,0,NORM.S.DIST(LN(B20/'Inputs'!$K$18)/'Inputs'!$B$14,TRUE))</x:f>
        <x:v>0.9866773523571121</x:v>
      </x:c>
      <x:c r="J20" s="19" t="str">
        <x:f>IF(A20&lt;'Inputs'!$B$15,"ZERO_BELOW_25_MPS",IF(A20&gt;'Inputs'!$B$16,"ABOVE_80_MPS_TERMINAL_SATURATION_EXTRAPOLATION","SCREENING_DOMAIN"))</x:f>
        <x:v>SCREENING_DOMAIN</x:v>
      </x:c>
      <x:c r="K20" s="19" t="str">
        <x:v>Conditional equipment DR; Hazard must supply turbine intersection and speed provenance.</x:v>
      </x:c>
    </x:row>
    <x:row r="21">
      <x:c r="A21" s="19" t="n">
        <x:v>90</x:v>
      </x:c>
      <x:c r="B21" s="27" t="n">
        <x:f>A21</x:f>
        <x:v>90</x:v>
      </x:c>
      <x:c r="C21" s="40" t="n">
        <x:f>IF(B21&lt;'Inputs'!$B$15,0,(NORM.S.DIST(LN(B21/'Inputs'!$I$17)/'Inputs'!$B$14,TRUE)-NORM.S.DIST(LN(B21/'Inputs'!$J$17)/'Inputs'!$B$14,TRUE))*'Inputs'!$J$7+(NORM.S.DIST(LN(B21/'Inputs'!$J$17)/'Inputs'!$B$14,TRUE)-NORM.S.DIST(LN(B21/'Inputs'!$K$17)/'Inputs'!$B$14,TRUE))*'Inputs'!$J$8+NORM.S.DIST(LN(B21/'Inputs'!$K$17)/'Inputs'!$B$14,TRUE)*'Inputs'!$J$9)</x:f>
        <x:v>0.9999999862795087</x:v>
      </x:c>
      <x:c r="D21" s="40" t="n">
        <x:f>IF(B21&lt;'Inputs'!$B$15,0,(NORM.S.DIST(LN(B21/'Inputs'!$I$18)/'Inputs'!$B$14,TRUE)-NORM.S.DIST(LN(B21/'Inputs'!$J$18)/'Inputs'!$B$14,TRUE))*'Inputs'!$J$7+(NORM.S.DIST(LN(B21/'Inputs'!$J$18)/'Inputs'!$B$14,TRUE)-NORM.S.DIST(LN(B21/'Inputs'!$K$18)/'Inputs'!$B$14,TRUE))*'Inputs'!$J$8+NORM.S.DIST(LN(B21/'Inputs'!$K$18)/'Inputs'!$B$14,TRUE)*'Inputs'!$J$9)</x:f>
        <x:v>0.9999222234456937</x:v>
      </x:c>
      <x:c r="E21" s="40" t="n">
        <x:f>IF(B21&lt;'Inputs'!$B$15,0,(NORM.S.DIST(LN(B21/'Inputs'!$I$19)/'Inputs'!$B$14,TRUE)-NORM.S.DIST(LN(B21/'Inputs'!$J$19)/'Inputs'!$B$14,TRUE))*'Inputs'!$J$7+(NORM.S.DIST(LN(B21/'Inputs'!$J$19)/'Inputs'!$B$14,TRUE)-NORM.S.DIST(LN(B21/'Inputs'!$K$19)/'Inputs'!$B$14,TRUE))*'Inputs'!$J$8+NORM.S.DIST(LN(B21/'Inputs'!$K$19)/'Inputs'!$B$14,TRUE)*'Inputs'!$J$9)</x:f>
        <x:v>0.9513164297348049</x:v>
      </x:c>
      <x:c r="F21" s="28" t="n">
        <x:f>IF(B21&lt;'Inputs'!$B$15,1,1-NORM.S.DIST(LN(B21/'Inputs'!$I$18)/'Inputs'!$B$14,TRUE))</x:f>
        <x:v>0</x:v>
      </x:c>
      <x:c r="G21" s="28" t="n">
        <x:f>IF(B21&lt;'Inputs'!$B$15,0,NORM.S.DIST(LN(B21/'Inputs'!$I$18)/'Inputs'!$B$14,TRUE)-NORM.S.DIST(LN(B21/'Inputs'!$J$18)/'Inputs'!$B$14,TRUE))</x:f>
        <x:v>6.246114736541131e-13</x:v>
      </x:c>
      <x:c r="H21" s="28" t="n">
        <x:f>IF(B21&lt;'Inputs'!$B$15,0,NORM.S.DIST(LN(B21/'Inputs'!$J$18)/'Inputs'!$B$14,TRUE)-NORM.S.DIST(LN(B21/'Inputs'!$K$18)/'Inputs'!$B$14,TRUE))</x:f>
        <x:v>0.00011258491835486328</x:v>
      </x:c>
      <x:c r="I21" s="28" t="n">
        <x:f>IF(B21&lt;'Inputs'!$B$15,0,NORM.S.DIST(LN(B21/'Inputs'!$K$18)/'Inputs'!$B$14,TRUE))</x:f>
        <x:v>0.9998874150810205</x:v>
      </x:c>
      <x:c r="J21" s="19" t="str">
        <x:f>IF(A21&lt;'Inputs'!$B$15,"ZERO_BELOW_25_MPS",IF(A21&gt;'Inputs'!$B$16,"ABOVE_80_MPS_TERMINAL_SATURATION_EXTRAPOLATION","SCREENING_DOMAIN"))</x:f>
        <x:v>ABOVE_80_MPS_TERMINAL_SATURATION_EXTRAPOLATION</x:v>
      </x:c>
      <x:c r="K21" s="19" t="str">
        <x:v>Near-terminal extrapolation; debris and pressure not separately modeled.</x:v>
      </x:c>
    </x:row>
    <x:row r="22">
      <x:c r="A22" s="19" t="n">
        <x:v>100</x:v>
      </x:c>
      <x:c r="B22" s="27" t="n">
        <x:f>A22</x:f>
        <x:v>100</x:v>
      </x:c>
      <x:c r="C22" s="40" t="n">
        <x:f>IF(B22&lt;'Inputs'!$B$15,0,(NORM.S.DIST(LN(B22/'Inputs'!$I$17)/'Inputs'!$B$14,TRUE)-NORM.S.DIST(LN(B22/'Inputs'!$J$17)/'Inputs'!$B$14,TRUE))*'Inputs'!$J$7+(NORM.S.DIST(LN(B22/'Inputs'!$J$17)/'Inputs'!$B$14,TRUE)-NORM.S.DIST(LN(B22/'Inputs'!$K$17)/'Inputs'!$B$14,TRUE))*'Inputs'!$J$8+NORM.S.DIST(LN(B22/'Inputs'!$K$17)/'Inputs'!$B$14,TRUE)*'Inputs'!$J$9)</x:f>
        <x:v>0.9999999999966074</x:v>
      </x:c>
      <x:c r="D22" s="40" t="n">
        <x:f>IF(B22&lt;'Inputs'!$B$15,0,(NORM.S.DIST(LN(B22/'Inputs'!$I$18)/'Inputs'!$B$14,TRUE)-NORM.S.DIST(LN(B22/'Inputs'!$J$18)/'Inputs'!$B$14,TRUE))*'Inputs'!$J$7+(NORM.S.DIST(LN(B22/'Inputs'!$J$18)/'Inputs'!$B$14,TRUE)-NORM.S.DIST(LN(B22/'Inputs'!$K$18)/'Inputs'!$B$14,TRUE))*'Inputs'!$J$8+NORM.S.DIST(LN(B22/'Inputs'!$K$18)/'Inputs'!$B$14,TRUE)*'Inputs'!$J$9)</x:f>
        <x:v>0.9999998080142412</x:v>
      </x:c>
      <x:c r="E22" s="40" t="n">
        <x:f>IF(B22&lt;'Inputs'!$B$15,0,(NORM.S.DIST(LN(B22/'Inputs'!$I$19)/'Inputs'!$B$14,TRUE)-NORM.S.DIST(LN(B22/'Inputs'!$J$19)/'Inputs'!$B$14,TRUE))*'Inputs'!$J$7+(NORM.S.DIST(LN(B22/'Inputs'!$J$19)/'Inputs'!$B$14,TRUE)-NORM.S.DIST(LN(B22/'Inputs'!$K$19)/'Inputs'!$B$14,TRUE))*'Inputs'!$J$8+NORM.S.DIST(LN(B22/'Inputs'!$K$19)/'Inputs'!$B$14,TRUE)*'Inputs'!$J$9)</x:f>
        <x:v>0.9981754248677209</x:v>
      </x:c>
      <x:c r="F22" s="28" t="n">
        <x:f>IF(B22&lt;'Inputs'!$B$15,1,1-NORM.S.DIST(LN(B22/'Inputs'!$I$18)/'Inputs'!$B$14,TRUE))</x:f>
        <x:v>0</x:v>
      </x:c>
      <x:c r="G22" s="28" t="n">
        <x:f>IF(B22&lt;'Inputs'!$B$15,0,NORM.S.DIST(LN(B22/'Inputs'!$I$18)/'Inputs'!$B$14,TRUE)-NORM.S.DIST(LN(B22/'Inputs'!$J$18)/'Inputs'!$B$14,TRUE))</x:f>
        <x:v>0</x:v>
      </x:c>
      <x:c r="H22" s="28" t="n">
        <x:f>IF(B22&lt;'Inputs'!$B$15,0,NORM.S.DIST(LN(B22/'Inputs'!$J$18)/'Inputs'!$B$14,TRUE)-NORM.S.DIST(LN(B22/'Inputs'!$K$18)/'Inputs'!$B$14,TRUE))</x:f>
        <x:v>2.7790767220814416e-7</x:v>
      </x:c>
      <x:c r="I22" s="28" t="n">
        <x:f>IF(B22&lt;'Inputs'!$B$15,0,NORM.S.DIST(LN(B22/'Inputs'!$K$18)/'Inputs'!$B$14,TRUE))</x:f>
        <x:v>0.9999997220923278</x:v>
      </x:c>
      <x:c r="J22" s="19" t="str">
        <x:f>IF(A22&lt;'Inputs'!$B$15,"ZERO_BELOW_25_MPS",IF(A22&gt;'Inputs'!$B$16,"ABOVE_80_MPS_TERMINAL_SATURATION_EXTRAPOLATION","SCREENING_DOMAIN"))</x:f>
        <x:v>ABOVE_80_MPS_TERMINAL_SATURATION_EXTRAPOLATION</x:v>
      </x:c>
      <x:c r="K22" s="19" t="str">
        <x:v>Near-terminal extrapolation; debris and pressure not separately modeled.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  <x:col min="9" max="9" width="20" hidden="0" customWidth="1"/>
  </x:cols>
  <x:sheetData>
    <x:row r="1" ht="30" customHeight="1">
      <x:c r="A1" s="3" t="str">
        <x:v>Old vs new — diagnostic reproduction on non-equivalent denominators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Never calibrate proposed v2 to preserve legacy EAL/PML; v1 physical aggregate, v2 equipment DR, and Hazard whole-asset hardcodes are not directly interchangeable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5" t="str">
        <x:v>Speed m/s</x:v>
      </x:c>
      <x:c r="B4" s="15" t="str">
        <x:v>Current v1 straight physical-base aggregate</x:v>
      </x:c>
      <x:c r="C4" s="15" t="str">
        <x:v>Current v1 tornado physical-base aggregate</x:v>
      </x:c>
      <x:c r="D4" s="15" t="str">
        <x:v>Proposed v2 SLC turbine-equipment DR</x:v>
      </x:c>
      <x:c r="E4" s="15" t="str">
        <x:v>Proposed v2 tornado turbine-equipment DR</x:v>
      </x:c>
      <x:c r="F4" s="15" t="str">
        <x:v>Hazard legacy straight whole-asset DR</x:v>
      </x:c>
      <x:c r="G4" s="15" t="str">
        <x:v>Hazard legacy tornado whole-asset DR</x:v>
      </x:c>
      <x:c r="H4" s="15" t="str">
        <x:v>Comparison rule</x:v>
      </x:c>
      <x:c r="I4" s="15" t="str">
        <x:v>Status</x:v>
      </x:c>
    </x:row>
    <x:row r="5">
      <x:c r="A5" s="19" t="n">
        <x:v>45</x:v>
      </x:c>
      <x:c r="B5" s="41" t="n">
        <x:f>'Inputs'!$B$35*'Inputs'!$C$35/(1+EXP(-'Inputs'!$E$35*(A5/'Inputs'!$B$8-'Inputs'!$D$35)))+'Inputs'!$B$36*'Inputs'!$C$36/(1+EXP(-'Inputs'!$E$36*(A5/'Inputs'!$B$8-'Inputs'!$D$36)))+'Inputs'!$B$37*'Inputs'!$C$37/(1+EXP(-'Inputs'!$E$37*(A5/'Inputs'!$B$8-'Inputs'!$D$37)))+'Inputs'!$B$38*'Inputs'!$C$38/(1+EXP(-'Inputs'!$E$38*(A5/'Inputs'!$B$8-'Inputs'!$D$38)))</x:f>
        <x:v>0.00048745648626042493</x:v>
      </x:c>
      <x:c r="C5" s="41" t="n">
        <x:f>'Inputs'!$B$35*'Inputs'!$C$35/(1+EXP(-'Inputs'!$E$35*(A5/'Inputs'!$B$8-('Inputs'!$D$35+'Inputs'!$F$35))))+'Inputs'!$B$36*'Inputs'!$C$36/(1+EXP(-'Inputs'!$E$36*(A5/'Inputs'!$B$8-('Inputs'!$D$36+'Inputs'!$F$36))))+'Inputs'!$B$37*'Inputs'!$C$37/(1+EXP(-'Inputs'!$E$37*(A5/'Inputs'!$B$8-('Inputs'!$D$37+'Inputs'!$F$37))))+'Inputs'!$B$38*'Inputs'!$C$38/(1+EXP(-'Inputs'!$E$38*(A5/'Inputs'!$B$8-('Inputs'!$D$38+'Inputs'!$F$38))))</x:f>
        <x:v>0.0014304612008337683</x:v>
      </x:c>
      <x:c r="D5" s="28" t="n">
        <x:f>IF((A5/'Inputs'!$B$8)&lt;'Inputs'!$B$10,0,(NORM.S.DIST(LN((A5/'Inputs'!$B$8)/'Inputs'!$I$14)/'Inputs'!$B$9,TRUE)-NORM.S.DIST(LN((A5/'Inputs'!$B$8)/'Inputs'!$J$14)/'Inputs'!$B$9,TRUE))*'Inputs'!$J$7+(NORM.S.DIST(LN((A5/'Inputs'!$B$8)/'Inputs'!$J$14)/'Inputs'!$B$9,TRUE)-NORM.S.DIST(LN((A5/'Inputs'!$B$8)/'Inputs'!$K$14)/'Inputs'!$B$9,TRUE))*'Inputs'!$J$8+NORM.S.DIST(LN((A5/'Inputs'!$B$8)/'Inputs'!$K$14)/'Inputs'!$B$9,TRUE)*'Inputs'!$J$9)</x:f>
        <x:v>0.0006423745949634483</x:v>
      </x:c>
      <x:c r="E5" s="28" t="n">
        <x:f>IF(A5&lt;'Inputs'!$B$15,0,(NORM.S.DIST(LN(A5/'Inputs'!$I$18)/'Inputs'!$B$14,TRUE)-NORM.S.DIST(LN(A5/'Inputs'!$J$18)/'Inputs'!$B$14,TRUE))*'Inputs'!$J$7+(NORM.S.DIST(LN(A5/'Inputs'!$J$18)/'Inputs'!$B$14,TRUE)-NORM.S.DIST(LN(A5/'Inputs'!$K$18)/'Inputs'!$B$14,TRUE))*'Inputs'!$J$8+NORM.S.DIST(LN(A5/'Inputs'!$K$18)/'Inputs'!$B$14,TRUE)*'Inputs'!$J$9)</x:f>
        <x:v>0.029387016548682404</x:v>
      </x:c>
      <x:c r="F5" s="42" t="n">
        <x:f>'Inputs'!$C$43/(1+EXP(-'Inputs'!$E$43*(A5-'Inputs'!$D$43)))+'Inputs'!$C$44/(1+EXP(-'Inputs'!$E$44*(A5-'Inputs'!$D$44)))+'Inputs'!$C$45/(1+EXP(-'Inputs'!$E$45*(A5-'Inputs'!$D$45)))+'Inputs'!$C$46/(1+EXP(-'Inputs'!$E$46*(A5-'Inputs'!$D$46)))</x:f>
        <x:v>0.004644435758539374</x:v>
      </x:c>
      <x:c r="G5" s="42" t="n">
        <x:f>'Inputs'!$C$47/(1+EXP(-'Inputs'!$E$47*(A5-'Inputs'!$D$47)))+'Inputs'!$C$48/(1+EXP(-'Inputs'!$E$48*(A5-'Inputs'!$D$48)))+'Inputs'!$C$49/(1+EXP(-'Inputs'!$E$49*(A5-'Inputs'!$D$49)))+'Inputs'!$C$50/(1+EXP(-'Inputs'!$E$50*(A5-'Inputs'!$D$50)))+'Inputs'!$C$51/(1+EXP(-'Inputs'!$E$51*(A5-'Inputs'!$D$51)))+'Inputs'!$C$52/(1+EXP(-'Inputs'!$E$52*(A5-'Inputs'!$D$52)))+'Inputs'!$C$53/(1+EXP(-'Inputs'!$E$53*(A5-'Inputs'!$D$53)))</x:f>
        <x:v>0.06596848572151837</x:v>
      </x:c>
      <x:c r="H5" s="19" t="str">
        <x:v>Compare shape/onset only. Convert v2 using explicit equipment value and turbine exposure; do not compare as equal %TIV.</x:v>
      </x:c>
      <x:c r="I5" s="19" t="str">
        <x:v>DIAGNOSTIC_ONLY</x:v>
      </x:c>
    </x:row>
    <x:row r="6">
      <x:c r="A6" s="19" t="n">
        <x:v>50</x:v>
      </x:c>
      <x:c r="B6" s="41" t="n">
        <x:f>'Inputs'!$B$35*'Inputs'!$C$35/(1+EXP(-'Inputs'!$E$35*(A6/'Inputs'!$B$8-'Inputs'!$D$35)))+'Inputs'!$B$36*'Inputs'!$C$36/(1+EXP(-'Inputs'!$E$36*(A6/'Inputs'!$B$8-'Inputs'!$D$36)))+'Inputs'!$B$37*'Inputs'!$C$37/(1+EXP(-'Inputs'!$E$37*(A6/'Inputs'!$B$8-'Inputs'!$D$37)))+'Inputs'!$B$38*'Inputs'!$C$38/(1+EXP(-'Inputs'!$E$38*(A6/'Inputs'!$B$8-'Inputs'!$D$38)))</x:f>
        <x:v>0.001178125388664079</x:v>
      </x:c>
      <x:c r="C6" s="41" t="n">
        <x:f>'Inputs'!$B$35*'Inputs'!$C$35/(1+EXP(-'Inputs'!$E$35*(A6/'Inputs'!$B$8-('Inputs'!$D$35+'Inputs'!$F$35))))+'Inputs'!$B$36*'Inputs'!$C$36/(1+EXP(-'Inputs'!$E$36*(A6/'Inputs'!$B$8-('Inputs'!$D$36+'Inputs'!$F$36))))+'Inputs'!$B$37*'Inputs'!$C$37/(1+EXP(-'Inputs'!$E$37*(A6/'Inputs'!$B$8-('Inputs'!$D$37+'Inputs'!$F$37))))+'Inputs'!$B$38*'Inputs'!$C$38/(1+EXP(-'Inputs'!$E$38*(A6/'Inputs'!$B$8-('Inputs'!$D$38+'Inputs'!$F$38))))</x:f>
        <x:v>0.003477883899235791</x:v>
      </x:c>
      <x:c r="D6" s="28" t="n">
        <x:f>IF((A6/'Inputs'!$B$8)&lt;'Inputs'!$B$10,0,(NORM.S.DIST(LN((A6/'Inputs'!$B$8)/'Inputs'!$I$14)/'Inputs'!$B$9,TRUE)-NORM.S.DIST(LN((A6/'Inputs'!$B$8)/'Inputs'!$J$14)/'Inputs'!$B$9,TRUE))*'Inputs'!$J$7+(NORM.S.DIST(LN((A6/'Inputs'!$B$8)/'Inputs'!$J$14)/'Inputs'!$B$9,TRUE)-NORM.S.DIST(LN((A6/'Inputs'!$B$8)/'Inputs'!$K$14)/'Inputs'!$B$9,TRUE))*'Inputs'!$J$8+NORM.S.DIST(LN((A6/'Inputs'!$B$8)/'Inputs'!$K$14)/'Inputs'!$B$9,TRUE)*'Inputs'!$J$9)</x:f>
        <x:v>0.006794964185411033</x:v>
      </x:c>
      <x:c r="E6" s="28" t="n">
        <x:f>IF(A6&lt;'Inputs'!$B$15,0,(NORM.S.DIST(LN(A6/'Inputs'!$I$18)/'Inputs'!$B$14,TRUE)-NORM.S.DIST(LN(A6/'Inputs'!$J$18)/'Inputs'!$B$14,TRUE))*'Inputs'!$J$7+(NORM.S.DIST(LN(A6/'Inputs'!$J$18)/'Inputs'!$B$14,TRUE)-NORM.S.DIST(LN(A6/'Inputs'!$K$18)/'Inputs'!$B$14,TRUE))*'Inputs'!$J$8+NORM.S.DIST(LN(A6/'Inputs'!$K$18)/'Inputs'!$B$14,TRUE)*'Inputs'!$J$9)</x:f>
        <x:v>0.13158131726888841</x:v>
      </x:c>
      <x:c r="F6" s="42" t="n">
        <x:f>'Inputs'!$C$43/(1+EXP(-'Inputs'!$E$43*(A6-'Inputs'!$D$43)))+'Inputs'!$C$44/(1+EXP(-'Inputs'!$E$44*(A6-'Inputs'!$D$44)))+'Inputs'!$C$45/(1+EXP(-'Inputs'!$E$45*(A6-'Inputs'!$D$45)))+'Inputs'!$C$46/(1+EXP(-'Inputs'!$E$46*(A6-'Inputs'!$D$46)))</x:f>
        <x:v>0.01945626006022516</x:v>
      </x:c>
      <x:c r="G6" s="42" t="n">
        <x:f>'Inputs'!$C$47/(1+EXP(-'Inputs'!$E$47*(A6-'Inputs'!$D$47)))+'Inputs'!$C$48/(1+EXP(-'Inputs'!$E$48*(A6-'Inputs'!$D$48)))+'Inputs'!$C$49/(1+EXP(-'Inputs'!$E$49*(A6-'Inputs'!$D$49)))+'Inputs'!$C$50/(1+EXP(-'Inputs'!$E$50*(A6-'Inputs'!$D$50)))+'Inputs'!$C$51/(1+EXP(-'Inputs'!$E$51*(A6-'Inputs'!$D$51)))+'Inputs'!$C$52/(1+EXP(-'Inputs'!$E$52*(A6-'Inputs'!$D$52)))+'Inputs'!$C$53/(1+EXP(-'Inputs'!$E$53*(A6-'Inputs'!$D$53)))</x:f>
        <x:v>0.17672865834116078</x:v>
      </x:c>
      <x:c r="H6" s="19" t="str">
        <x:v>Compare shape/onset only. Convert v2 using explicit equipment value and turbine exposure; do not compare as equal %TIV.</x:v>
      </x:c>
      <x:c r="I6" s="19" t="str">
        <x:v>DIAGNOSTIC_ONLY</x:v>
      </x:c>
    </x:row>
    <x:row r="7">
      <x:c r="A7" s="19" t="n">
        <x:v>55</x:v>
      </x:c>
      <x:c r="B7" s="41" t="n">
        <x:f>'Inputs'!$B$35*'Inputs'!$C$35/(1+EXP(-'Inputs'!$E$35*(A7/'Inputs'!$B$8-'Inputs'!$D$35)))+'Inputs'!$B$36*'Inputs'!$C$36/(1+EXP(-'Inputs'!$E$36*(A7/'Inputs'!$B$8-'Inputs'!$D$36)))+'Inputs'!$B$37*'Inputs'!$C$37/(1+EXP(-'Inputs'!$E$37*(A7/'Inputs'!$B$8-'Inputs'!$D$37)))+'Inputs'!$B$38*'Inputs'!$C$38/(1+EXP(-'Inputs'!$E$38*(A7/'Inputs'!$B$8-'Inputs'!$D$38)))</x:f>
        <x:v>0.002858102636469073</x:v>
      </x:c>
      <x:c r="C7" s="41" t="n">
        <x:f>'Inputs'!$B$35*'Inputs'!$C$35/(1+EXP(-'Inputs'!$E$35*(A7/'Inputs'!$B$8-('Inputs'!$D$35+'Inputs'!$F$35))))+'Inputs'!$B$36*'Inputs'!$C$36/(1+EXP(-'Inputs'!$E$36*(A7/'Inputs'!$B$8-('Inputs'!$D$36+'Inputs'!$F$36))))+'Inputs'!$B$37*'Inputs'!$C$37/(1+EXP(-'Inputs'!$E$37*(A7/'Inputs'!$B$8-('Inputs'!$D$37+'Inputs'!$F$37))))+'Inputs'!$B$38*'Inputs'!$C$38/(1+EXP(-'Inputs'!$E$38*(A7/'Inputs'!$B$8-('Inputs'!$D$38+'Inputs'!$F$38))))</x:f>
        <x:v>0.008462321791999027</x:v>
      </x:c>
      <x:c r="D7" s="28" t="n">
        <x:f>IF((A7/'Inputs'!$B$8)&lt;'Inputs'!$B$10,0,(NORM.S.DIST(LN((A7/'Inputs'!$B$8)/'Inputs'!$I$14)/'Inputs'!$B$9,TRUE)-NORM.S.DIST(LN((A7/'Inputs'!$B$8)/'Inputs'!$J$14)/'Inputs'!$B$9,TRUE))*'Inputs'!$J$7+(NORM.S.DIST(LN((A7/'Inputs'!$B$8)/'Inputs'!$J$14)/'Inputs'!$B$9,TRUE)-NORM.S.DIST(LN((A7/'Inputs'!$B$8)/'Inputs'!$K$14)/'Inputs'!$B$9,TRUE))*'Inputs'!$J$8+NORM.S.DIST(LN((A7/'Inputs'!$B$8)/'Inputs'!$K$14)/'Inputs'!$B$9,TRUE)*'Inputs'!$J$9)</x:f>
        <x:v>0.03754697570652779</x:v>
      </x:c>
      <x:c r="E7" s="28" t="n">
        <x:f>IF(A7&lt;'Inputs'!$B$15,0,(NORM.S.DIST(LN(A7/'Inputs'!$I$18)/'Inputs'!$B$14,TRUE)-NORM.S.DIST(LN(A7/'Inputs'!$J$18)/'Inputs'!$B$14,TRUE))*'Inputs'!$J$7+(NORM.S.DIST(LN(A7/'Inputs'!$J$18)/'Inputs'!$B$14,TRUE)-NORM.S.DIST(LN(A7/'Inputs'!$K$18)/'Inputs'!$B$14,TRUE))*'Inputs'!$J$8+NORM.S.DIST(LN(A7/'Inputs'!$K$18)/'Inputs'!$B$14,TRUE)*'Inputs'!$J$9)</x:f>
        <x:v>0.2625684053861153</x:v>
      </x:c>
      <x:c r="F7" s="42" t="n">
        <x:f>'Inputs'!$C$43/(1+EXP(-'Inputs'!$E$43*(A7-'Inputs'!$D$43)))+'Inputs'!$C$44/(1+EXP(-'Inputs'!$E$44*(A7-'Inputs'!$D$44)))+'Inputs'!$C$45/(1+EXP(-'Inputs'!$E$45*(A7-'Inputs'!$D$45)))+'Inputs'!$C$46/(1+EXP(-'Inputs'!$E$46*(A7-'Inputs'!$D$46)))</x:f>
        <x:v>0.074472146768655</x:v>
      </x:c>
      <x:c r="G7" s="42" t="n">
        <x:f>'Inputs'!$C$47/(1+EXP(-'Inputs'!$E$47*(A7-'Inputs'!$D$47)))+'Inputs'!$C$48/(1+EXP(-'Inputs'!$E$48*(A7-'Inputs'!$D$48)))+'Inputs'!$C$49/(1+EXP(-'Inputs'!$E$49*(A7-'Inputs'!$D$49)))+'Inputs'!$C$50/(1+EXP(-'Inputs'!$E$50*(A7-'Inputs'!$D$50)))+'Inputs'!$C$51/(1+EXP(-'Inputs'!$E$51*(A7-'Inputs'!$D$51)))+'Inputs'!$C$52/(1+EXP(-'Inputs'!$E$52*(A7-'Inputs'!$D$52)))+'Inputs'!$C$53/(1+EXP(-'Inputs'!$E$53*(A7-'Inputs'!$D$53)))</x:f>
        <x:v>0.36156524042068</x:v>
      </x:c>
      <x:c r="H7" s="19" t="str">
        <x:v>Compare shape/onset only. Convert v2 using explicit equipment value and turbine exposure; do not compare as equal %TIV.</x:v>
      </x:c>
      <x:c r="I7" s="19" t="str">
        <x:v>DIAGNOSTIC_ONLY</x:v>
      </x:c>
    </x:row>
    <x:row r="8">
      <x:c r="A8" s="19" t="n">
        <x:v>59.5</x:v>
      </x:c>
      <x:c r="B8" s="41" t="n">
        <x:f>'Inputs'!$B$35*'Inputs'!$C$35/(1+EXP(-'Inputs'!$E$35*(A8/'Inputs'!$B$8-'Inputs'!$D$35)))+'Inputs'!$B$36*'Inputs'!$C$36/(1+EXP(-'Inputs'!$E$36*(A8/'Inputs'!$B$8-'Inputs'!$D$36)))+'Inputs'!$B$37*'Inputs'!$C$37/(1+EXP(-'Inputs'!$E$37*(A8/'Inputs'!$B$8-'Inputs'!$D$37)))+'Inputs'!$B$38*'Inputs'!$C$38/(1+EXP(-'Inputs'!$E$38*(A8/'Inputs'!$B$8-'Inputs'!$D$38)))</x:f>
        <x:v>0.0063555834957406765</x:v>
      </x:c>
      <x:c r="C8" s="41" t="n">
        <x:f>'Inputs'!$B$35*'Inputs'!$C$35/(1+EXP(-'Inputs'!$E$35*(A8/'Inputs'!$B$8-('Inputs'!$D$35+'Inputs'!$F$35))))+'Inputs'!$B$36*'Inputs'!$C$36/(1+EXP(-'Inputs'!$E$36*(A8/'Inputs'!$B$8-('Inputs'!$D$36+'Inputs'!$F$36))))+'Inputs'!$B$37*'Inputs'!$C$37/(1+EXP(-'Inputs'!$E$37*(A8/'Inputs'!$B$8-('Inputs'!$D$37+'Inputs'!$F$37))))+'Inputs'!$B$38*'Inputs'!$C$38/(1+EXP(-'Inputs'!$E$38*(A8/'Inputs'!$B$8-('Inputs'!$D$38+'Inputs'!$F$38))))</x:f>
        <x:v>0.01874946313082783</x:v>
      </x:c>
      <x:c r="D8" s="28" t="n">
        <x:f>IF((A8/'Inputs'!$B$8)&lt;'Inputs'!$B$10,0,(NORM.S.DIST(LN((A8/'Inputs'!$B$8)/'Inputs'!$I$14)/'Inputs'!$B$9,TRUE)-NORM.S.DIST(LN((A8/'Inputs'!$B$8)/'Inputs'!$J$14)/'Inputs'!$B$9,TRUE))*'Inputs'!$J$7+(NORM.S.DIST(LN((A8/'Inputs'!$B$8)/'Inputs'!$J$14)/'Inputs'!$B$9,TRUE)-NORM.S.DIST(LN((A8/'Inputs'!$B$8)/'Inputs'!$K$14)/'Inputs'!$B$9,TRUE))*'Inputs'!$J$8+NORM.S.DIST(LN((A8/'Inputs'!$B$8)/'Inputs'!$K$14)/'Inputs'!$B$9,TRUE)*'Inputs'!$J$9)</x:f>
        <x:v>0.10617184284828451</x:v>
      </x:c>
      <x:c r="E8" s="28" t="n">
        <x:f>IF(A8&lt;'Inputs'!$B$15,0,(NORM.S.DIST(LN(A8/'Inputs'!$I$18)/'Inputs'!$B$14,TRUE)-NORM.S.DIST(LN(A8/'Inputs'!$J$18)/'Inputs'!$B$14,TRUE))*'Inputs'!$J$7+(NORM.S.DIST(LN(A8/'Inputs'!$J$18)/'Inputs'!$B$14,TRUE)-NORM.S.DIST(LN(A8/'Inputs'!$K$18)/'Inputs'!$B$14,TRUE))*'Inputs'!$J$8+NORM.S.DIST(LN(A8/'Inputs'!$K$18)/'Inputs'!$B$14,TRUE)*'Inputs'!$J$9)</x:f>
        <x:v>0.34875469488289684</x:v>
      </x:c>
      <x:c r="F8" s="42" t="n">
        <x:f>'Inputs'!$C$43/(1+EXP(-'Inputs'!$E$43*(A8-'Inputs'!$D$43)))+'Inputs'!$C$44/(1+EXP(-'Inputs'!$E$44*(A8-'Inputs'!$D$44)))+'Inputs'!$C$45/(1+EXP(-'Inputs'!$E$45*(A8-'Inputs'!$D$45)))+'Inputs'!$C$46/(1+EXP(-'Inputs'!$E$46*(A8-'Inputs'!$D$46)))</x:f>
        <x:v>0.1993001043372536</x:v>
      </x:c>
      <x:c r="G8" s="42" t="n">
        <x:f>'Inputs'!$C$47/(1+EXP(-'Inputs'!$E$47*(A8-'Inputs'!$D$47)))+'Inputs'!$C$48/(1+EXP(-'Inputs'!$E$48*(A8-'Inputs'!$D$48)))+'Inputs'!$C$49/(1+EXP(-'Inputs'!$E$49*(A8-'Inputs'!$D$49)))+'Inputs'!$C$50/(1+EXP(-'Inputs'!$E$50*(A8-'Inputs'!$D$50)))+'Inputs'!$C$51/(1+EXP(-'Inputs'!$E$51*(A8-'Inputs'!$D$51)))+'Inputs'!$C$52/(1+EXP(-'Inputs'!$E$52*(A8-'Inputs'!$D$52)))+'Inputs'!$C$53/(1+EXP(-'Inputs'!$E$53*(A8-'Inputs'!$D$53)))</x:f>
        <x:v>0.5414786097592469</x:v>
      </x:c>
      <x:c r="H8" s="19" t="str">
        <x:v>Compare shape/onset only. Convert v2 using explicit equipment value and turbine exposure; do not compare as equal %TIV.</x:v>
      </x:c>
      <x:c r="I8" s="19" t="str">
        <x:v>DIAGNOSTIC_ONLY</x:v>
      </x:c>
    </x:row>
    <x:row r="9">
      <x:c r="A9" s="19" t="n">
        <x:v>65</x:v>
      </x:c>
      <x:c r="B9" s="41" t="n">
        <x:f>'Inputs'!$B$35*'Inputs'!$C$35/(1+EXP(-'Inputs'!$E$35*(A9/'Inputs'!$B$8-'Inputs'!$D$35)))+'Inputs'!$B$36*'Inputs'!$C$36/(1+EXP(-'Inputs'!$E$36*(A9/'Inputs'!$B$8-'Inputs'!$D$36)))+'Inputs'!$B$37*'Inputs'!$C$37/(1+EXP(-'Inputs'!$E$37*(A9/'Inputs'!$B$8-'Inputs'!$D$37)))+'Inputs'!$B$38*'Inputs'!$C$38/(1+EXP(-'Inputs'!$E$38*(A9/'Inputs'!$B$8-'Inputs'!$D$38)))</x:f>
        <x:v>0.01681298030265581</x:v>
      </x:c>
      <x:c r="C9" s="41" t="n">
        <x:f>'Inputs'!$B$35*'Inputs'!$C$35/(1+EXP(-'Inputs'!$E$35*(A9/'Inputs'!$B$8-('Inputs'!$D$35+'Inputs'!$F$35))))+'Inputs'!$B$36*'Inputs'!$C$36/(1+EXP(-'Inputs'!$E$36*(A9/'Inputs'!$B$8-('Inputs'!$D$36+'Inputs'!$F$36))))+'Inputs'!$B$37*'Inputs'!$C$37/(1+EXP(-'Inputs'!$E$37*(A9/'Inputs'!$B$8-('Inputs'!$D$37+'Inputs'!$F$37))))+'Inputs'!$B$38*'Inputs'!$C$38/(1+EXP(-'Inputs'!$E$38*(A9/'Inputs'!$B$8-('Inputs'!$D$38+'Inputs'!$F$38))))</x:f>
        <x:v>0.04840092373034763</x:v>
      </x:c>
      <x:c r="D9" s="28" t="n">
        <x:f>IF((A9/'Inputs'!$B$8)&lt;'Inputs'!$B$10,0,(NORM.S.DIST(LN((A9/'Inputs'!$B$8)/'Inputs'!$I$14)/'Inputs'!$B$9,TRUE)-NORM.S.DIST(LN((A9/'Inputs'!$B$8)/'Inputs'!$J$14)/'Inputs'!$B$9,TRUE))*'Inputs'!$J$7+(NORM.S.DIST(LN((A9/'Inputs'!$B$8)/'Inputs'!$J$14)/'Inputs'!$B$9,TRUE)-NORM.S.DIST(LN((A9/'Inputs'!$B$8)/'Inputs'!$K$14)/'Inputs'!$B$9,TRUE))*'Inputs'!$J$8+NORM.S.DIST(LN((A9/'Inputs'!$B$8)/'Inputs'!$K$14)/'Inputs'!$B$9,TRUE)*'Inputs'!$J$9)</x:f>
        <x:v>0.23432326485177202</x:v>
      </x:c>
      <x:c r="E9" s="28" t="n">
        <x:f>IF(A9&lt;'Inputs'!$B$15,0,(NORM.S.DIST(LN(A9/'Inputs'!$I$18)/'Inputs'!$B$14,TRUE)-NORM.S.DIST(LN(A9/'Inputs'!$J$18)/'Inputs'!$B$14,TRUE))*'Inputs'!$J$7+(NORM.S.DIST(LN(A9/'Inputs'!$J$18)/'Inputs'!$B$14,TRUE)-NORM.S.DIST(LN(A9/'Inputs'!$K$18)/'Inputs'!$B$14,TRUE))*'Inputs'!$J$8+NORM.S.DIST(LN(A9/'Inputs'!$K$18)/'Inputs'!$B$14,TRUE)*'Inputs'!$J$9)</x:f>
        <x:v>0.5522684848098537</x:v>
      </x:c>
      <x:c r="F9" s="42" t="n">
        <x:f>'Inputs'!$C$43/(1+EXP(-'Inputs'!$E$43*(A9-'Inputs'!$D$43)))+'Inputs'!$C$44/(1+EXP(-'Inputs'!$E$44*(A9-'Inputs'!$D$44)))+'Inputs'!$C$45/(1+EXP(-'Inputs'!$E$45*(A9-'Inputs'!$D$45)))+'Inputs'!$C$46/(1+EXP(-'Inputs'!$E$46*(A9-'Inputs'!$D$46)))</x:f>
        <x:v>0.41708568637786836</x:v>
      </x:c>
      <x:c r="G9" s="42" t="n">
        <x:f>'Inputs'!$C$47/(1+EXP(-'Inputs'!$E$47*(A9-'Inputs'!$D$47)))+'Inputs'!$C$48/(1+EXP(-'Inputs'!$E$48*(A9-'Inputs'!$D$48)))+'Inputs'!$C$49/(1+EXP(-'Inputs'!$E$49*(A9-'Inputs'!$D$49)))+'Inputs'!$C$50/(1+EXP(-'Inputs'!$E$50*(A9-'Inputs'!$D$50)))+'Inputs'!$C$51/(1+EXP(-'Inputs'!$E$51*(A9-'Inputs'!$D$51)))+'Inputs'!$C$52/(1+EXP(-'Inputs'!$E$52*(A9-'Inputs'!$D$52)))+'Inputs'!$C$53/(1+EXP(-'Inputs'!$E$53*(A9-'Inputs'!$D$53)))</x:f>
        <x:v>0.7150788513473314</x:v>
      </x:c>
      <x:c r="H9" s="19" t="str">
        <x:v>Compare shape/onset only. Convert v2 using explicit equipment value and turbine exposure; do not compare as equal %TIV.</x:v>
      </x:c>
      <x:c r="I9" s="19" t="str">
        <x:v>DIAGNOSTIC_ONLY</x:v>
      </x:c>
    </x:row>
    <x:row r="10">
      <x:c r="A10" s="19" t="n">
        <x:v>67</x:v>
      </x:c>
      <x:c r="B10" s="41" t="n">
        <x:f>'Inputs'!$B$35*'Inputs'!$C$35/(1+EXP(-'Inputs'!$E$35*(A10/'Inputs'!$B$8-'Inputs'!$D$35)))+'Inputs'!$B$36*'Inputs'!$C$36/(1+EXP(-'Inputs'!$E$36*(A10/'Inputs'!$B$8-'Inputs'!$D$36)))+'Inputs'!$B$37*'Inputs'!$C$37/(1+EXP(-'Inputs'!$E$37*(A10/'Inputs'!$B$8-'Inputs'!$D$37)))+'Inputs'!$B$38*'Inputs'!$C$38/(1+EXP(-'Inputs'!$E$38*(A10/'Inputs'!$B$8-'Inputs'!$D$38)))</x:f>
        <x:v>0.02385596856895235</x:v>
      </x:c>
      <x:c r="C10" s="41" t="n">
        <x:f>'Inputs'!$B$35*'Inputs'!$C$35/(1+EXP(-'Inputs'!$E$35*(A10/'Inputs'!$B$8-('Inputs'!$D$35+'Inputs'!$F$35))))+'Inputs'!$B$36*'Inputs'!$C$36/(1+EXP(-'Inputs'!$E$36*(A10/'Inputs'!$B$8-('Inputs'!$D$36+'Inputs'!$F$36))))+'Inputs'!$B$37*'Inputs'!$C$37/(1+EXP(-'Inputs'!$E$37*(A10/'Inputs'!$B$8-('Inputs'!$D$37+'Inputs'!$F$37))))+'Inputs'!$B$38*'Inputs'!$C$38/(1+EXP(-'Inputs'!$E$38*(A10/'Inputs'!$B$8-('Inputs'!$D$38+'Inputs'!$F$38))))</x:f>
        <x:v>0.06736806585186082</x:v>
      </x:c>
      <x:c r="D10" s="28" t="n">
        <x:f>IF((A10/'Inputs'!$B$8)&lt;'Inputs'!$B$10,0,(NORM.S.DIST(LN((A10/'Inputs'!$B$8)/'Inputs'!$I$14)/'Inputs'!$B$9,TRUE)-NORM.S.DIST(LN((A10/'Inputs'!$B$8)/'Inputs'!$J$14)/'Inputs'!$B$9,TRUE))*'Inputs'!$J$7+(NORM.S.DIST(LN((A10/'Inputs'!$B$8)/'Inputs'!$J$14)/'Inputs'!$B$9,TRUE)-NORM.S.DIST(LN((A10/'Inputs'!$B$8)/'Inputs'!$K$14)/'Inputs'!$B$9,TRUE))*'Inputs'!$J$8+NORM.S.DIST(LN((A10/'Inputs'!$B$8)/'Inputs'!$K$14)/'Inputs'!$B$9,TRUE)*'Inputs'!$J$9)</x:f>
        <x:v>0.2891443017815562</x:v>
      </x:c>
      <x:c r="E10" s="28" t="n">
        <x:f>IF(A10&lt;'Inputs'!$B$15,0,(NORM.S.DIST(LN(A10/'Inputs'!$I$18)/'Inputs'!$B$14,TRUE)-NORM.S.DIST(LN(A10/'Inputs'!$J$18)/'Inputs'!$B$14,TRUE))*'Inputs'!$J$7+(NORM.S.DIST(LN(A10/'Inputs'!$J$18)/'Inputs'!$B$14,TRUE)-NORM.S.DIST(LN(A10/'Inputs'!$K$18)/'Inputs'!$B$14,TRUE))*'Inputs'!$J$8+NORM.S.DIST(LN(A10/'Inputs'!$K$18)/'Inputs'!$B$14,TRUE)*'Inputs'!$J$9)</x:f>
        <x:v>0.6544909016323985</x:v>
      </x:c>
      <x:c r="F10" s="42" t="n">
        <x:f>'Inputs'!$C$43/(1+EXP(-'Inputs'!$E$43*(A10-'Inputs'!$D$43)))+'Inputs'!$C$44/(1+EXP(-'Inputs'!$E$44*(A10-'Inputs'!$D$44)))+'Inputs'!$C$45/(1+EXP(-'Inputs'!$E$45*(A10-'Inputs'!$D$45)))+'Inputs'!$C$46/(1+EXP(-'Inputs'!$E$46*(A10-'Inputs'!$D$46)))</x:f>
        <x:v>0.4862979529268796</x:v>
      </x:c>
      <x:c r="G10" s="42" t="n">
        <x:f>'Inputs'!$C$47/(1+EXP(-'Inputs'!$E$47*(A10-'Inputs'!$D$47)))+'Inputs'!$C$48/(1+EXP(-'Inputs'!$E$48*(A10-'Inputs'!$D$48)))+'Inputs'!$C$49/(1+EXP(-'Inputs'!$E$49*(A10-'Inputs'!$D$49)))+'Inputs'!$C$50/(1+EXP(-'Inputs'!$E$50*(A10-'Inputs'!$D$50)))+'Inputs'!$C$51/(1+EXP(-'Inputs'!$E$51*(A10-'Inputs'!$D$51)))+'Inputs'!$C$52/(1+EXP(-'Inputs'!$E$52*(A10-'Inputs'!$D$52)))+'Inputs'!$C$53/(1+EXP(-'Inputs'!$E$53*(A10-'Inputs'!$D$53)))</x:f>
        <x:v>0.7620904817996339</x:v>
      </x:c>
      <x:c r="H10" s="19" t="str">
        <x:v>Compare shape/onset only. Convert v2 using explicit equipment value and turbine exposure; do not compare as equal %TIV.</x:v>
      </x:c>
      <x:c r="I10" s="19" t="str">
        <x:v>DIAGNOSTIC_ONLY</x:v>
      </x:c>
    </x:row>
    <x:row r="11">
      <x:c r="A11" s="19" t="n">
        <x:v>69</x:v>
      </x:c>
      <x:c r="B11" s="41" t="n">
        <x:f>'Inputs'!$B$35*'Inputs'!$C$35/(1+EXP(-'Inputs'!$E$35*(A11/'Inputs'!$B$8-'Inputs'!$D$35)))+'Inputs'!$B$36*'Inputs'!$C$36/(1+EXP(-'Inputs'!$E$36*(A11/'Inputs'!$B$8-'Inputs'!$D$36)))+'Inputs'!$B$37*'Inputs'!$C$37/(1+EXP(-'Inputs'!$E$37*(A11/'Inputs'!$B$8-'Inputs'!$D$37)))+'Inputs'!$B$38*'Inputs'!$C$38/(1+EXP(-'Inputs'!$E$38*(A11/'Inputs'!$B$8-'Inputs'!$D$38)))</x:f>
        <x:v>0.03370784323183987</x:v>
      </x:c>
      <x:c r="C11" s="41" t="n">
        <x:f>'Inputs'!$B$35*'Inputs'!$C$35/(1+EXP(-'Inputs'!$E$35*(A11/'Inputs'!$B$8-('Inputs'!$D$35+'Inputs'!$F$35))))+'Inputs'!$B$36*'Inputs'!$C$36/(1+EXP(-'Inputs'!$E$36*(A11/'Inputs'!$B$8-('Inputs'!$D$36+'Inputs'!$F$36))))+'Inputs'!$B$37*'Inputs'!$C$37/(1+EXP(-'Inputs'!$E$37*(A11/'Inputs'!$B$8-('Inputs'!$D$37+'Inputs'!$F$37))))+'Inputs'!$B$38*'Inputs'!$C$38/(1+EXP(-'Inputs'!$E$38*(A11/'Inputs'!$B$8-('Inputs'!$D$38+'Inputs'!$F$38))))</x:f>
        <x:v>0.09258201742895704</x:v>
      </x:c>
      <x:c r="D11" s="28" t="n">
        <x:f>IF((A11/'Inputs'!$B$8)&lt;'Inputs'!$B$10,0,(NORM.S.DIST(LN((A11/'Inputs'!$B$8)/'Inputs'!$I$14)/'Inputs'!$B$9,TRUE)-NORM.S.DIST(LN((A11/'Inputs'!$B$8)/'Inputs'!$J$14)/'Inputs'!$B$9,TRUE))*'Inputs'!$J$7+(NORM.S.DIST(LN((A11/'Inputs'!$B$8)/'Inputs'!$J$14)/'Inputs'!$B$9,TRUE)-NORM.S.DIST(LN((A11/'Inputs'!$B$8)/'Inputs'!$K$14)/'Inputs'!$B$9,TRUE))*'Inputs'!$J$8+NORM.S.DIST(LN((A11/'Inputs'!$B$8)/'Inputs'!$K$14)/'Inputs'!$B$9,TRUE)*'Inputs'!$J$9)</x:f>
        <x:v>0.34896843845436226</x:v>
      </x:c>
      <x:c r="E11" s="28" t="n">
        <x:f>IF(A11&lt;'Inputs'!$B$15,0,(NORM.S.DIST(LN(A11/'Inputs'!$I$18)/'Inputs'!$B$14,TRUE)-NORM.S.DIST(LN(A11/'Inputs'!$J$18)/'Inputs'!$B$14,TRUE))*'Inputs'!$J$7+(NORM.S.DIST(LN(A11/'Inputs'!$J$18)/'Inputs'!$B$14,TRUE)-NORM.S.DIST(LN(A11/'Inputs'!$K$18)/'Inputs'!$B$14,TRUE))*'Inputs'!$J$8+NORM.S.DIST(LN(A11/'Inputs'!$K$18)/'Inputs'!$B$14,TRUE)*'Inputs'!$J$9)</x:f>
        <x:v>0.7536569002051516</x:v>
      </x:c>
      <x:c r="F11" s="42" t="n">
        <x:f>'Inputs'!$C$43/(1+EXP(-'Inputs'!$E$43*(A11-'Inputs'!$D$43)))+'Inputs'!$C$44/(1+EXP(-'Inputs'!$E$44*(A11-'Inputs'!$D$44)))+'Inputs'!$C$45/(1+EXP(-'Inputs'!$E$45*(A11-'Inputs'!$D$45)))+'Inputs'!$C$46/(1+EXP(-'Inputs'!$E$46*(A11-'Inputs'!$D$46)))</x:f>
        <x:v>0.5413891384751163</x:v>
      </x:c>
      <x:c r="G11" s="42" t="n">
        <x:f>'Inputs'!$C$47/(1+EXP(-'Inputs'!$E$47*(A11-'Inputs'!$D$47)))+'Inputs'!$C$48/(1+EXP(-'Inputs'!$E$48*(A11-'Inputs'!$D$48)))+'Inputs'!$C$49/(1+EXP(-'Inputs'!$E$49*(A11-'Inputs'!$D$49)))+'Inputs'!$C$50/(1+EXP(-'Inputs'!$E$50*(A11-'Inputs'!$D$50)))+'Inputs'!$C$51/(1+EXP(-'Inputs'!$E$51*(A11-'Inputs'!$D$51)))+'Inputs'!$C$52/(1+EXP(-'Inputs'!$E$52*(A11-'Inputs'!$D$52)))+'Inputs'!$C$53/(1+EXP(-'Inputs'!$E$53*(A11-'Inputs'!$D$53)))</x:f>
        <x:v>0.8012502122223317</x:v>
      </x:c>
      <x:c r="H11" s="19" t="str">
        <x:v>Compare shape/onset only. Convert v2 using explicit equipment value and turbine exposure; do not compare as equal %TIV.</x:v>
      </x:c>
      <x:c r="I11" s="19" t="str">
        <x:v>DIAGNOSTIC_ONLY</x:v>
      </x:c>
    </x:row>
    <x:row r="12">
      <x:c r="A12" s="19" t="n">
        <x:v>70</x:v>
      </x:c>
      <x:c r="B12" s="41" t="n">
        <x:f>'Inputs'!$B$35*'Inputs'!$C$35/(1+EXP(-'Inputs'!$E$35*(A12/'Inputs'!$B$8-'Inputs'!$D$35)))+'Inputs'!$B$36*'Inputs'!$C$36/(1+EXP(-'Inputs'!$E$36*(A12/'Inputs'!$B$8-'Inputs'!$D$36)))+'Inputs'!$B$37*'Inputs'!$C$37/(1+EXP(-'Inputs'!$E$37*(A12/'Inputs'!$B$8-'Inputs'!$D$37)))+'Inputs'!$B$38*'Inputs'!$C$38/(1+EXP(-'Inputs'!$E$38*(A12/'Inputs'!$B$8-'Inputs'!$D$38)))</x:f>
        <x:v>0.03997989042418104</x:v>
      </x:c>
      <x:c r="C12" s="41" t="n">
        <x:f>'Inputs'!$B$35*'Inputs'!$C$35/(1+EXP(-'Inputs'!$E$35*(A12/'Inputs'!$B$8-('Inputs'!$D$35+'Inputs'!$F$35))))+'Inputs'!$B$36*'Inputs'!$C$36/(1+EXP(-'Inputs'!$E$36*(A12/'Inputs'!$B$8-('Inputs'!$D$36+'Inputs'!$F$36))))+'Inputs'!$B$37*'Inputs'!$C$37/(1+EXP(-'Inputs'!$E$37*(A12/'Inputs'!$B$8-('Inputs'!$D$37+'Inputs'!$F$37))))+'Inputs'!$B$38*'Inputs'!$C$38/(1+EXP(-'Inputs'!$E$38*(A12/'Inputs'!$B$8-('Inputs'!$D$38+'Inputs'!$F$38))))</x:f>
        <x:v>0.10787432032822934</x:v>
      </x:c>
      <x:c r="D12" s="28" t="n">
        <x:f>IF((A12/'Inputs'!$B$8)&lt;'Inputs'!$B$10,0,(NORM.S.DIST(LN((A12/'Inputs'!$B$8)/'Inputs'!$I$14)/'Inputs'!$B$9,TRUE)-NORM.S.DIST(LN((A12/'Inputs'!$B$8)/'Inputs'!$J$14)/'Inputs'!$B$9,TRUE))*'Inputs'!$J$7+(NORM.S.DIST(LN((A12/'Inputs'!$B$8)/'Inputs'!$J$14)/'Inputs'!$B$9,TRUE)-NORM.S.DIST(LN((A12/'Inputs'!$B$8)/'Inputs'!$K$14)/'Inputs'!$B$9,TRUE))*'Inputs'!$J$8+NORM.S.DIST(LN((A12/'Inputs'!$B$8)/'Inputs'!$K$14)/'Inputs'!$B$9,TRUE)*'Inputs'!$J$9)</x:f>
        <x:v>0.3810308973287265</x:v>
      </x:c>
      <x:c r="E12" s="28" t="n">
        <x:f>IF(A12&lt;'Inputs'!$B$15,0,(NORM.S.DIST(LN(A12/'Inputs'!$I$18)/'Inputs'!$B$14,TRUE)-NORM.S.DIST(LN(A12/'Inputs'!$J$18)/'Inputs'!$B$14,TRUE))*'Inputs'!$J$7+(NORM.S.DIST(LN(A12/'Inputs'!$J$18)/'Inputs'!$B$14,TRUE)-NORM.S.DIST(LN(A12/'Inputs'!$K$18)/'Inputs'!$B$14,TRUE))*'Inputs'!$J$8+NORM.S.DIST(LN(A12/'Inputs'!$K$18)/'Inputs'!$B$14,TRUE)*'Inputs'!$J$9)</x:f>
        <x:v>0.7982632780249078</x:v>
      </x:c>
      <x:c r="F12" s="42" t="n">
        <x:f>'Inputs'!$C$43/(1+EXP(-'Inputs'!$E$43*(A12-'Inputs'!$D$43)))+'Inputs'!$C$44/(1+EXP(-'Inputs'!$E$44*(A12-'Inputs'!$D$44)))+'Inputs'!$C$45/(1+EXP(-'Inputs'!$E$45*(A12-'Inputs'!$D$45)))+'Inputs'!$C$46/(1+EXP(-'Inputs'!$E$46*(A12-'Inputs'!$D$46)))</x:f>
        <x:v>0.5632089124744586</x:v>
      </x:c>
      <x:c r="G12" s="42" t="n">
        <x:f>'Inputs'!$C$47/(1+EXP(-'Inputs'!$E$47*(A12-'Inputs'!$D$47)))+'Inputs'!$C$48/(1+EXP(-'Inputs'!$E$48*(A12-'Inputs'!$D$48)))+'Inputs'!$C$49/(1+EXP(-'Inputs'!$E$49*(A12-'Inputs'!$D$49)))+'Inputs'!$C$50/(1+EXP(-'Inputs'!$E$50*(A12-'Inputs'!$D$50)))+'Inputs'!$C$51/(1+EXP(-'Inputs'!$E$51*(A12-'Inputs'!$D$51)))+'Inputs'!$C$52/(1+EXP(-'Inputs'!$E$52*(A12-'Inputs'!$D$52)))+'Inputs'!$C$53/(1+EXP(-'Inputs'!$E$53*(A12-'Inputs'!$D$53)))</x:f>
        <x:v>0.8181872871768051</x:v>
      </x:c>
      <x:c r="H12" s="19" t="str">
        <x:v>Compare shape/onset only. Convert v2 using explicit equipment value and turbine exposure; do not compare as equal %TIV.</x:v>
      </x:c>
      <x:c r="I12" s="19" t="str">
        <x:v>DIAGNOSTIC_ONLY</x:v>
      </x:c>
    </x:row>
    <x:row r="14">
      <x:c r="A14" s="10" t="str">
        <x:v>Interpretation</x:v>
      </x:c>
      <x:c r="B14" s="10" t="str">
        <x:v>Interpretation</x:v>
      </x:c>
      <x:c r="C14" s="10" t="str">
        <x:v>Interpretation</x:v>
      </x:c>
      <x:c r="D14" s="10" t="str">
        <x:v>Interpretation</x:v>
      </x:c>
      <x:c r="E14" s="10" t="str">
        <x:v>Interpretation</x:v>
      </x:c>
      <x:c r="F14" s="10" t="str">
        <x:v>Interpretation</x:v>
      </x:c>
      <x:c r="G14" s="10" t="str">
        <x:v>Interpretation</x:v>
      </x:c>
      <x:c r="H14" s="10" t="str">
        <x:v>Interpretation</x:v>
      </x:c>
      <x:c r="I14" s="10" t="str">
        <x:v>Interpretation</x:v>
      </x:c>
    </x:row>
    <x:row r="15">
      <x:c r="A15" s="23" t="str">
        <x:v>Object</x:v>
      </x:c>
      <x:c r="B15" s="23" t="str">
        <x:v>Denominator / grain</x:v>
      </x:c>
      <x:c r="C15" s="23" t="str">
        <x:v>What it is useful for</x:v>
      </x:c>
      <x:c r="D15" s="23" t="str">
        <x:v>What is prohibited</x:v>
      </x:c>
    </x:row>
    <x:row r="16">
      <x:c r="A16" s="19" t="str">
        <x:v>Current v1 aggregate</x:v>
      </x:c>
      <x:c r="B16" s="19" t="str">
        <x:v>Weighted fraction of reference physical base; independent component logistics</x:v>
      </x:c>
      <x:c r="C16" s="19" t="str">
        <x:v>Reproduce the currently published artifact</x:v>
      </x:c>
      <x:c r="D16" s="19" t="str">
        <x:v>Treat as evidence-calibrated or preserve as target</x:v>
      </x:c>
    </x:row>
    <x:row r="17">
      <x:c r="A17" s="19" t="str">
        <x:v>Proposed v2</x:v>
      </x:c>
      <x:c r="B17" s="19" t="str">
        <x:v>One repeated turbine-equipment assembly, conditional on delivered pathway speed</x:v>
      </x:c>
      <x:c r="C17" s="19" t="str">
        <x:v>Screening pathway severity and scenario sensitivity</x:v>
      </x:c>
      <x:c r="D17" s="19" t="str">
        <x:v>Apply to full plant TIV or external assets</x:v>
      </x:c>
    </x:row>
    <x:row r="18">
      <x:c r="A18" s="19" t="str">
        <x:v>Hazard legacy hardcode</x:v>
      </x:c>
      <x:c r="B18" s="19" t="str">
        <x:v>Placeholder whole-asset CAPEX weights mixed across turbine/farm grains</x:v>
      </x:c>
      <x:c r="C18" s="19" t="str">
        <x:v>Expose consumer drift and migration magnitude</x:v>
      </x:c>
      <x:c r="D18" s="19" t="str">
        <x:v>Use as canonical Damage value or curve</x:v>
      </x:c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70" hidden="0" customWidth="1"/>
    <x:col min="5" max="5" width="20" hidden="0" customWidth="1"/>
    <x:col min="6" max="6" width="78" hidden="0" customWidth="1"/>
    <x:col min="7" max="7" width="34" hidden="0" customWidth="1"/>
    <x:col min="8" max="8" width="52" hidden="0" customWidth="1"/>
    <x:col min="9" max="9" width="14" hidden="0" customWidth="1"/>
    <x:col min="10" max="10" width="48" hidden="0" customWidth="1"/>
    <x:col min="11" max="11" width="28" hidden="0" customWidth="1"/>
  </x:cols>
  <x:sheetData>
    <x:row r="1" ht="30" customHeight="1">
      <x:c r="A1" s="3" t="str">
        <x:v>Known-answer and rejection contract mirror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The JSON KAT file is executable authority; this sheet is a review view and does not replace the validator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runtime_curve_known_answer_tests</x:v>
      </x:c>
      <x:c r="B4" s="10" t="str">
        <x:v>runtime_curve_known_answer_tests</x:v>
      </x:c>
      <x:c r="C4" s="10" t="str">
        <x:v>runtime_curve_known_answer_tests</x:v>
      </x:c>
      <x:c r="D4" s="10" t="str">
        <x:v>runtime_curve_known_answer_tests</x:v>
      </x:c>
      <x:c r="E4" s="10" t="str">
        <x:v>runtime_curve_known_answer_tests</x:v>
      </x:c>
      <x:c r="F4" s="10" t="str">
        <x:v>runtime_curve_known_answer_tests</x:v>
      </x:c>
      <x:c r="G4" s="10" t="str">
        <x:v>runtime_curve_known_answer_tests</x:v>
      </x:c>
      <x:c r="H4" s="10" t="str">
        <x:v>runtime_curve_known_answer_tests</x:v>
      </x:c>
      <x:c r="I4" s="10" t="str">
        <x:v>runtime_curve_known_answer_tests</x:v>
      </x:c>
      <x:c r="J4" s="10" t="str">
        <x:v>runtime_curve_known_answer_tests</x:v>
      </x:c>
      <x:c r="K4" s="10" t="str">
        <x:v>runtime_curve_known_answer_tests</x:v>
      </x:c>
    </x:row>
    <x:row r="5">
      <x:c r="A5" s="15" t="str">
        <x:v>test_id</x:v>
      </x:c>
      <x:c r="B5" s="15" t="str">
        <x:v>pathway_id</x:v>
      </x:c>
      <x:c r="C5" s="15" t="str">
        <x:v>failure_unit_id</x:v>
      </x:c>
      <x:c r="D5" s="15" t="str">
        <x:v>input / fixture</x:v>
      </x:c>
      <x:c r="E5" s="15" t="str">
        <x:v>expected central DR</x:v>
      </x:c>
      <x:c r="F5" s="15" t="str">
        <x:v>expected scenarios / state / assertions</x:v>
      </x:c>
      <x:c r="G5" s="15" t="str">
        <x:v>expected error</x:v>
      </x:c>
      <x:c r="H5" s="15" t="str">
        <x:v>expected flags</x:v>
      </x:c>
      <x:c r="I5" s="15" t="str">
        <x:v>tolerance</x:v>
      </x:c>
      <x:c r="J5" s="15" t="str">
        <x:v>purpose</x:v>
      </x:c>
      <x:c r="K5" s="15" t="str">
        <x:v>source JSON group</x:v>
      </x:c>
    </x:row>
    <x:row r="6">
      <x:c r="A6" s="19" t="str">
        <x:v>WTW2_SLC_BELOW_ZERO_BOUNDARY</x:v>
      </x:c>
      <x:c r="B6" s="19" t="str">
        <x:v>straight_line_convective</x:v>
      </x:c>
      <x:c r="C6" s="19" t="str">
        <x:v>WT_TURBINE_EQUIPMENT_ASSEMBLY</x:v>
      </x:c>
      <x:c r="D6" s="19" t="str">
        <x:v>{"pathway_id":"straight_line_convective","turbine_archetype":"generic_modern_onshore_tubular_multi_mw_screening_v1","rotor_effective_3s_gust_mps":20,"iec_ve50_mps":59.5}</x:v>
      </x:c>
      <x:c r="E6" s="19" t="n">
        <x:v>0</x:v>
      </x:c>
      <x:c r="F6" s="19" t="str">
        <x:v>{"scenario_drs":{"lower_resistance":0,"central_screening":0,"upper_resistance":0}}</x:v>
      </x:c>
      <x:c r="G6" s="19" t="str"/>
      <x:c r="H6" s="19" t="str">
        <x:v>["BELOW_28_MPS_EVIDENCE_ANCHOR_RANGE","NO_FINANCIAL_SCALING_APPLIED"]</x:v>
      </x:c>
      <x:c r="I6" s="19" t="n">
        <x:v>1e-12</x:v>
      </x:c>
      <x:c r="J6" s="19" t="str">
        <x:v>low_no_damage</x:v>
      </x:c>
      <x:c r="K6" s="19" t="str">
        <x:v>runtime_curve_known_answer_tests</x:v>
      </x:c>
    </x:row>
    <x:row r="7">
      <x:c r="A7" s="19" t="str">
        <x:v>WTW2_SLC_CENTRAL_AT_VE50</x:v>
      </x:c>
      <x:c r="B7" s="19" t="str">
        <x:v>straight_line_convective</x:v>
      </x:c>
      <x:c r="C7" s="19" t="str">
        <x:v>WT_TURBINE_EQUIPMENT_ASSEMBLY</x:v>
      </x:c>
      <x:c r="D7" s="19" t="str">
        <x:v>{"pathway_id":"straight_line_convective","turbine_archetype":"generic_modern_onshore_tubular_multi_mw_screening_v1","rotor_effective_3s_gust_mps":59.5,"iec_ve50_mps":59.5}</x:v>
      </x:c>
      <x:c r="E7" s="19" t="n">
        <x:v>0.1061718428482847</x:v>
      </x:c>
      <x:c r="F7" s="19" t="str">
        <x:v>{"scenario_drs":{"lower_resistance":0.3217781420905228,"central_screening":0.1061718428482847,"upper_resistance":0.013947433158386252},"central_state_probabilities":{"DS0_NO_DIRECT_DAMAGE":0.1460318636790745,"DS1_CONTROL_PITCH_REPAIR_PROXY":0.5411583805125382,"DS2_ROTOR_ASSEMBLY_REPLACEMENT":0.30846000540926294,"DS3_TERMINAL_TURBINE_EQUIPMENT_REPLACEMENT":0.00434975039912433}}</x:v>
      </x:c>
      <x:c r="G7" s="19" t="str"/>
      <x:c r="H7" s="19" t="str">
        <x:v>["ABOVE_55_MPS_HIGH_EXTRAPOLATION","NONPROBABILISTIC_EPISTEMIC_ENVELOPE"]</x:v>
      </x:c>
      <x:c r="I7" s="19" t="n">
        <x:v>1e-12</x:v>
      </x:c>
      <x:c r="J7" s="19" t="str">
        <x:v>transition_and_exact_state_probabilities</x:v>
      </x:c>
      <x:c r="K7" s="19" t="str">
        <x:v>runtime_curve_known_answer_tests</x:v>
      </x:c>
    </x:row>
    <x:row r="8">
      <x:c r="A8" s="19" t="str">
        <x:v>WTW2_SLC_UPPER_VALID_BOUNDARY</x:v>
      </x:c>
      <x:c r="B8" s="19" t="str">
        <x:v>straight_line_convective</x:v>
      </x:c>
      <x:c r="C8" s="19" t="str">
        <x:v>WT_TURBINE_EQUIPMENT_ASSEMBLY</x:v>
      </x:c>
      <x:c r="D8" s="19" t="str">
        <x:v>{"pathway_id":"straight_line_convective","turbine_archetype":"generic_modern_onshore_tubular_multi_mw_screening_v1","rotor_effective_3s_gust_mps":70,"iec_ve50_mps":59.5}</x:v>
      </x:c>
      <x:c r="E8" s="19" t="n">
        <x:v>0.38103089732872697</x:v>
      </x:c>
      <x:c r="F8" s="19" t="str">
        <x:v>{"scenario_drs":{"lower_resistance":0.7156699653292332,"central_screening":0.38103089732872697,"upper_resistance":0.14833143885780992}}</x:v>
      </x:c>
      <x:c r="G8" s="19" t="str"/>
      <x:c r="H8" s="19" t="str">
        <x:v>["ABOVE_55_MPS_HIGH_EXTRAPOLATION"]</x:v>
      </x:c>
      <x:c r="I8" s="19" t="n">
        <x:v>1e-12</x:v>
      </x:c>
      <x:c r="J8" s="19" t="str">
        <x:v>upper_valid_range</x:v>
      </x:c>
      <x:c r="K8" s="19" t="str">
        <x:v>runtime_curve_known_answer_tests</x:v>
      </x:c>
    </x:row>
    <x:row r="9">
      <x:c r="A9" s="19" t="str">
        <x:v>WTW2_SLC_HUB_PROXY_50_MPS</x:v>
      </x:c>
      <x:c r="B9" s="19" t="str">
        <x:v>straight_line_convective</x:v>
      </x:c>
      <x:c r="C9" s="19" t="str">
        <x:v>WT_TURBINE_EQUIPMENT_ASSEMBLY</x:v>
      </x:c>
      <x:c r="D9" s="19" t="str">
        <x:v>{"pathway_id":"straight_line_convective","turbine_archetype":"generic_modern_onshore_tubular_multi_mw_screening_v1","ten_meter_3s_gust_mps":45,"convective_profile_bridge_id":"KAT_CONVECTIVE_PROFILE_V1","hub_height_3s_gust_mps":50,"iec_ve50_mps":59.5}</x:v>
      </x:c>
      <x:c r="E9" s="19" t="n">
        <x:v>0.0067949641854111046</x:v>
      </x:c>
      <x:c r="F9" s="19" t="str">
        <x:v>{"scenario_drs":{"lower_resistance":0.08422841237387155,"central_screening":0.0067949641854111046,"upper_resistance":0.00020911895086642767}}</x:v>
      </x:c>
      <x:c r="G9" s="19" t="str"/>
      <x:c r="H9" s="19" t="str">
        <x:v>["HUB_HEIGHT_GUST_PROXY_USED","CONVECTIVE_PROFILE_BRIDGE_USED"]</x:v>
      </x:c>
      <x:c r="I9" s="19" t="n">
        <x:v>1e-12</x:v>
      </x:c>
      <x:c r="J9" s="19" t="str">
        <x:v>permitted_proxy</x:v>
      </x:c>
      <x:c r="K9" s="19" t="str">
        <x:v>runtime_curve_known_answer_tests</x:v>
      </x:c>
    </x:row>
    <x:row r="10">
      <x:c r="A10" s="19" t="str">
        <x:v>WTW2_TOR_BELOW_ZERO_BOUNDARY</x:v>
      </x:c>
      <x:c r="B10" s="19" t="str">
        <x:v>tornado_direct_hit</x:v>
      </x:c>
      <x:c r="C10" s="19" t="str">
        <x:v>WT_TURBINE_EQUIPMENT_ASSEMBLY</x:v>
      </x:c>
      <x:c r="D10" s="19" t="str">
        <x:v>{"pathway_id":"tornado_direct_hit","turbine_archetype":"generic_modern_onshore_tubular_multi_mw_screening_v1","tornado_rotor_effective_peak_horizontal_speed_mps":20,"tornado_input_basis":"rotor_resolved_wind_field","tornado_profile_bridge_id":"KAT_ROTOR_FIELD_V1"}</x:v>
      </x:c>
      <x:c r="E10" s="19" t="n">
        <x:v>0</x:v>
      </x:c>
      <x:c r="F10" s="19" t="str">
        <x:v>{"scenario_drs":{"lower_resistance":0,"central_screening":0,"upper_resistance":0}}</x:v>
      </x:c>
      <x:c r="G10" s="19" t="str"/>
      <x:c r="H10" s="19" t="str">
        <x:v>["NO_FINANCIAL_SCALING_APPLIED"]</x:v>
      </x:c>
      <x:c r="I10" s="19" t="n">
        <x:v>1e-12</x:v>
      </x:c>
      <x:c r="J10" s="19" t="str">
        <x:v>low_no_damage</x:v>
      </x:c>
      <x:c r="K10" s="19" t="str">
        <x:v>runtime_curve_known_answer_tests</x:v>
      </x:c>
    </x:row>
    <x:row r="11">
      <x:c r="A11" s="19" t="str">
        <x:v>WTW2_TOR_EQUAL_INTENSITY_50_MPS</x:v>
      </x:c>
      <x:c r="B11" s="19" t="str">
        <x:v>tornado_direct_hit</x:v>
      </x:c>
      <x:c r="C11" s="19" t="str">
        <x:v>WT_TURBINE_EQUIPMENT_ASSEMBLY</x:v>
      </x:c>
      <x:c r="D11" s="19" t="str">
        <x:v>{"pathway_id":"tornado_direct_hit","turbine_archetype":"generic_modern_onshore_tubular_multi_mw_screening_v1","tornado_rotor_effective_peak_horizontal_speed_mps":50,"tornado_input_basis":"rotor_resolved_wind_field","tornado_profile_bridge_id":"KAT_ROTOR_FIELD_V1"}</x:v>
      </x:c>
      <x:c r="E11" s="19" t="n">
        <x:v>0.1315813172688886</x:v>
      </x:c>
      <x:c r="F11" s="19" t="str">
        <x:v>{"scenario_drs":{"lower_resistance":0.3032119546109179,"central_screening":0.1315813172688886,"upper_resistance":0.035169216372137595}}</x:v>
      </x:c>
      <x:c r="G11" s="19" t="str"/>
      <x:c r="H11" s="19" t="str">
        <x:v>[]</x:v>
      </x:c>
      <x:c r="I11" s="19" t="n">
        <x:v>1e-12</x:v>
      </x:c>
      <x:c r="J11" s="19" t="str">
        <x:v>cross_pathway_identity</x:v>
      </x:c>
      <x:c r="K11" s="19" t="str">
        <x:v>runtime_curve_known_answer_tests</x:v>
      </x:c>
    </x:row>
    <x:row r="12">
      <x:c r="A12" s="19" t="str">
        <x:v>WTW2_TOR_ROTOR_REPLACEMENT_TRANSITION_51_MPS</x:v>
      </x:c>
      <x:c r="B12" s="19" t="str">
        <x:v>tornado_direct_hit</x:v>
      </x:c>
      <x:c r="C12" s="19" t="str">
        <x:v>WT_TURBINE_EQUIPMENT_ASSEMBLY</x:v>
      </x:c>
      <x:c r="D12" s="19" t="str">
        <x:v>{"pathway_id":"tornado_direct_hit","turbine_archetype":"generic_modern_onshore_tubular_multi_mw_screening_v1","tornado_rotor_effective_peak_horizontal_speed_mps":51,"tornado_input_basis":"rotor_resolved_wind_field","tornado_profile_bridge_id":"KAT_ROTOR_FIELD_V1"}</x:v>
      </x:c>
      <x:c r="E12" s="19" t="n">
        <x:v>0.16077408113516298</x:v>
      </x:c>
      <x:c r="F12" s="19" t="str">
        <x:v>{"scenario_drs":{"lower_resistance":0.3289516785566465,"central_screening":0.16077408113516298,"upper_resistance":0.047934782096925296},"central_state_probabilities":{"DS0_NO_DIRECT_DAMAGE":0.000006688860898829141,"DS1_CONTROL_PITCH_REPAIR_PROXY":0.49999331113910117,"DS2_ROTOR_ASSEMBLY_REPLACEMENT":0.4996761814176374,"DS3_TERMINAL_TURBINE_EQUIPMENT_REPLACEMENT":0.0003238185823625783}}</x:v>
      </x:c>
      <x:c r="G12" s="19" t="str"/>
      <x:c r="H12" s="19" t="str">
        <x:v>[]</x:v>
      </x:c>
      <x:c r="I12" s="19" t="n">
        <x:v>1e-12</x:v>
      </x:c>
      <x:c r="J12" s="19" t="str">
        <x:v>transition_and_exact_state_probabilities</x:v>
      </x:c>
      <x:c r="K12" s="19" t="str">
        <x:v>runtime_curve_known_answer_tests</x:v>
      </x:c>
    </x:row>
    <x:row r="13">
      <x:c r="A13" s="19" t="str">
        <x:v>WTW2_TOR_TERMINAL_TRANSITION_67_MPS</x:v>
      </x:c>
      <x:c r="B13" s="19" t="str">
        <x:v>tornado_direct_hit</x:v>
      </x:c>
      <x:c r="C13" s="19" t="str">
        <x:v>WT_TURBINE_EQUIPMENT_ASSEMBLY</x:v>
      </x:c>
      <x:c r="D13" s="19" t="str">
        <x:v>{"pathway_id":"tornado_direct_hit","turbine_archetype":"generic_modern_onshore_tubular_multi_mw_screening_v1","tornado_rotor_effective_peak_horizontal_speed_mps":67,"tornado_input_basis":"rotor_resolved_wind_field","tornado_profile_bridge_id":"KAT_ROTOR_FIELD_V1"}</x:v>
      </x:c>
      <x:c r="E13" s="19" t="n">
        <x:v>0.6544909016323989</x:v>
      </x:c>
      <x:c r="F13" s="19" t="str">
        <x:v>{"scenario_drs":{"lower_resistance":0.9753480118635485,"central_screening":0.6544909016323989,"upper_resistance":0.31466579331117944}}</x:v>
      </x:c>
      <x:c r="G13" s="19" t="str"/>
      <x:c r="H13" s="19" t="str">
        <x:v>[]</x:v>
      </x:c>
      <x:c r="I13" s="19" t="n">
        <x:v>1e-12</x:v>
      </x:c>
      <x:c r="J13" s="19" t="str">
        <x:v>field_anchor_transition</x:v>
      </x:c>
      <x:c r="K13" s="19" t="str">
        <x:v>runtime_curve_known_answer_tests</x:v>
      </x:c>
    </x:row>
    <x:row r="14">
      <x:c r="A14" s="19" t="str">
        <x:v>WTW2_TOR_80_MPS_TERMINAL_BOUNDARY</x:v>
      </x:c>
      <x:c r="B14" s="19" t="str">
        <x:v>tornado_direct_hit</x:v>
      </x:c>
      <x:c r="C14" s="19" t="str">
        <x:v>WT_TURBINE_EQUIPMENT_ASSEMBLY</x:v>
      </x:c>
      <x:c r="D14" s="19" t="str">
        <x:v>{"pathway_id":"tornado_direct_hit","turbine_archetype":"generic_modern_onshore_tubular_multi_mw_screening_v1","tornado_rotor_effective_peak_horizontal_speed_mps":80,"tornado_input_basis":"rotor_resolved_wind_field","tornado_profile_bridge_id":"KAT_ROTOR_FIELD_V1"}</x:v>
      </x:c>
      <x:c r="E14" s="19" t="n">
        <x:v>0.9907963700578989</x:v>
      </x:c>
      <x:c r="F14" s="19" t="str">
        <x:v>{"scenario_drs":{"lower_resistance":0.9999798801406359,"central_screening":0.9907963700578989,"upper_resistance":0.6545859289317331}}</x:v>
      </x:c>
      <x:c r="G14" s="19" t="str"/>
      <x:c r="H14" s="19" t="str">
        <x:v>[]</x:v>
      </x:c>
      <x:c r="I14" s="19" t="n">
        <x:v>1e-12</x:v>
      </x:c>
      <x:c r="J14" s="19" t="str">
        <x:v>terminal_saturation_boundary</x:v>
      </x:c>
      <x:c r="K14" s="19" t="str">
        <x:v>runtime_curve_known_answer_tests</x:v>
      </x:c>
    </x:row>
    <x:row r="15">
      <x:c r="A15" s="19" t="str">
        <x:v>WTW2_TOR_HUB_PROXY_58_MPS</x:v>
      </x:c>
      <x:c r="B15" s="19" t="str">
        <x:v>tornado_direct_hit</x:v>
      </x:c>
      <x:c r="C15" s="19" t="str">
        <x:v>WT_TURBINE_EQUIPMENT_ASSEMBLY</x:v>
      </x:c>
      <x:c r="D15" s="19" t="str">
        <x:v>{"pathway_id":"tornado_direct_hit","turbine_archetype":"generic_modern_onshore_tubular_multi_mw_screening_v1","tornado_hub_height_peak_3s_gust_mps":58,"tornado_input_basis":"qualified_hub_height_proxy","tornado_profile_bridge_id":"KAT_HUB_PROXY_V1"}</x:v>
      </x:c>
      <x:c r="E15" s="19" t="n">
        <x:v>0.31779011682456754</x:v>
      </x:c>
      <x:c r="F15" s="19" t="str">
        <x:v>{"scenario_drs":{"lower_resistance":0.6543623485028274,"central_screening":0.31779011682456754,"upper_resistance":0.21096573771918628}}</x:v>
      </x:c>
      <x:c r="G15" s="19" t="str"/>
      <x:c r="H15" s="19" t="str">
        <x:v>["TORNADO_HUB_HEIGHT_PROXY_USED"]</x:v>
      </x:c>
      <x:c r="I15" s="19" t="n">
        <x:v>1e-12</x:v>
      </x:c>
      <x:c r="J15" s="19" t="str">
        <x:v>permitted_proxy</x:v>
      </x:c>
      <x:c r="K15" s="19" t="str">
        <x:v>runtime_curve_known_answer_tests</x:v>
      </x:c>
    </x:row>
    <x:row r="16">
      <x:c r="A16" s="19" t="str">
        <x:v>WTW2_TOR_ABOVE_80_MPS_FLAGGED</x:v>
      </x:c>
      <x:c r="B16" s="19" t="str">
        <x:v>tornado_direct_hit</x:v>
      </x:c>
      <x:c r="C16" s="19" t="str">
        <x:v>WT_TURBINE_EQUIPMENT_ASSEMBLY</x:v>
      </x:c>
      <x:c r="D16" s="19" t="str">
        <x:v>{"pathway_id":"tornado_direct_hit","turbine_archetype":"generic_modern_onshore_tubular_multi_mw_screening_v1","tornado_rotor_effective_peak_horizontal_speed_mps":85,"tornado_input_basis":"radar_profile_bridge","tornado_profile_bridge_id":"KAT_RADAR_PROFILE_V1"}</x:v>
      </x:c>
      <x:c r="E16" s="19" t="n">
        <x:v>0.9989862728545089</x:v>
      </x:c>
      <x:c r="F16" s="19" t="str">
        <x:v>{"scenario_drs":{"lower_resistance":0.9999993872475591,"central_screening":0.9989862728545089,"upper_resistance":0.8450594913905943}}</x:v>
      </x:c>
      <x:c r="G16" s="19" t="str"/>
      <x:c r="H16" s="19" t="str">
        <x:v>["TORNADO_RADAR_PROFILE_BRIDGE_USED","ABOVE_80_MPS_TERMINAL_SATURATION_EXTRAPOLATION"]</x:v>
      </x:c>
      <x:c r="I16" s="19" t="n">
        <x:v>1e-12</x:v>
      </x:c>
      <x:c r="J16" s="19" t="str">
        <x:v>flagged_extrapolation</x:v>
      </x:c>
      <x:c r="K16" s="19" t="str">
        <x:v>runtime_curve_known_answer_tests</x:v>
      </x:c>
    </x:row>
    <x:row r="17">
      <x:c r="A17" s="19" t="str">
        <x:v>WTW2_SLC_FOUNDATION_WITHHELD</x:v>
      </x:c>
      <x:c r="B17" s="19" t="str">
        <x:v>straight_line_convective</x:v>
      </x:c>
      <x:c r="C17" s="19" t="str">
        <x:v>WT_FOUNDATION</x:v>
      </x:c>
      <x:c r="D17" s="19" t="str">
        <x:v>{"pathway_id":"straight_line_convective","failure_unit_id":"WT_FOUNDATION","turbine_archetype":"generic_modern_onshore_tubular_multi_mw_screening_v1","rotor_effective_3s_gust_mps":59.5,"iec_ve50_mps":59.5}</x:v>
      </x:c>
      <x:c r="E17" s="19" t="str"/>
      <x:c r="F17" s="19" t="str">
        <x:v>{"status":"withheld","curve_id":null,"scalar_central_dr":null,"reason_codes_include":["NO_RUNTIME_CURVE_FOR_PATHWAY_UNIT","NO_CONVECTIVE_FOUNDATION_DAMAGE_CALIBRATION"]}</x:v>
      </x:c>
      <x:c r="G17" s="19" t="str"/>
      <x:c r="H17" s="19" t="str">
        <x:v>[]</x:v>
      </x:c>
      <x:c r="I17" s="19" t="n">
        <x:v>1e-12</x:v>
      </x:c>
      <x:c r="J17" s="19" t="str">
        <x:v>unsupported_pathway_failure_unit</x:v>
      </x:c>
      <x:c r="K17" s="19" t="str">
        <x:v>runtime_curve_known_answer_tests</x:v>
      </x:c>
    </x:row>
    <x:row r="18">
      <x:c r="A18" s="19" t="str">
        <x:v>WTW2_TOR_EXTERNAL_ELECTRICAL_WITHHELD</x:v>
      </x:c>
      <x:c r="B18" s="19" t="str">
        <x:v>tornado_direct_hit</x:v>
      </x:c>
      <x:c r="C18" s="19" t="str">
        <x:v>WT_EXTERNAL_ELECTRICAL</x:v>
      </x:c>
      <x:c r="D18" s="19" t="str">
        <x:v>{"pathway_id":"tornado_direct_hit","failure_unit_id":"WT_EXTERNAL_ELECTRICAL","turbine_archetype":"generic_modern_onshore_tubular_multi_mw_screening_v1","tornado_rotor_effective_peak_horizontal_speed_mps":67,"tornado_input_basis":"rotor_resolved_wind_field","tornado_profile_bridge_id":"KAT_ROTOR_FIELD_V1"}</x:v>
      </x:c>
      <x:c r="E18" s="19" t="str"/>
      <x:c r="F18" s="19" t="str">
        <x:v>{"status":"withheld","curve_id":null,"scalar_central_dr":null,"reason_codes_include":["NO_RUNTIME_CURVE_FOR_PATHWAY_UNIT","NO_UNIT_SPECIFIC_CURVE"]}</x:v>
      </x:c>
      <x:c r="G18" s="19" t="str"/>
      <x:c r="H18" s="19" t="str">
        <x:v>[]</x:v>
      </x:c>
      <x:c r="I18" s="19" t="n">
        <x:v>1e-12</x:v>
      </x:c>
      <x:c r="J18" s="19" t="str">
        <x:v>unsupported_pathway_failure_unit</x:v>
      </x:c>
      <x:c r="K18" s="19" t="str">
        <x:v>runtime_curve_known_answer_tests</x:v>
      </x:c>
    </x:row>
    <x:row r="21">
      <x:c r="A21" s="10" t="str">
        <x:v>contract_rejection_tests</x:v>
      </x:c>
      <x:c r="B21" s="10" t="str">
        <x:v>contract_rejection_tests</x:v>
      </x:c>
      <x:c r="C21" s="10" t="str">
        <x:v>contract_rejection_tests</x:v>
      </x:c>
      <x:c r="D21" s="10" t="str">
        <x:v>contract_rejection_tests</x:v>
      </x:c>
      <x:c r="E21" s="10" t="str">
        <x:v>contract_rejection_tests</x:v>
      </x:c>
      <x:c r="F21" s="10" t="str">
        <x:v>contract_rejection_tests</x:v>
      </x:c>
      <x:c r="G21" s="10" t="str">
        <x:v>contract_rejection_tests</x:v>
      </x:c>
      <x:c r="H21" s="10" t="str">
        <x:v>contract_rejection_tests</x:v>
      </x:c>
      <x:c r="I21" s="10" t="str">
        <x:v>contract_rejection_tests</x:v>
      </x:c>
      <x:c r="J21" s="10" t="str">
        <x:v>contract_rejection_tests</x:v>
      </x:c>
      <x:c r="K21" s="10" t="str">
        <x:v>contract_rejection_tests</x:v>
      </x:c>
    </x:row>
    <x:row r="22">
      <x:c r="A22" s="15" t="str">
        <x:v>test_id</x:v>
      </x:c>
      <x:c r="B22" s="15" t="str">
        <x:v>pathway_id</x:v>
      </x:c>
      <x:c r="C22" s="15" t="str">
        <x:v>failure_unit_id</x:v>
      </x:c>
      <x:c r="D22" s="15" t="str">
        <x:v>input / fixture</x:v>
      </x:c>
      <x:c r="E22" s="15" t="str">
        <x:v>expected central DR</x:v>
      </x:c>
      <x:c r="F22" s="15" t="str">
        <x:v>expected scenarios / state / assertions</x:v>
      </x:c>
      <x:c r="G22" s="15" t="str">
        <x:v>expected error</x:v>
      </x:c>
      <x:c r="H22" s="15" t="str">
        <x:v>expected flags</x:v>
      </x:c>
      <x:c r="I22" s="15" t="str">
        <x:v>tolerance</x:v>
      </x:c>
      <x:c r="J22" s="15" t="str">
        <x:v>purpose</x:v>
      </x:c>
      <x:c r="K22" s="15" t="str">
        <x:v>source JSON group</x:v>
      </x:c>
    </x:row>
    <x:row r="23">
      <x:c r="A23" s="19" t="str">
        <x:v>WTW2_REJECT_MISSING_PATHWAY_ID</x:v>
      </x:c>
      <x:c r="B23" s="19" t="str"/>
      <x:c r="C23" s="19" t="str"/>
      <x:c r="D23" s="19" t="str">
        <x:v>{"turbine_archetype":"generic_modern_onshore_tubular_multi_mw_screening_v1","rotor_effective_3s_gust_mps":50,"iec_ve50_mps":59.5}</x:v>
      </x:c>
      <x:c r="E23" s="19" t="str"/>
      <x:c r="F23" s="19" t="str">
        <x:v>{"status":"withheld","error_code":"PATHWAY_ID_REQUIRED"}</x:v>
      </x:c>
      <x:c r="G23" s="19" t="str">
        <x:v>PATHWAY_ID_REQUIRED</x:v>
      </x:c>
      <x:c r="H23" s="19" t="str">
        <x:v>[]</x:v>
      </x:c>
      <x:c r="I23" s="19" t="n">
        <x:v>1e-12</x:v>
      </x:c>
      <x:c r="J23" s="19" t="str"/>
      <x:c r="K23" s="19" t="str">
        <x:v>contract_rejection_tests</x:v>
      </x:c>
    </x:row>
    <x:row r="24">
      <x:c r="A24" s="19" t="str">
        <x:v>WTW2_REJECT_HURRICANE_AS_PATHWAY_ALIAS</x:v>
      </x:c>
      <x:c r="B24" s="19" t="str">
        <x:v>tropical_cyclone_wind</x:v>
      </x:c>
      <x:c r="C24" s="19" t="str"/>
      <x:c r="D24" s="19" t="str">
        <x:v>{"pathway_id":"tropical_cyclone_wind","turbine_archetype":"generic_modern_onshore_tubular_multi_mw_screening_v1","rotor_effective_3s_gust_mps":50,"iec_ve50_mps":59.5}</x:v>
      </x:c>
      <x:c r="E24" s="19" t="str"/>
      <x:c r="F24" s="19" t="str">
        <x:v>{"status":"withheld","error_code":"PATHWAY_ID_UNKNOWN"}</x:v>
      </x:c>
      <x:c r="G24" s="19" t="str">
        <x:v>PATHWAY_ID_UNKNOWN</x:v>
      </x:c>
      <x:c r="H24" s="19" t="str">
        <x:v>[]</x:v>
      </x:c>
      <x:c r="I24" s="19" t="n">
        <x:v>1e-12</x:v>
      </x:c>
      <x:c r="J24" s="19" t="str"/>
      <x:c r="K24" s="19" t="str">
        <x:v>contract_rejection_tests</x:v>
      </x:c>
    </x:row>
    <x:row r="25">
      <x:c r="A25" s="19" t="str">
        <x:v>WTW2_REJECT_TORNADO_INPUT_ON_SLC_PATHWAY</x:v>
      </x:c>
      <x:c r="B25" s="19" t="str">
        <x:v>straight_line_convective</x:v>
      </x:c>
      <x:c r="C25" s="19" t="str"/>
      <x:c r="D25" s="19" t="str">
        <x:v>{"pathway_id":"straight_line_convective","turbine_archetype":"generic_modern_onshore_tubular_multi_mw_screening_v1","tornado_rotor_effective_peak_horizontal_speed_mps":50,"tornado_input_basis":"rotor_resolved_wind_field","tornado_profile_bridge_id":"KAT_ROTOR_FIELD_V1","iec_ve50_mps":59.5}</x:v>
      </x:c>
      <x:c r="E25" s="19" t="str"/>
      <x:c r="F25" s="19" t="str">
        <x:v>{"status":"withheld","error_code":"PATHWAY_ID_MISMATCH"}</x:v>
      </x:c>
      <x:c r="G25" s="19" t="str">
        <x:v>PATHWAY_ID_MISMATCH</x:v>
      </x:c>
      <x:c r="H25" s="19" t="str">
        <x:v>[]</x:v>
      </x:c>
      <x:c r="I25" s="19" t="n">
        <x:v>1e-12</x:v>
      </x:c>
      <x:c r="J25" s="19" t="str"/>
      <x:c r="K25" s="19" t="str">
        <x:v>contract_rejection_tests</x:v>
      </x:c>
    </x:row>
    <x:row r="26">
      <x:c r="A26" s="19" t="str">
        <x:v>WTW2_REJECT_SLC_INPUT_ON_TORNADO_PATHWAY</x:v>
      </x:c>
      <x:c r="B26" s="19" t="str">
        <x:v>tornado_direct_hit</x:v>
      </x:c>
      <x:c r="C26" s="19" t="str"/>
      <x:c r="D26" s="19" t="str">
        <x:v>{"pathway_id":"tornado_direct_hit","turbine_archetype":"generic_modern_onshore_tubular_multi_mw_screening_v1","rotor_effective_3s_gust_mps":50,"iec_ve50_mps":59.5,"tornado_input_basis":"rotor_resolved_wind_field","tornado_profile_bridge_id":"KAT_ROTOR_FIELD_V1"}</x:v>
      </x:c>
      <x:c r="E26" s="19" t="str"/>
      <x:c r="F26" s="19" t="str">
        <x:v>{"status":"withheld","error_code":"PATHWAY_ID_MISMATCH"}</x:v>
      </x:c>
      <x:c r="G26" s="19" t="str">
        <x:v>PATHWAY_ID_MISMATCH</x:v>
      </x:c>
      <x:c r="H26" s="19" t="str">
        <x:v>[]</x:v>
      </x:c>
      <x:c r="I26" s="19" t="n">
        <x:v>1e-12</x:v>
      </x:c>
      <x:c r="J26" s="19" t="str"/>
      <x:c r="K26" s="19" t="str">
        <x:v>contract_rejection_tests</x:v>
      </x:c>
    </x:row>
    <x:row r="27">
      <x:c r="A27" s="19" t="str">
        <x:v>WTW2_REJECT_UNBRIDGED_10M_CONVECTIVE_GUST</x:v>
      </x:c>
      <x:c r="B27" s="19" t="str">
        <x:v>straight_line_convective</x:v>
      </x:c>
      <x:c r="C27" s="19" t="str"/>
      <x:c r="D27" s="19" t="str">
        <x:v>{"pathway_id":"straight_line_convective","turbine_archetype":"generic_modern_onshore_tubular_multi_mw_screening_v1","ten_meter_3s_gust_mps":45,"iec_ve50_mps":59.5}</x:v>
      </x:c>
      <x:c r="E27" s="19" t="str"/>
      <x:c r="F27" s="19" t="str">
        <x:v>{"status":"withheld","error_code":"CONVECTIVE_PROFILE_BRIDGE_REQUIRED"}</x:v>
      </x:c>
      <x:c r="G27" s="19" t="str">
        <x:v>CONVECTIVE_PROFILE_BRIDGE_REQUIRED</x:v>
      </x:c>
      <x:c r="H27" s="19" t="str">
        <x:v>[]</x:v>
      </x:c>
      <x:c r="I27" s="19" t="n">
        <x:v>1e-12</x:v>
      </x:c>
      <x:c r="J27" s="19" t="str"/>
      <x:c r="K27" s="19" t="str">
        <x:v>contract_rejection_tests</x:v>
      </x:c>
    </x:row>
    <x:row r="28">
      <x:c r="A28" s="19" t="str">
        <x:v>WTW2_REJECT_BRIDGE_NAME_WITHOUT_DELIVERED_CONVECTIVE_SPEED</x:v>
      </x:c>
      <x:c r="B28" s="19" t="str">
        <x:v>straight_line_convective</x:v>
      </x:c>
      <x:c r="C28" s="19" t="str"/>
      <x:c r="D28" s="19" t="str">
        <x:v>{"pathway_id":"straight_line_convective","turbine_archetype":"generic_modern_onshore_tubular_multi_mw_screening_v1","ten_meter_3s_gust_mps":45,"convective_profile_bridge_id":"UNEXECUTED_BRIDGE_NAME_ONLY","iec_ve50_mps":59.5}</x:v>
      </x:c>
      <x:c r="E28" s="19" t="str"/>
      <x:c r="F28" s="19" t="str">
        <x:v>{"status":"withheld","error_code":"CONVECTIVE_PROFILE_BRIDGE_REQUIRED"}</x:v>
      </x:c>
      <x:c r="G28" s="19" t="str">
        <x:v>CONVECTIVE_PROFILE_BRIDGE_REQUIRED</x:v>
      </x:c>
      <x:c r="H28" s="19" t="str">
        <x:v>[]</x:v>
      </x:c>
      <x:c r="I28" s="19" t="n">
        <x:v>1e-12</x:v>
      </x:c>
      <x:c r="J28" s="19" t="str"/>
      <x:c r="K28" s="19" t="str">
        <x:v>contract_rejection_tests</x:v>
      </x:c>
    </x:row>
    <x:row r="29">
      <x:c r="A29" s="19" t="str">
        <x:v>WTW2_REJECT_SLC_ABOVE_70_MPS</x:v>
      </x:c>
      <x:c r="B29" s="19" t="str">
        <x:v>straight_line_convective</x:v>
      </x:c>
      <x:c r="C29" s="19" t="str"/>
      <x:c r="D29" s="19" t="str">
        <x:v>{"pathway_id":"straight_line_convective","turbine_archetype":"generic_modern_onshore_tubular_multi_mw_screening_v1","rotor_effective_3s_gust_mps":70.0001,"iec_ve50_mps":59.5}</x:v>
      </x:c>
      <x:c r="E29" s="19" t="str"/>
      <x:c r="F29" s="19" t="str">
        <x:v>{"status":"withheld","error_code":"CONVECTIVE_SPEED_ABOVE_70_MPS_WITHHELD"}</x:v>
      </x:c>
      <x:c r="G29" s="19" t="str">
        <x:v>CONVECTIVE_SPEED_ABOVE_70_MPS_WITHHELD</x:v>
      </x:c>
      <x:c r="H29" s="19" t="str">
        <x:v>[]</x:v>
      </x:c>
      <x:c r="I29" s="19" t="n">
        <x:v>1e-12</x:v>
      </x:c>
      <x:c r="J29" s="19" t="str"/>
      <x:c r="K29" s="19" t="str">
        <x:v>contract_rejection_tests</x:v>
      </x:c>
    </x:row>
    <x:row r="30">
      <x:c r="A30" s="19" t="str">
        <x:v>WTW2_REJECT_SLC_AXIS_RATIO_ABOVE_TWO</x:v>
      </x:c>
      <x:c r="B30" s="19" t="str">
        <x:v>straight_line_convective</x:v>
      </x:c>
      <x:c r="C30" s="19" t="str"/>
      <x:c r="D30" s="19" t="str">
        <x:v>{"pathway_id":"straight_line_convective","turbine_archetype":"generic_modern_onshore_tubular_multi_mw_screening_v1","rotor_effective_3s_gust_mps":50,"iec_ve50_mps":20}</x:v>
      </x:c>
      <x:c r="E30" s="19" t="str"/>
      <x:c r="F30" s="19" t="str">
        <x:v>{"status":"withheld","error_code":"AXIS_OUTSIDE_VALID_RANGE"}</x:v>
      </x:c>
      <x:c r="G30" s="19" t="str">
        <x:v>AXIS_OUTSIDE_VALID_RANGE</x:v>
      </x:c>
      <x:c r="H30" s="19" t="str">
        <x:v>[]</x:v>
      </x:c>
      <x:c r="I30" s="19" t="n">
        <x:v>1e-12</x:v>
      </x:c>
      <x:c r="J30" s="19" t="str"/>
      <x:c r="K30" s="19" t="str">
        <x:v>contract_rejection_tests</x:v>
      </x:c>
    </x:row>
    <x:row r="31">
      <x:c r="A31" s="19" t="str">
        <x:v>WTW2_REJECT_EF_ONLY_TORNADO_INPUT</x:v>
      </x:c>
      <x:c r="B31" s="19" t="str">
        <x:v>tornado_direct_hit</x:v>
      </x:c>
      <x:c r="C31" s="19" t="str"/>
      <x:c r="D31" s="19" t="str">
        <x:v>{"pathway_id":"tornado_direct_hit","turbine_archetype":"generic_modern_onshore_tubular_multi_mw_screening_v1","ef_class":"EF3","tornado_input_basis":"radar_profile_bridge","tornado_profile_bridge_id":"KAT_RADAR_PROFILE_V1"}</x:v>
      </x:c>
      <x:c r="E31" s="19" t="str"/>
      <x:c r="F31" s="19" t="str">
        <x:v>{"status":"withheld","error_code":"EF_ONLY_INPUT_PROHIBITED"}</x:v>
      </x:c>
      <x:c r="G31" s="19" t="str">
        <x:v>EF_ONLY_INPUT_PROHIBITED</x:v>
      </x:c>
      <x:c r="H31" s="19" t="str">
        <x:v>[]</x:v>
      </x:c>
      <x:c r="I31" s="19" t="n">
        <x:v>1e-12</x:v>
      </x:c>
      <x:c r="J31" s="19" t="str"/>
      <x:c r="K31" s="19" t="str">
        <x:v>contract_rejection_tests</x:v>
      </x:c>
    </x:row>
    <x:row r="32">
      <x:c r="A32" s="19" t="str">
        <x:v>WTW2_REJECT_TORNADO_WITHOUT_PROFILE_BRIDGE</x:v>
      </x:c>
      <x:c r="B32" s="19" t="str">
        <x:v>tornado_direct_hit</x:v>
      </x:c>
      <x:c r="C32" s="19" t="str"/>
      <x:c r="D32" s="19" t="str">
        <x:v>{"pathway_id":"tornado_direct_hit","turbine_archetype":"generic_modern_onshore_tubular_multi_mw_screening_v1","tornado_rotor_effective_peak_horizontal_speed_mps":67,"tornado_input_basis":"rotor_resolved_wind_field"}</x:v>
      </x:c>
      <x:c r="E32" s="19" t="str"/>
      <x:c r="F32" s="19" t="str">
        <x:v>{"status":"withheld","error_code":"TORNADO_PROFILE_BRIDGE_REQUIRED"}</x:v>
      </x:c>
      <x:c r="G32" s="19" t="str">
        <x:v>TORNADO_PROFILE_BRIDGE_REQUIRED</x:v>
      </x:c>
      <x:c r="H32" s="19" t="str">
        <x:v>[]</x:v>
      </x:c>
      <x:c r="I32" s="19" t="n">
        <x:v>1e-12</x:v>
      </x:c>
      <x:c r="J32" s="19" t="str"/>
      <x:c r="K32" s="19" t="str">
        <x:v>contract_rejection_tests</x:v>
      </x:c>
    </x:row>
    <x:row r="33">
      <x:c r="A33" s="19" t="str">
        <x:v>WTW2_REJECT_TORNADO_BASIS_FIELD_MISMATCH</x:v>
      </x:c>
      <x:c r="B33" s="19" t="str">
        <x:v>tornado_direct_hit</x:v>
      </x:c>
      <x:c r="C33" s="19" t="str"/>
      <x:c r="D33" s="19" t="str">
        <x:v>{"pathway_id":"tornado_direct_hit","turbine_archetype":"generic_modern_onshore_tubular_multi_mw_screening_v1","tornado_hub_height_peak_3s_gust_mps":58,"tornado_input_basis":"rotor_resolved_wind_field","tornado_profile_bridge_id":"KAT_HUB_PROXY_V1"}</x:v>
      </x:c>
      <x:c r="E33" s="19" t="str"/>
      <x:c r="F33" s="19" t="str">
        <x:v>{"status":"withheld","error_code":"TORNADO_PROFILE_BRIDGE_REQUIRED"}</x:v>
      </x:c>
      <x:c r="G33" s="19" t="str">
        <x:v>TORNADO_PROFILE_BRIDGE_REQUIRED</x:v>
      </x:c>
      <x:c r="H33" s="19" t="str">
        <x:v>[]</x:v>
      </x:c>
      <x:c r="I33" s="19" t="n">
        <x:v>1e-12</x:v>
      </x:c>
      <x:c r="J33" s="19" t="str"/>
      <x:c r="K33" s="19" t="str">
        <x:v>contract_rejection_tests</x:v>
      </x:c>
    </x:row>
    <x:row r="34">
      <x:c r="A34" s="19" t="str">
        <x:v>WTW2_REJECT_TORNADO_ABOVE_AXIS_MAX</x:v>
      </x:c>
      <x:c r="B34" s="19" t="str">
        <x:v>tornado_direct_hit</x:v>
      </x:c>
      <x:c r="C34" s="19" t="str"/>
      <x:c r="D34" s="19" t="str">
        <x:v>{"pathway_id":"tornado_direct_hit","turbine_archetype":"generic_modern_onshore_tubular_multi_mw_screening_v1","tornado_rotor_effective_peak_horizontal_speed_mps":100.0001,"tornado_input_basis":"rotor_resolved_wind_field","tornado_profile_bridge_id":"KAT_ROTOR_FIELD_V1"}</x:v>
      </x:c>
      <x:c r="E34" s="19" t="str"/>
      <x:c r="F34" s="19" t="str">
        <x:v>{"status":"withheld","error_code":"AXIS_OUTSIDE_VALID_RANGE"}</x:v>
      </x:c>
      <x:c r="G34" s="19" t="str">
        <x:v>AXIS_OUTSIDE_VALID_RANGE</x:v>
      </x:c>
      <x:c r="H34" s="19" t="str">
        <x:v>[]</x:v>
      </x:c>
      <x:c r="I34" s="19" t="n">
        <x:v>1e-12</x:v>
      </x:c>
      <x:c r="J34" s="19" t="str"/>
      <x:c r="K34" s="19" t="str">
        <x:v>contract_rejection_tests</x:v>
      </x:c>
    </x:row>
    <x:row r="35">
      <x:c r="A35" s="19" t="str">
        <x:v>WTW2_REJECT_UNSUPPORTED_ARCHETYPE</x:v>
      </x:c>
      <x:c r="B35" s="19" t="str">
        <x:v>straight_line_convective</x:v>
      </x:c>
      <x:c r="C35" s="19" t="str"/>
      <x:c r="D35" s="19" t="str">
        <x:v>{"pathway_id":"straight_line_convective","turbine_archetype":"offshore_floating_15mw","rotor_effective_3s_gust_mps":50,"iec_ve50_mps":59.5}</x:v>
      </x:c>
      <x:c r="E35" s="19" t="str"/>
      <x:c r="F35" s="19" t="str">
        <x:v>{"status":"withheld","error_code":"TURBINE_ARCHETYPE_UNSUPPORTED"}</x:v>
      </x:c>
      <x:c r="G35" s="19" t="str">
        <x:v>TURBINE_ARCHETYPE_UNSUPPORTED</x:v>
      </x:c>
      <x:c r="H35" s="19" t="str">
        <x:v>[]</x:v>
      </x:c>
      <x:c r="I35" s="19" t="n">
        <x:v>1e-12</x:v>
      </x:c>
      <x:c r="J35" s="19" t="str"/>
      <x:c r="K35" s="19" t="str">
        <x:v>contract_rejection_tests</x:v>
      </x:c>
    </x:row>
    <x:row r="38">
      <x:c r="A38" s="10" t="str">
        <x:v>cross_pathway_assertions</x:v>
      </x:c>
      <x:c r="B38" s="10" t="str">
        <x:v>cross_pathway_assertions</x:v>
      </x:c>
      <x:c r="C38" s="10" t="str">
        <x:v>cross_pathway_assertions</x:v>
      </x:c>
      <x:c r="D38" s="10" t="str">
        <x:v>cross_pathway_assertions</x:v>
      </x:c>
      <x:c r="E38" s="10" t="str">
        <x:v>cross_pathway_assertions</x:v>
      </x:c>
      <x:c r="F38" s="10" t="str">
        <x:v>cross_pathway_assertions</x:v>
      </x:c>
      <x:c r="G38" s="10" t="str">
        <x:v>cross_pathway_assertions</x:v>
      </x:c>
      <x:c r="H38" s="10" t="str">
        <x:v>cross_pathway_assertions</x:v>
      </x:c>
      <x:c r="I38" s="10" t="str">
        <x:v>cross_pathway_assertions</x:v>
      </x:c>
      <x:c r="J38" s="10" t="str">
        <x:v>cross_pathway_assertions</x:v>
      </x:c>
      <x:c r="K38" s="10" t="str">
        <x:v>cross_pathway_assertions</x:v>
      </x:c>
    </x:row>
    <x:row r="39">
      <x:c r="A39" s="15" t="str">
        <x:v>test_id</x:v>
      </x:c>
      <x:c r="B39" s="15" t="str">
        <x:v>pathway_id</x:v>
      </x:c>
      <x:c r="C39" s="15" t="str">
        <x:v>failure_unit_id</x:v>
      </x:c>
      <x:c r="D39" s="15" t="str">
        <x:v>input / fixture</x:v>
      </x:c>
      <x:c r="E39" s="15" t="str">
        <x:v>expected central DR</x:v>
      </x:c>
      <x:c r="F39" s="15" t="str">
        <x:v>expected scenarios / state / assertions</x:v>
      </x:c>
      <x:c r="G39" s="15" t="str">
        <x:v>expected error</x:v>
      </x:c>
      <x:c r="H39" s="15" t="str">
        <x:v>expected flags</x:v>
      </x:c>
      <x:c r="I39" s="15" t="str">
        <x:v>tolerance</x:v>
      </x:c>
      <x:c r="J39" s="15" t="str">
        <x:v>purpose</x:v>
      </x:c>
      <x:c r="K39" s="15" t="str">
        <x:v>source JSON group</x:v>
      </x:c>
    </x:row>
    <x:row r="40">
      <x:c r="A40" s="19" t="str">
        <x:v>WTW2_EQUAL_50_MPS_DOES_NOT_COLLAPSE_PATHWAYS</x:v>
      </x:c>
      <x:c r="B40" s="19" t="str"/>
      <x:c r="C40" s="19" t="str"/>
      <x:c r="D40" s="19" t="str">
        <x:v>{}</x:v>
      </x:c>
      <x:c r="E40" s="19" t="str"/>
      <x:c r="F40" s="19" t="str">
        <x:v>{"assertions":["pathway_id_differs","curve_id_differs","axis_id_differs","scalar_central_dr_differs"],"left_test_id":"WTW2_SLC_HUB_PROXY_50_MPS","right_test_id":"WTW2_TOR_EQUAL_INTENSITY_50_MPS"}</x:v>
      </x:c>
      <x:c r="G40" s="19" t="str"/>
      <x:c r="H40" s="19" t="str">
        <x:v>[]</x:v>
      </x:c>
      <x:c r="I40" s="19" t="n">
        <x:v>1e-12</x:v>
      </x:c>
      <x:c r="J40" s="19" t="str"/>
      <x:c r="K40" s="19" t="str">
        <x:v>cross_pathway_assertions</x:v>
      </x:c>
    </x:row>
    <x:row r="43">
      <x:c r="A43" s="10" t="str">
        <x:v>consumer_pin_tests</x:v>
      </x:c>
      <x:c r="B43" s="10" t="str">
        <x:v>consumer_pin_tests</x:v>
      </x:c>
      <x:c r="C43" s="10" t="str">
        <x:v>consumer_pin_tests</x:v>
      </x:c>
      <x:c r="D43" s="10" t="str">
        <x:v>consumer_pin_tests</x:v>
      </x:c>
      <x:c r="E43" s="10" t="str">
        <x:v>consumer_pin_tests</x:v>
      </x:c>
      <x:c r="F43" s="10" t="str">
        <x:v>consumer_pin_tests</x:v>
      </x:c>
      <x:c r="G43" s="10" t="str">
        <x:v>consumer_pin_tests</x:v>
      </x:c>
      <x:c r="H43" s="10" t="str">
        <x:v>consumer_pin_tests</x:v>
      </x:c>
      <x:c r="I43" s="10" t="str">
        <x:v>consumer_pin_tests</x:v>
      </x:c>
      <x:c r="J43" s="10" t="str">
        <x:v>consumer_pin_tests</x:v>
      </x:c>
      <x:c r="K43" s="10" t="str">
        <x:v>consumer_pin_tests</x:v>
      </x:c>
    </x:row>
    <x:row r="44">
      <x:c r="A44" s="15" t="str">
        <x:v>test_id</x:v>
      </x:c>
      <x:c r="B44" s="15" t="str">
        <x:v>pathway_id</x:v>
      </x:c>
      <x:c r="C44" s="15" t="str">
        <x:v>failure_unit_id</x:v>
      </x:c>
      <x:c r="D44" s="15" t="str">
        <x:v>input / fixture</x:v>
      </x:c>
      <x:c r="E44" s="15" t="str">
        <x:v>expected central DR</x:v>
      </x:c>
      <x:c r="F44" s="15" t="str">
        <x:v>expected scenarios / state / assertions</x:v>
      </x:c>
      <x:c r="G44" s="15" t="str">
        <x:v>expected error</x:v>
      </x:c>
      <x:c r="H44" s="15" t="str">
        <x:v>expected flags</x:v>
      </x:c>
      <x:c r="I44" s="15" t="str">
        <x:v>tolerance</x:v>
      </x:c>
      <x:c r="J44" s="15" t="str">
        <x:v>purpose</x:v>
      </x:c>
      <x:c r="K44" s="15" t="str">
        <x:v>source JSON group</x:v>
      </x:c>
    </x:row>
    <x:row r="45">
      <x:c r="A45" s="19" t="str">
        <x:v>WTW2_EXACT_COMPUTED_ARTIFACT_PIN_ACCEPTED</x:v>
      </x:c>
      <x:c r="B45" s="19" t="str"/>
      <x:c r="C45" s="19" t="str"/>
      <x:c r="D45" s="19" t="str">
        <x:v>{"pin_fixture":"exact_values_plus_sha256_computed_from_artifact_bytes"}</x:v>
      </x:c>
      <x:c r="E45" s="19" t="str"/>
      <x:c r="F45" s="19" t="str">
        <x:v>{"status":"accepted"}</x:v>
      </x:c>
      <x:c r="G45" s="19" t="str"/>
      <x:c r="H45" s="19" t="str">
        <x:v>[]</x:v>
      </x:c>
      <x:c r="I45" s="19" t="n">
        <x:v>1e-12</x:v>
      </x:c>
      <x:c r="J45" s="19" t="str"/>
      <x:c r="K45" s="19" t="str">
        <x:v>consumer_pin_tests</x:v>
      </x:c>
    </x:row>
    <x:row r="46">
      <x:c r="A46" s="19" t="str">
        <x:v>WTW2_STALE_ARTIFACT_SHA_REJECTED</x:v>
      </x:c>
      <x:c r="B46" s="19" t="str"/>
      <x:c r="C46" s="19" t="str"/>
      <x:c r="D46" s="19" t="str">
        <x:v>{"pin_fixture":"exact_values_with_artifact_sha256_replaced_by_64_zeroes"}</x:v>
      </x:c>
      <x:c r="E46" s="19" t="str"/>
      <x:c r="F46" s="19" t="str">
        <x:v>{"status":"withheld","error_code":"ARTIFACT_PIN_MISMATCH"}</x:v>
      </x:c>
      <x:c r="G46" s="19" t="str">
        <x:v>ARTIFACT_PIN_MISMATCH</x:v>
      </x:c>
      <x:c r="H46" s="19" t="str">
        <x:v>[]</x:v>
      </x:c>
      <x:c r="I46" s="19" t="n">
        <x:v>1e-12</x:v>
      </x:c>
      <x:c r="J46" s="19" t="str"/>
      <x:c r="K46" s="19" t="str">
        <x:v>consumer_pin_tests</x:v>
      </x:c>
    </x:row>
    <x:row r="47">
      <x:c r="A47" s="19" t="str">
        <x:v>WTW2_STALE_MODEL_VERSION_REJECTED</x:v>
      </x:c>
      <x:c r="B47" s="19" t="str"/>
      <x:c r="C47" s="19" t="str"/>
      <x:c r="D47" s="19" t="str">
        <x:v>{"pin_fixture":"exact_values_with_semantic_damage_model_version_replaced_by_model_v1_0"}</x:v>
      </x:c>
      <x:c r="E47" s="19" t="str"/>
      <x:c r="F47" s="19" t="str">
        <x:v>{"status":"withheld","error_code":"ARTIFACT_PIN_MISMATCH"}</x:v>
      </x:c>
      <x:c r="G47" s="19" t="str">
        <x:v>ARTIFACT_PIN_MISMATCH</x:v>
      </x:c>
      <x:c r="H47" s="19" t="str">
        <x:v>[]</x:v>
      </x:c>
      <x:c r="I47" s="19" t="n">
        <x:v>1e-12</x:v>
      </x:c>
      <x:c r="J47" s="19" t="str"/>
      <x:c r="K47" s="19" t="str">
        <x:v>consumer_pin_tests</x:v>
      </x:c>
    </x:row>
    <x:row r="48">
      <x:c r="A48" s="19" t="str">
        <x:v>WTW2_INCOMPLETE_PIN_REJECTED</x:v>
      </x:c>
      <x:c r="B48" s="19" t="str"/>
      <x:c r="C48" s="19" t="str"/>
      <x:c r="D48" s="19" t="str">
        <x:v>{"pin_fixture":"exact_values_with_documentation_revision_removed"}</x:v>
      </x:c>
      <x:c r="E48" s="19" t="str"/>
      <x:c r="F48" s="19" t="str">
        <x:v>{"status":"withheld","error_code":"ARTIFACT_PIN_INCOMPLETE"}</x:v>
      </x:c>
      <x:c r="G48" s="19" t="str">
        <x:v>ARTIFACT_PIN_INCOMPLETE</x:v>
      </x:c>
      <x:c r="H48" s="19" t="str">
        <x:v>[]</x:v>
      </x:c>
      <x:c r="I48" s="19" t="n">
        <x:v>1e-12</x:v>
      </x:c>
      <x:c r="J48" s="19" t="str"/>
      <x:c r="K48" s="19" t="str">
        <x:v>consumer_pin_tests</x:v>
      </x:c>
    </x:row>
    <x:row r="51">
      <x:c r="A51" s="10" t="str">
        <x:v>global_output_assertions</x:v>
      </x:c>
      <x:c r="B51" s="10" t="str">
        <x:v>global_output_assertions</x:v>
      </x:c>
      <x:c r="C51" s="10" t="str">
        <x:v>global_output_assertions</x:v>
      </x:c>
      <x:c r="D51" s="10" t="str">
        <x:v>global_output_assertions</x:v>
      </x:c>
      <x:c r="E51" s="10" t="str">
        <x:v>global_output_assertions</x:v>
      </x:c>
      <x:c r="F51" s="10" t="str">
        <x:v>global_output_assertions</x:v>
      </x:c>
      <x:c r="G51" s="10" t="str">
        <x:v>global_output_assertions</x:v>
      </x:c>
      <x:c r="H51" s="10" t="str">
        <x:v>global_output_assertions</x:v>
      </x:c>
      <x:c r="I51" s="10" t="str">
        <x:v>global_output_assertions</x:v>
      </x:c>
      <x:c r="J51" s="10" t="str">
        <x:v>global_output_assertions</x:v>
      </x:c>
      <x:c r="K51" s="10" t="str">
        <x:v>global_output_assertions</x:v>
      </x:c>
    </x:row>
    <x:row r="52">
      <x:c r="A52" s="15" t="str">
        <x:v>test_id</x:v>
      </x:c>
      <x:c r="B52" s="15" t="str">
        <x:v>pathway_id</x:v>
      </x:c>
      <x:c r="C52" s="15" t="str">
        <x:v>failure_unit_id</x:v>
      </x:c>
      <x:c r="D52" s="15" t="str">
        <x:v>input / fixture</x:v>
      </x:c>
      <x:c r="E52" s="15" t="str">
        <x:v>expected central DR</x:v>
      </x:c>
      <x:c r="F52" s="15" t="str">
        <x:v>expected scenarios / state / assertions</x:v>
      </x:c>
      <x:c r="G52" s="15" t="str">
        <x:v>expected error</x:v>
      </x:c>
      <x:c r="H52" s="15" t="str">
        <x:v>expected flags</x:v>
      </x:c>
      <x:c r="I52" s="15" t="str">
        <x:v>tolerance</x:v>
      </x:c>
      <x:c r="J52" s="15" t="str">
        <x:v>purpose</x:v>
      </x:c>
      <x:c r="K52" s="15" t="str">
        <x:v>source JSON group</x:v>
      </x:c>
    </x:row>
    <x:row r="53">
      <x:c r="A53" s="19" t="str">
        <x:v>GLOBAL_1</x:v>
      </x:c>
      <x:c r="B53" s="19" t="str"/>
      <x:c r="C53" s="19" t="str"/>
      <x:c r="D53" s="19" t="str">
        <x:v>{}</x:v>
      </x:c>
      <x:c r="E53" s="19" t="str"/>
      <x:c r="F53" s="19" t="str">
        <x:v>{}</x:v>
      </x:c>
      <x:c r="G53" s="19" t="str"/>
      <x:c r="H53" s="19" t="str">
        <x:v>[]</x:v>
      </x:c>
      <x:c r="I53" s="19" t="n">
        <x:v>1e-12</x:v>
      </x:c>
      <x:c r="J53" s="19" t="str">
        <x:v>every emit and failure-unit result repeats the exact requested pathway_id</x:v>
      </x:c>
      <x:c r="K53" s="19" t="str">
        <x:v>global_output_assertions</x:v>
      </x:c>
    </x:row>
    <x:row r="54">
      <x:c r="A54" s="19" t="str">
        <x:v>GLOBAL_2</x:v>
      </x:c>
      <x:c r="B54" s="19" t="str"/>
      <x:c r="C54" s="19" t="str"/>
      <x:c r="D54" s="19" t="str">
        <x:v>{}</x:v>
      </x:c>
      <x:c r="E54" s="19" t="str"/>
      <x:c r="F54" s="19" t="str">
        <x:v>{}</x:v>
      </x:c>
      <x:c r="G54" s="19" t="str"/>
      <x:c r="H54" s="19" t="str">
        <x:v>[]</x:v>
      </x:c>
      <x:c r="I54" s="19" t="n">
        <x:v>1e-12</x:v>
      </x:c>
      <x:c r="J54" s="19" t="str">
        <x:v>every supported result carries the exact pathway-specific curve_id</x:v>
      </x:c>
      <x:c r="K54" s="19" t="str">
        <x:v>global_output_assertions</x:v>
      </x:c>
    </x:row>
    <x:row r="55">
      <x:c r="A55" s="19" t="str">
        <x:v>GLOBAL_3</x:v>
      </x:c>
      <x:c r="B55" s="19" t="str"/>
      <x:c r="C55" s="19" t="str"/>
      <x:c r="D55" s="19" t="str">
        <x:v>{}</x:v>
      </x:c>
      <x:c r="E55" s="19" t="str"/>
      <x:c r="F55" s="19" t="str">
        <x:v>{}</x:v>
      </x:c>
      <x:c r="G55" s="19" t="str"/>
      <x:c r="H55" s="19" t="str">
        <x:v>[]</x:v>
      </x:c>
      <x:c r="I55" s="19" t="n">
        <x:v>1e-12</x:v>
      </x:c>
      <x:c r="J55" s="19" t="str">
        <x:v>scenario resistance bounds are not averaged or assigned weights</x:v>
      </x:c>
      <x:c r="K55" s="19" t="str">
        <x:v>global_output_assertions</x:v>
      </x:c>
    </x:row>
    <x:row r="56">
      <x:c r="A56" s="19" t="str">
        <x:v>GLOBAL_4</x:v>
      </x:c>
      <x:c r="B56" s="19" t="str"/>
      <x:c r="C56" s="19" t="str"/>
      <x:c r="D56" s="19" t="str">
        <x:v>{}</x:v>
      </x:c>
      <x:c r="E56" s="19" t="str"/>
      <x:c r="F56" s="19" t="str">
        <x:v>{}</x:v>
      </x:c>
      <x:c r="G56" s="19" t="str"/>
      <x:c r="H56" s="19" t="str">
        <x:v>[]</x:v>
      </x:c>
      <x:c r="I56" s="19" t="n">
        <x:v>1e-12</x:v>
      </x:c>
      <x:c r="J56" s="19" t="str">
        <x:v>state probabilities for every scenario sum to one</x:v>
      </x:c>
      <x:c r="K56" s="19" t="str">
        <x:v>global_output_assertions</x:v>
      </x:c>
    </x:row>
    <x:row r="57">
      <x:c r="A57" s="19" t="str">
        <x:v>GLOBAL_5</x:v>
      </x:c>
      <x:c r="B57" s="19" t="str"/>
      <x:c r="C57" s="19" t="str"/>
      <x:c r="D57" s="19" t="str">
        <x:v>{}</x:v>
      </x:c>
      <x:c r="E57" s="19" t="str"/>
      <x:c r="F57" s="19" t="str">
        <x:v>{}</x:v>
      </x:c>
      <x:c r="G57" s="19" t="str"/>
      <x:c r="H57" s="19" t="str">
        <x:v>[]</x:v>
      </x:c>
      <x:c r="I57" s="19" t="n">
        <x:v>1e-12</x:v>
      </x:c>
      <x:c r="J57" s="19" t="str">
        <x:v>intrinsic evaluator output contains no scenario loss, exposure scaling, support cost, frequency, EAL, PML, VaR, or TVaR</x:v>
      </x:c>
      <x:c r="K57" s="19" t="str">
        <x:v>global_output_assertions</x:v>
      </x:c>
    </x:row>
  </x:sheetData>
  <x:mergeCells>
    <x:mergeCell ref="A1:J1"/>
    <x:mergeCell ref="A2:J2"/>
    <x:mergeCell ref="A4:K4"/>
    <x:mergeCell ref="A21:K21"/>
    <x:mergeCell ref="A38:K38"/>
    <x:mergeCell ref="A43:K43"/>
    <x:mergeCell ref="A51:K5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2" hidden="0" customWidth="1"/>
    <x:col min="3" max="3" width="48" hidden="0" customWidth="1"/>
    <x:col min="4" max="4" width="14" hidden="0" customWidth="1"/>
    <x:col min="5" max="5" width="36" hidden="0" customWidth="1"/>
    <x:col min="6" max="6" width="28" hidden="0" customWidth="1"/>
    <x:col min="7" max="7" width="24" hidden="0" customWidth="1"/>
    <x:col min="8" max="8" width="24" hidden="0" customWidth="1"/>
    <x:col min="9" max="9" width="18" hidden="0" customWidth="1"/>
    <x:col min="10" max="10" width="24" hidden="0" customWidth="1"/>
    <x:col min="11" max="11" width="32" hidden="0" customWidth="1"/>
    <x:col min="12" max="12" width="54" hidden="0" customWidth="1"/>
    <x:col min="13" max="13" width="54" hidden="0" customWidth="1"/>
    <x:col min="14" max="14" width="20" hidden="0" customWidth="1"/>
    <x:col min="15" max="15" width="18" hidden="0" customWidth="1"/>
    <x:col min="16" max="16" width="50" hidden="0" customWidth="1"/>
  </x:cols>
  <x:sheetData>
    <x:row r="1" ht="30" customHeight="1">
      <x:c r="A1" s="3" t="str">
        <x:v>Bounded-search source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A source supports only the permitted inference at the cited locator; every prohibited inference remains explicit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58" customHeight="1">
      <x:c r="A4" s="15" t="str">
        <x:v>source_id</x:v>
      </x:c>
      <x:c r="B4" s="15" t="str">
        <x:v>citation</x:v>
      </x:c>
      <x:c r="C4" s="15" t="str">
        <x:v>url</x:v>
      </x:c>
      <x:c r="D4" s="15" t="str">
        <x:v>accessed_on</x:v>
      </x:c>
      <x:c r="E4" s="15" t="str">
        <x:v>exact_locator</x:v>
      </x:c>
      <x:c r="F4" s="15" t="str">
        <x:v>source_type</x:v>
      </x:c>
      <x:c r="G4" s="15" t="str">
        <x:v>source_role</x:v>
      </x:c>
      <x:c r="H4" s="15" t="str">
        <x:v>evidence_tier</x:v>
      </x:c>
      <x:c r="I4" s="15" t="str">
        <x:v>target_asset_match</x:v>
      </x:c>
      <x:c r="J4" s="15" t="str">
        <x:v>target_failure_unit_match</x:v>
      </x:c>
      <x:c r="K4" s="15" t="str">
        <x:v>measured_or_modeled_endpoint</x:v>
      </x:c>
      <x:c r="L4" s="15" t="str">
        <x:v>permitted_inference</x:v>
      </x:c>
      <x:c r="M4" s="15" t="str">
        <x:v>prohibited_inference</x:v>
      </x:c>
      <x:c r="N4" s="15" t="str">
        <x:v>decision</x:v>
      </x:c>
      <x:c r="O4" s="15" t="str">
        <x:v>status</x:v>
      </x:c>
      <x:c r="P4" s="15" t="str">
        <x:v>notes</x:v>
      </x:c>
    </x:row>
    <x:row r="5" ht="58" customHeight="1">
      <x:c r="A5" s="19" t="str">
        <x:v>SLC-S001</x:v>
      </x:c>
      <x:c r="B5" s="19" t="str">
        <x:v>Hawbecker, P.; Basu, S.; Manuel, L. Real-world extreme wind events: lessons from Buffalo Ridge for wind turbines. Wind Energy (2017). DOI 10.1002/we.2122.</x:v>
      </x:c>
      <x:c r="C5" s="19" t="str">
        <x:v>https://doi.org/10.1002/we.2122</x:v>
      </x:c>
      <x:c r="D5" s="19" t="str">
        <x:v>2026-07-11</x:v>
      </x:c>
      <x:c r="E5" s="19" t="str">
        <x:v>Abstract; event and turbine-description sections</x:v>
      </x:c>
      <x:c r="F5" s="19" t="str">
        <x:v>peer-reviewed field/case paper</x:v>
      </x:c>
      <x:c r="G5" s="19" t="str">
        <x:v>case_study_severity</x:v>
      </x:c>
      <x:c r="H5" s="19" t="str">
        <x:v>T1_claims_or_field_calibrated</x:v>
      </x:c>
      <x:c r="I5" s="19" t="str">
        <x:v>partial</x:v>
      </x:c>
      <x:c r="J5" s="19" t="str">
        <x:v>direct blade/tower; legacy turbines</x:v>
      </x:c>
      <x:c r="K5" s="19" t="str">
        <x:v>observed blade losses and one tower buckling; 30-50 m/s near-surface downburst estimate</x:v>
      </x:c>
      <x:c r="L5" s="19" t="str">
        <x:v>Convective wind can fail blade/tower systems and operational/configuration context matters.</x:v>
      </x:c>
      <x:c r="M5" s="19" t="str">
        <x:v>Pure downburst attribution; modern multi-MW turbine fragility; hub/rotor wind; repair-cost DR.</x:v>
      </x:c>
      <x:c r="N5" s="19" t="str">
        <x:v>adopt_with_limits</x:v>
      </x:c>
      <x:c r="O5" s="19" t="str">
        <x:v>reviewed</x:v>
      </x:c>
      <x:c r="P5" s="19" t="str">
        <x:v>Event also included tornadoes; 360-750 kW turbines with 24.4-55 m hub heights.</x:v>
      </x:c>
    </x:row>
    <x:row r="6" ht="58" customHeight="1">
      <x:c r="A6" s="19" t="str">
        <x:v>SLC-S002</x:v>
      </x:c>
      <x:c r="B6" s="19" t="str">
        <x:v>Nguyen, H.H.; Manuel, L. A Monte Carlo simulation study of wind turbine loads in thunderstorm downbursts. Energies 7 (2014) 6527-6553. DOI 10.3390/en7106527.</x:v>
      </x:c>
      <x:c r="C6" s="19" t="str">
        <x:v>https://doi.org/10.3390/en7106527</x:v>
      </x:c>
      <x:c r="D6" s="19" t="str">
        <x:v>2026-07-11</x:v>
      </x:c>
      <x:c r="E6" s="19" t="str">
        <x:v>Sections 4.2-4.4 and conclusions</x:v>
      </x:c>
      <x:c r="F6" s="19" t="str">
        <x:v>peer-reviewed numerical paper</x:v>
      </x:c>
      <x:c r="G6" s="19" t="str">
        <x:v>mechanism_only</x:v>
      </x:c>
      <x:c r="H6" s="19" t="str">
        <x:v>T2_public_lab_standard_or_physics</x:v>
      </x:c>
      <x:c r="I6" s="19" t="str">
        <x:v>direct reference-turbine physics</x:v>
      </x:c>
      <x:c r="J6" s="19" t="str">
        <x:v>blade/tower demand</x:v>
      </x:c>
      <x:c r="K6" s="19" t="str">
        <x:v>simulated aerodynamic/structural loads under downburst, pitch, yaw and track states</x:v>
      </x:c>
      <x:c r="L6" s="19" t="str">
        <x:v>Require operational/yaw/pitch state and reject a universal healthy-control shift.</x:v>
      </x:c>
      <x:c r="M6" s="19" t="str">
        <x:v>Failure probability, repair cost, or direct DR ordinate.</x:v>
      </x:c>
      <x:c r="N6" s="19" t="str">
        <x:v>adopt_with_limits</x:v>
      </x:c>
      <x:c r="O6" s="19" t="str">
        <x:v>reviewed</x:v>
      </x:c>
      <x:c r="P6" s="19" t="str">
        <x:v>Load may peak during control transition rather than at event maximum speed.</x:v>
      </x:c>
    </x:row>
    <x:row r="7" ht="58" customHeight="1">
      <x:c r="A7" s="19" t="str">
        <x:v>SLC-S003</x:v>
      </x:c>
      <x:c r="B7" s="19" t="str">
        <x:v>Lu, Y.; Sarkar, P.P.; Hu, H.; et al. Investigation of wind turbine performance under thunderstorm downburst winds. Energies 12 (2019) 2773. DOI 10.3390/en12142773.</x:v>
      </x:c>
      <x:c r="C7" s="19" t="str">
        <x:v>https://doi.org/10.3390/en12142773</x:v>
      </x:c>
      <x:c r="D7" s="19" t="str">
        <x:v>2026-07-11</x:v>
      </x:c>
      <x:c r="E7" s="19" t="str">
        <x:v>Table 3 p.26; Figure 21; conclusions</x:v>
      </x:c>
      <x:c r="F7" s="19" t="str">
        <x:v>peer-reviewed LES/OpenFAST paper</x:v>
      </x:c>
      <x:c r="G7" s="19" t="str">
        <x:v>mechanism_only</x:v>
      </x:c>
      <x:c r="H7" s="19" t="str">
        <x:v>T2_public_lab_standard_or_physics</x:v>
      </x:c>
      <x:c r="I7" s="19" t="str">
        <x:v>direct reference-turbine physics</x:v>
      </x:c>
      <x:c r="J7" s="19" t="str">
        <x:v>blade-root and yaw demand</x:v>
      </x:c>
      <x:c r="K7" s="19" t="str">
        <x:v>28.8-55 m/s cases; 1.0-1.6 m/s2 ramp; 21.3-110 degree direction change; 2-7x pre-event load range</x:v>
      </x:c>
      <x:c r="L7" s="19" t="str">
        <x:v>Carry ramp, direction change and state; constrain screening valid range.</x:v>
      </x:c>
      <x:c r="M7" s="19" t="str">
        <x:v>Treat 2-7x load as 2-7x DR or infer capacity/replacement.</x:v>
      </x:c>
      <x:c r="N7" s="19" t="str">
        <x:v>adopt_with_limits</x:v>
      </x:c>
      <x:c r="O7" s="19" t="str">
        <x:v>reviewed</x:v>
      </x:c>
      <x:c r="P7" s="19" t="str">
        <x:v>Quantitative load anchor without damage/cost endpoint.</x:v>
      </x:c>
    </x:row>
    <x:row r="8" ht="58" customHeight="1">
      <x:c r="A8" s="19" t="str">
        <x:v>SLC-S004</x:v>
      </x:c>
      <x:c r="B8" s="19" t="str">
        <x:v>Zhang, Y.; Sarkar, P.P.; Hu, H. An experimental study on wind turbine loads in a microburst-like wind. Journal of Fluids and Structures 57 (2015). DOI 10.1016/j.jfluidstructs.2015.06.016.</x:v>
      </x:c>
      <x:c r="C8" s="19" t="str">
        <x:v>https://doi.org/10.1016/j.jfluidstructs.2015.06.016</x:v>
      </x:c>
      <x:c r="D8" s="19" t="str">
        <x:v>2026-07-11</x:v>
      </x:c>
      <x:c r="E8" s="19" t="str">
        <x:v>Abstract and reported comparative load results</x:v>
      </x:c>
      <x:c r="F8" s="19" t="str">
        <x:v>peer-reviewed wind-tunnel paper</x:v>
      </x:c>
      <x:c r="G8" s="19" t="str">
        <x:v>mechanism_only</x:v>
      </x:c>
      <x:c r="H8" s="19" t="str">
        <x:v>T2_public_lab_standard_or_physics</x:v>
      </x:c>
      <x:c r="I8" s="19" t="str">
        <x:v>partial scaled model</x:v>
      </x:c>
      <x:c r="J8" s="19" t="str">
        <x:v>rotor/tower demand</x:v>
      </x:c>
      <x:c r="K8" s="19" t="str">
        <x:v>mean loads up to about 4x ABL and fluctuations up to about 10x in tested setup</x:v>
      </x:c>
      <x:c r="L8" s="19" t="str">
        <x:v>Validate distinct convective demand and location/orientation/state sensitivity.</x:v>
      </x:c>
      <x:c r="M8" s="19" t="str">
        <x:v>Full-scale fragility, universal amplification, or economic DR.</x:v>
      </x:c>
      <x:c r="N8" s="19" t="str">
        <x:v>adopt_with_limits</x:v>
      </x:c>
      <x:c r="O8" s="19" t="str">
        <x:v>reviewed</x:v>
      </x:c>
      <x:c r="P8" s="19" t="str">
        <x:v>Reduced-scale impinging-jet experiment.</x:v>
      </x:c>
    </x:row>
    <x:row r="9" ht="58" customHeight="1">
      <x:c r="A9" s="19" t="str">
        <x:v>SLC-S005</x:v>
      </x:c>
      <x:c r="B9" s="19" t="str">
        <x:v>Ahmed, S.; El Damatty, A.; Dai, K. Design load provisions for wind turbines under downbursts. Engineering Structures 2023, 116779. DOI 10.1016/j.engstruct.2023.116779.</x:v>
      </x:c>
      <x:c r="C9" s="19" t="str">
        <x:v>https://doi.org/10.1016/j.engstruct.2023.116779</x:v>
      </x:c>
      <x:c r="D9" s="19" t="str">
        <x:v>2026-07-11</x:v>
      </x:c>
      <x:c r="E9" s="19" t="str">
        <x:v>Abstract, method and conclusions</x:v>
      </x:c>
      <x:c r="F9" s="19" t="str">
        <x:v>peer-reviewed parametric numerical paper</x:v>
      </x:c>
      <x:c r="G9" s="19" t="str">
        <x:v>axis_bridge</x:v>
      </x:c>
      <x:c r="H9" s="19" t="str">
        <x:v>T2_public_lab_standard_or_physics</x:v>
      </x:c>
      <x:c r="I9" s="19" t="str">
        <x:v>direct reference-turbine physics</x:v>
      </x:c>
      <x:c r="J9" s="19" t="str">
        <x:v>tower/blade design demand</x:v>
      </x:c>
      <x:c r="K9" s="19" t="str">
        <x:v>Downburst-specific load profiles derived from more than one million parametric analyses</x:v>
      </x:c>
      <x:c r="L9" s="19" t="str">
        <x:v>Use reduced-order demand surrogate as future scientific target.</x:v>
      </x:c>
      <x:c r="M9" s="19" t="str">
        <x:v>Damage state probability or repair-cost DR.</x:v>
      </x:c>
      <x:c r="N9" s="19" t="str">
        <x:v>adopt_with_limits</x:v>
      </x:c>
      <x:c r="O9" s="19" t="str">
        <x:v>reviewed</x:v>
      </x:c>
      <x:c r="P9" s="19" t="str">
        <x:v>Downburst size/location/turbulence/turbine geometry/pitch all material.</x:v>
      </x:c>
    </x:row>
    <x:row r="10" ht="58" customHeight="1">
      <x:c r="A10" s="19" t="str">
        <x:v>SLC-S006</x:v>
      </x:c>
      <x:c r="B10" s="19" t="str">
        <x:v>Ahmed, S.; et al. Dynamic analysis of wind turbines under downburst loading. Journal of Structural Engineering (2023). DOI 10.1061/JSENDH.STENG-11923.</x:v>
      </x:c>
      <x:c r="C10" s="19" t="str">
        <x:v>https://doi.org/10.1061/JSENDH.STENG-11923</x:v>
      </x:c>
      <x:c r="D10" s="19" t="str">
        <x:v>2026-07-11</x:v>
      </x:c>
      <x:c r="E10" s="19" t="str">
        <x:v>Method, validation and conclusions</x:v>
      </x:c>
      <x:c r="F10" s="19" t="str">
        <x:v>peer-reviewed numerical paper</x:v>
      </x:c>
      <x:c r="G10" s="19" t="str">
        <x:v>mechanism_only</x:v>
      </x:c>
      <x:c r="H10" s="19" t="str">
        <x:v>T2_public_lab_standard_or_physics</x:v>
      </x:c>
      <x:c r="I10" s="19" t="str">
        <x:v>direct reference-turbine physics</x:v>
      </x:c>
      <x:c r="J10" s="19" t="str">
        <x:v>tower/blade dynamic demand</x:v>
      </x:c>
      <x:c r="K10" s="19" t="str">
        <x:v>dynamic/FSI load response</x:v>
      </x:c>
      <x:c r="L10" s="19" t="str">
        <x:v>Support nonstationary dynamic demand formulation.</x:v>
      </x:c>
      <x:c r="M10" s="19" t="str">
        <x:v>Failure probability or loss severity.</x:v>
      </x:c>
      <x:c r="N10" s="19" t="str">
        <x:v>adopt_with_limits</x:v>
      </x:c>
      <x:c r="O10" s="19" t="str">
        <x:v>reviewed</x:v>
      </x:c>
      <x:c r="P10" s="19" t="str">
        <x:v>No repair-cost endpoint.</x:v>
      </x:c>
    </x:row>
    <x:row r="11" ht="58" customHeight="1">
      <x:c r="A11" s="19" t="str">
        <x:v>SLC-S007</x:v>
      </x:c>
      <x:c r="B11" s="19" t="str">
        <x:v>Nguyen, H.H.; Manuel, L.; Veers, P.S. Wind turbine loads during simulated thunderstorm downbursts. AIP Conference Proceedings (2011). DOI 10.1063/1.3646764.</x:v>
      </x:c>
      <x:c r="C11" s="19" t="str">
        <x:v>https://doi.org/10.1063/1.3646764</x:v>
      </x:c>
      <x:c r="D11" s="19" t="str">
        <x:v>2026-07-11</x:v>
      </x:c>
      <x:c r="E11" s="19" t="str">
        <x:v>Load-case comparison and conclusions</x:v>
      </x:c>
      <x:c r="F11" s="19" t="str">
        <x:v>peer-reviewed conference paper</x:v>
      </x:c>
      <x:c r="G11" s="19" t="str">
        <x:v>validation_only</x:v>
      </x:c>
      <x:c r="H11" s="19" t="str">
        <x:v>T2_public_lab_standard_or_physics</x:v>
      </x:c>
      <x:c r="I11" s="19" t="str">
        <x:v>direct reference-turbine physics</x:v>
      </x:c>
      <x:c r="J11" s="19" t="str">
        <x:v>tower/blade demand</x:v>
      </x:c>
      <x:c r="K11" s="19" t="str">
        <x:v>tower/blade demand</x:v>
      </x:c>
      <x:c r="L11" s="19" t="str">
        <x:v>Confirm downburst loads require cases beyond ordinary IEC inflow.</x:v>
      </x:c>
      <x:c r="M11" s="19" t="str">
        <x:v>Damage curve calibration.</x:v>
      </x:c>
      <x:c r="N11" s="19" t="str">
        <x:v>adopt_with_limits</x:v>
      </x:c>
      <x:c r="O11" s="19" t="str">
        <x:v>reviewed</x:v>
      </x:c>
      <x:c r="P11" s="19" t="str">
        <x:v>Older modeling/control assumptions.</x:v>
      </x:c>
    </x:row>
    <x:row r="12" ht="58" customHeight="1">
      <x:c r="A12" s="19" t="str">
        <x:v>SLC-S008</x:v>
      </x:c>
      <x:c r="B12" s="19" t="str">
        <x:v>National Renewable Energy Laboratory. Extreme Inflow Conditions for Wind Turbine Design, NREL/TP-500-43521 (2008).</x:v>
      </x:c>
      <x:c r="C12" s="19" t="str">
        <x:v>https://docs.nlr.gov/docs/fy08osti/43521.pdf</x:v>
      </x:c>
      <x:c r="D12" s="19" t="str">
        <x:v>2026-07-11</x:v>
      </x:c>
      <x:c r="E12" s="19" t="str">
        <x:v>Section 5.2, pp.31-34</x:v>
      </x:c>
      <x:c r="F12" s="19" t="str">
        <x:v>government technical report</x:v>
      </x:c>
      <x:c r="G12" s="19" t="str">
        <x:v>axis_bridge</x:v>
      </x:c>
      <x:c r="H12" s="19" t="str">
        <x:v>T2_public_lab_standard_or_physics</x:v>
      </x:c>
      <x:c r="I12" s="19" t="str">
        <x:v>direct</x:v>
      </x:c>
      <x:c r="J12" s="19" t="str">
        <x:v>multi-unit demand descriptors</x:v>
      </x:c>
      <x:c r="K12" s="19" t="str">
        <x:v>Research needs identify gust magnitude, rapid direction change, rotor-scale shear/coherence, turbine configuration and fault/operating state</x:v>
      </x:c>
      <x:c r="L12" s="19" t="str">
        <x:v>Require descriptor/state fields and preserve uncertainty.</x:v>
      </x:c>
      <x:c r="M12" s="19" t="str">
        <x:v>Direct capacity, failure median, or DR.</x:v>
      </x:c>
      <x:c r="N12" s="19" t="str">
        <x:v>adopt</x:v>
      </x:c>
      <x:c r="O12" s="19" t="str">
        <x:v>reviewed</x:v>
      </x:c>
      <x:c r="P12" s="19" t="str">
        <x:v>Authoritative research-needs source.</x:v>
      </x:c>
    </x:row>
    <x:row r="13" ht="58" customHeight="1">
      <x:c r="A13" s="19" t="str">
        <x:v>SLC-S009</x:v>
      </x:c>
      <x:c r="B13" s="19" t="str">
        <x:v>IEC. IEC 61400-1:2019 Wind energy generation systems - Part 1: Design requirements.</x:v>
      </x:c>
      <x:c r="C13" s="19" t="str">
        <x:v>https://webstore.iec.ch/en/publication/26423</x:v>
      </x:c>
      <x:c r="D13" s="19" t="str">
        <x:v>2026-07-11</x:v>
      </x:c>
      <x:c r="E13" s="19" t="str">
        <x:v>Official publication record; design-class and DLC scope</x:v>
      </x:c>
      <x:c r="F13" s="19" t="str">
        <x:v>international standard</x:v>
      </x:c>
      <x:c r="G13" s="19" t="str">
        <x:v>selector_archetype</x:v>
      </x:c>
      <x:c r="H13" s="19" t="str">
        <x:v>T2_public_lab_standard_or_physics</x:v>
      </x:c>
      <x:c r="I13" s="19" t="str">
        <x:v>direct design framework</x:v>
      </x:c>
      <x:c r="J13" s="19" t="str">
        <x:v>all turbine structural units; selector only</x:v>
      </x:c>
      <x:c r="K13" s="19" t="str">
        <x:v>design/certification selector</x:v>
      </x:c>
      <x:c r="L13" s="19" t="str">
        <x:v>Use IEC class/design speed only as a selector/prior and exact lineage field.</x:v>
      </x:c>
      <x:c r="M13" s="19" t="str">
        <x:v>Treat Ve50 or a design load as a failure median or damage curve.</x:v>
      </x:c>
      <x:c r="N13" s="19" t="str">
        <x:v>adopt_with_limits</x:v>
      </x:c>
      <x:c r="O13" s="19" t="str">
        <x:v>reviewed</x:v>
      </x:c>
      <x:c r="P13" s="19" t="str">
        <x:v>Full standard is licensed.</x:v>
      </x:c>
    </x:row>
    <x:row r="14" ht="58" customHeight="1">
      <x:c r="A14" s="19" t="str">
        <x:v>SLC-S010</x:v>
      </x:c>
      <x:c r="B14" s="19" t="str">
        <x:v>Solari, G.; Burlando, M.; De Gaetano, P.; Repetto, M.P. Characteristics of thunderstorms relevant to the wind loading of structures. Probabilistic Engineering Mechanics 2018. DOI 10.1016/j.probengmech.2017.06.003.</x:v>
      </x:c>
      <x:c r="C14" s="19" t="str">
        <x:v>https://doi.org/10.1016/j.probengmech.2017.06.003</x:v>
      </x:c>
      <x:c r="D14" s="19" t="str">
        <x:v>2026-07-11</x:v>
      </x:c>
      <x:c r="E14" s="19" t="str">
        <x:v>277-record analysis and conclusions</x:v>
      </x:c>
      <x:c r="F14" s="19" t="str">
        <x:v>peer-reviewed observational/method paper</x:v>
      </x:c>
      <x:c r="G14" s="19" t="str">
        <x:v>mechanism_only</x:v>
      </x:c>
      <x:c r="H14" s="19" t="str">
        <x:v>T2_public_lab_standard_or_physics</x:v>
      </x:c>
      <x:c r="I14" s="19" t="str">
        <x:v>adjacent structure-general</x:v>
      </x:c>
      <x:c r="J14" s="19" t="str">
        <x:v>none direct; structure-general demand</x:v>
      </x:c>
      <x:c r="K14" s="19" t="str">
        <x:v>transient wind characterization</x:v>
      </x:c>
      <x:c r="L14" s="19" t="str">
        <x:v>Distinguish transient thunderstorm outflow from synoptic wind.</x:v>
      </x:c>
      <x:c r="M14" s="19" t="str">
        <x:v>Turbine damage or cost calibration.</x:v>
      </x:c>
      <x:c r="N14" s="19" t="str">
        <x:v>adopt_with_limits</x:v>
      </x:c>
      <x:c r="O14" s="19" t="str">
        <x:v>reviewed</x:v>
      </x:c>
      <x:c r="P14" s="19" t="str">
        <x:v>Structure-general, not turbine-specific.</x:v>
      </x:c>
    </x:row>
    <x:row r="15" ht="58" customHeight="1">
      <x:c r="A15" s="19" t="str">
        <x:v>SLC-S011</x:v>
      </x:c>
      <x:c r="B15" s="19" t="str">
        <x:v>Dang, T.; et al. Downburst wind profiles and implications for wind turbines. Wind Energy (2024). DOI 10.1002/we.2895.</x:v>
      </x:c>
      <x:c r="C15" s="19" t="str">
        <x:v>https://doi.org/10.1002/we.2895</x:v>
      </x:c>
      <x:c r="D15" s="19" t="str">
        <x:v>2026-07-11</x:v>
      </x:c>
      <x:c r="E15" s="19" t="str">
        <x:v>Section 2.1 and profile results</x:v>
      </x:c>
      <x:c r="F15" s="19" t="str">
        <x:v>peer-reviewed numerical/observational paper</x:v>
      </x:c>
      <x:c r="G15" s="19" t="str">
        <x:v>axis_bridge</x:v>
      </x:c>
      <x:c r="H15" s="19" t="str">
        <x:v>T2_public_lab_standard_or_physics</x:v>
      </x:c>
      <x:c r="I15" s="19" t="str">
        <x:v>partial</x:v>
      </x:c>
      <x:c r="J15" s="19" t="str">
        <x:v>rotor-height wind field</x:v>
      </x:c>
      <x:c r="K15" s="19" t="str">
        <x:v>Downburst horizontal-speed profile is nose shaped with height of maximum often in the rotor/hub range</x:v>
      </x:c>
      <x:c r="L15" s="19" t="str">
        <x:v>Reject a universal monotonic ABL 10 m-to-hub bridge.</x:v>
      </x:c>
      <x:c r="M15" s="19" t="str">
        <x:v>Universal 0.75/1.0/1.5 conversion or DR.</x:v>
      </x:c>
      <x:c r="N15" s="19" t="str">
        <x:v>adopt_with_limits</x:v>
      </x:c>
      <x:c r="O15" s="19" t="str">
        <x:v>reviewed</x:v>
      </x:c>
      <x:c r="P15" s="19" t="str">
        <x:v>Profile depends on event/site.</x:v>
      </x:c>
    </x:row>
    <x:row r="16" ht="58" customHeight="1">
      <x:c r="A16" s="19" t="str">
        <x:v>SLC-S012</x:v>
      </x:c>
      <x:c r="B16" s="19" t="str">
        <x:v>Romanic, D.; Taszarek, M.; Brooks, H.E. Convective windstorm reporting and climatology in U.S. Storm Events. Weather and Climate Extremes 2022, 100474. DOI 10.1016/j.wace.2022.100474.</x:v>
      </x:c>
      <x:c r="C16" s="19" t="str">
        <x:v>https://doi.org/10.1016/j.wace.2022.100474</x:v>
      </x:c>
      <x:c r="D16" s="19" t="str">
        <x:v>2026-07-11</x:v>
      </x:c>
      <x:c r="E16" s="19" t="str">
        <x:v>Database-count and reporting-bias results</x:v>
      </x:c>
      <x:c r="F16" s="19" t="str">
        <x:v>peer-reviewed climatology paper</x:v>
      </x:c>
      <x:c r="G16" s="19" t="str">
        <x:v>boundary_or_cap</x:v>
      </x:c>
      <x:c r="H16" s="19" t="str">
        <x:v>T2_public_lab_standard_or_physics</x:v>
      </x:c>
      <x:c r="I16" s="19" t="str">
        <x:v>none for damage</x:v>
      </x:c>
      <x:c r="J16" s="19" t="str">
        <x:v>none; occurrence reporting only</x:v>
      </x:c>
      <x:c r="K16" s="19" t="str">
        <x:v>occurrence reporting</x:v>
      </x:c>
      <x:c r="L16" s="19" t="str">
        <x:v>Storm Events labels are sparse and population biased; cannot supply an unbiased fragility denominator.</x:v>
      </x:c>
      <x:c r="M16" s="19" t="str">
        <x:v>Damage probability or occurrence rate without Hazard review.</x:v>
      </x:c>
      <x:c r="N16" s="19" t="str">
        <x:v>adopt_with_limits</x:v>
      </x:c>
      <x:c r="O16" s="19" t="str">
        <x:v>reviewed</x:v>
      </x:c>
      <x:c r="P16" s="19" t="str">
        <x:v>927 downburst, 914 microburst and 27 macroburst labels in reported study window.</x:v>
      </x:c>
    </x:row>
    <x:row r="17" ht="58" customHeight="1">
      <x:c r="A17" s="19" t="str">
        <x:v>SLC-S013</x:v>
      </x:c>
      <x:c r="B17" s="19" t="str">
        <x:v>NOAA Storm Prediction Center. 24 June 2006 severe-weather reports.</x:v>
      </x:c>
      <x:c r="C17" s="19" t="str">
        <x:v>https://origin-west-www-spc.woc.noaa.gov/climo/reports/060624_rpts.html</x:v>
      </x:c>
      <x:c r="D17" s="19" t="str">
        <x:v>2026-07-11</x:v>
      </x:c>
      <x:c r="E17" s="19" t="str">
        <x:v>Lake Benton, Minnesota thunderstorm-wind report</x:v>
      </x:c>
      <x:c r="F17" s="19" t="str">
        <x:v>official event report</x:v>
      </x:c>
      <x:c r="G17" s="19" t="str">
        <x:v>case_study_severity</x:v>
      </x:c>
      <x:c r="H17" s="19" t="str">
        <x:v>T1_claims_or_field_calibrated</x:v>
      </x:c>
      <x:c r="I17" s="19" t="str">
        <x:v>partial</x:v>
      </x:c>
      <x:c r="J17" s="19" t="str">
        <x:v>blade</x:v>
      </x:c>
      <x:c r="K17" s="19" t="str">
        <x:v>turbine blade snapped during thunderstorm wind</x:v>
      </x:c>
      <x:c r="L17" s="19" t="str">
        <x:v>Validate blade vulnerability qualitatively.</x:v>
      </x:c>
      <x:c r="M17" s="19" t="str">
        <x:v>Numeric fragility; no gust magnitude or asset state.</x:v>
      </x:c>
      <x:c r="N17" s="19" t="str">
        <x:v>adopt_with_limits</x:v>
      </x:c>
      <x:c r="O17" s="19" t="str">
        <x:v>reviewed</x:v>
      </x:c>
      <x:c r="P17" s="19" t="str">
        <x:v>Independent observed case without intensity.</x:v>
      </x:c>
    </x:row>
    <x:row r="18" ht="58" customHeight="1">
      <x:c r="A18" s="19" t="str">
        <x:v>SLC-S014</x:v>
      </x:c>
      <x:c r="B18" s="19" t="str">
        <x:v>Lu, Y.; et al. Wind-farm response to thunderstorm downbursts. Energies 14 (2021) 5407. DOI 10.3390/en14175407.</x:v>
      </x:c>
      <x:c r="C18" s="19" t="str">
        <x:v>https://doi.org/10.3390/en14175407</x:v>
      </x:c>
      <x:c r="D18" s="19" t="str">
        <x:v>2026-07-11</x:v>
      </x:c>
      <x:c r="E18" s="19" t="str">
        <x:v>Array simulations and spatial-response results</x:v>
      </x:c>
      <x:c r="F18" s="19" t="str">
        <x:v>peer-reviewed numerical paper</x:v>
      </x:c>
      <x:c r="G18" s="19" t="str">
        <x:v>exposure_or_value</x:v>
      </x:c>
      <x:c r="H18" s="19" t="str">
        <x:v>T2_public_lab_standard_or_physics</x:v>
      </x:c>
      <x:c r="I18" s="19" t="str">
        <x:v>direct wind-farm geometry</x:v>
      </x:c>
      <x:c r="J18" s="19" t="str">
        <x:v>turbine-array demand and exposure</x:v>
      </x:c>
      <x:c r="K18" s="19" t="str">
        <x:v>multi-turbine demand correlation</x:v>
      </x:c>
      <x:c r="L18" s="19" t="str">
        <x:v>Require turbine-level intensity and event-family/spatial coupling in Hazard.</x:v>
      </x:c>
      <x:c r="M18" s="19" t="str">
        <x:v>Apply one farm-average DR or infer frequency.</x:v>
      </x:c>
      <x:c r="N18" s="19" t="str">
        <x:v>adopt_with_limits</x:v>
      </x:c>
      <x:c r="O18" s="19" t="str">
        <x:v>reviewed</x:v>
      </x:c>
      <x:c r="P18" s="19" t="str">
        <x:v>Mainly informs M2 exposure/correlation boundary.</x:v>
      </x:c>
    </x:row>
    <x:row r="19" ht="58" customHeight="1">
      <x:c r="A19" s="19" t="str">
        <x:v>SLC-S015</x:v>
      </x:c>
      <x:c r="B19" s="19" t="str">
        <x:v>Jonkman, J.; Butterfield, S.; Musial, W.; Scott, G. Definition of a 5-MW Reference Wind Turbine for Offshore System Development, NREL/TP-500-38060 (2009). DOI 10.2172/947422.</x:v>
      </x:c>
      <x:c r="C19" s="19" t="str">
        <x:v>https://doi.org/10.2172/947422</x:v>
      </x:c>
      <x:c r="D19" s="19" t="str">
        <x:v>2026-07-11</x:v>
      </x:c>
      <x:c r="E19" s="19" t="str">
        <x:v>Turbine geometry and control definition</x:v>
      </x:c>
      <x:c r="F19" s="19" t="str">
        <x:v>government technical report</x:v>
      </x:c>
      <x:c r="G19" s="19" t="str">
        <x:v>selector_archetype</x:v>
      </x:c>
      <x:c r="H19" s="19" t="str">
        <x:v>T2_public_lab_standard_or_physics</x:v>
      </x:c>
      <x:c r="I19" s="19" t="str">
        <x:v>partial reference model</x:v>
      </x:c>
      <x:c r="J19" s="19" t="str">
        <x:v>all turbine units; geometry/control selector</x:v>
      </x:c>
      <x:c r="K19" s="19" t="str">
        <x:v>turbine geometry/control</x:v>
      </x:c>
      <x:c r="L19" s="19" t="str">
        <x:v>Identify what a cited NREL 5-MW simulation represents.</x:v>
      </x:c>
      <x:c r="M19" s="19" t="str">
        <x:v>Certified capacity or general fleet fragility.</x:v>
      </x:c>
      <x:c r="N19" s="19" t="str">
        <x:v>adopt_with_limits</x:v>
      </x:c>
      <x:c r="O19" s="19" t="str">
        <x:v>reviewed</x:v>
      </x:c>
      <x:c r="P19" s="19" t="str">
        <x:v>Research reference turbine, not an OEM-certified archetype.</x:v>
      </x:c>
    </x:row>
    <x:row r="20" ht="58" customHeight="1">
      <x:c r="A20" s="19" t="str">
        <x:v>SLC-S016</x:v>
      </x:c>
      <x:c r="B20" s="19" t="str">
        <x:v>NOAA National Severe Storms Laboratory. Severe Weather 101: Damaging Winds - Types.</x:v>
      </x:c>
      <x:c r="C20" s="19" t="str">
        <x:v>https://www.nssl.noaa.gov/education/svrwx101/wind/types/</x:v>
      </x:c>
      <x:c r="D20" s="19" t="str">
        <x:v>2026-07-11</x:v>
      </x:c>
      <x:c r="E20" s="19" t="str">
        <x:v>Microburst, macroburst and derecho definitions</x:v>
      </x:c>
      <x:c r="F20" s="19" t="str">
        <x:v>official guidance</x:v>
      </x:c>
      <x:c r="G20" s="19" t="str">
        <x:v>boundary_or_cap</x:v>
      </x:c>
      <x:c r="H20" s="19" t="str">
        <x:v>T2_public_lab_standard_or_physics</x:v>
      </x:c>
      <x:c r="I20" s="19" t="str">
        <x:v>none for damage</x:v>
      </x:c>
      <x:c r="J20" s="19" t="str">
        <x:v>none; pathway taxonomy and duration</x:v>
      </x:c>
      <x:c r="K20" s="19" t="str">
        <x:v>hazard taxonomy/duration</x:v>
      </x:c>
      <x:c r="L20" s="19" t="str">
        <x:v>Microbursts generally last 2-5 minutes; macrobursts about 5-20 minutes; derecho is extended outflow family.</x:v>
      </x:c>
      <x:c r="M20" s="19" t="str">
        <x:v>Use derecho lifetime as local turbine duration or calibrate DR.</x:v>
      </x:c>
      <x:c r="N20" s="19" t="str">
        <x:v>adopt</x:v>
      </x:c>
      <x:c r="O20" s="19" t="str">
        <x:v>reviewed</x:v>
      </x:c>
      <x:c r="P20" s="19" t="str">
        <x:v>Supports pathway scope and Hazard/Damage split.</x:v>
      </x:c>
    </x:row>
    <x:row r="21" ht="58" customHeight="1">
      <x:c r="A21" s="19" t="str">
        <x:v>TOR-S001</x:v>
      </x:c>
      <x:c r="B21" s="19" t="str">
        <x:v>Lombardo, F.; Wienhoff, Z.; Refan, M.; Wurman, J.; Kosiba, K.; Levitan, M. Properties of Tornado Wind Speed Profiles Used in the Development of the ASCE 7-22 Tornado Provisions. Journal of Structural Engineering 151(1) (2024). DOI 10.1061/JSENDH.STENG-12625.</x:v>
      </x:c>
      <x:c r="C21" s="19" t="str">
        <x:v>https://doi.org/10.1061/JSENDH.STENG-12625</x:v>
      </x:c>
      <x:c r="D21" s="19" t="str">
        <x:v>2026-07-11</x:v>
      </x:c>
      <x:c r="E21" s="19" t="str">
        <x:v>NIST abstract/results; 36 profiles; median nose height; ASCE nominal profile</x:v>
      </x:c>
      <x:c r="F21" s="19" t="str">
        <x:v>peer-reviewed radar/profile paper</x:v>
      </x:c>
      <x:c r="G21" s="19" t="str">
        <x:v>axis_bridge</x:v>
      </x:c>
      <x:c r="H21" s="19" t="str">
        <x:v>T2_public_lab_standard_or_physics</x:v>
      </x:c>
      <x:c r="I21" s="19" t="str">
        <x:v>partial</x:v>
      </x:c>
      <x:c r="J21" s="19" t="str">
        <x:v>rotor/tower wind-demand axis</x:v>
      </x:c>
      <x:c r="K21" s="19" t="str">
        <x:v>rotor-height tornado wind</x:v>
      </x:c>
      <x:c r="L21" s="19" t="str">
        <x:v>Tornado profiles are nose shaped; median peak height about 50 m; nominal pressure coefficient changes above 61 m.</x:v>
      </x:c>
      <x:c r="M21" s="19" t="str">
        <x:v>Use ordinary ABL power law; claim one profile represents every tornado/turbine.</x:v>
      </x:c>
      <x:c r="N21" s="19" t="str">
        <x:v>adopt</x:v>
      </x:c>
      <x:c r="O21" s="19" t="str">
        <x:v>reviewed</x:v>
      </x:c>
      <x:c r="P21" s="19" t="str">
        <x:v>NIST public copy at https://tsapps.nist.gov/publication/get_pdf.cfm?pub_id=935900.</x:v>
      </x:c>
    </x:row>
    <x:row r="22" ht="58" customHeight="1">
      <x:c r="A22" s="19" t="str">
        <x:v>TOR-S002</x:v>
      </x:c>
      <x:c r="B22" s="19" t="str">
        <x:v>NOAA/National Weather Service. The Enhanced Fujita Scale.</x:v>
      </x:c>
      <x:c r="C22" s="19" t="str">
        <x:v>https://www.weather.gov/oun/efscale</x:v>
      </x:c>
      <x:c r="D22" s="19" t="str">
        <x:v>2026-07-11</x:v>
      </x:c>
      <x:c r="E22" s="19" t="str">
        <x:v>Important note about EF-scale winds</x:v>
      </x:c>
      <x:c r="F22" s="19" t="str">
        <x:v>official guidance</x:v>
      </x:c>
      <x:c r="G22" s="19" t="str">
        <x:v>axis_bridge</x:v>
      </x:c>
      <x:c r="H22" s="19" t="str">
        <x:v>T2_public_lab_standard_or_physics</x:v>
      </x:c>
      <x:c r="I22" s="19" t="str">
        <x:v>none for turbine</x:v>
      </x:c>
      <x:c r="J22" s="19" t="str">
        <x:v>none; EF context only</x:v>
      </x:c>
      <x:c r="K22" s="19" t="str">
        <x:v>damage-estimated wind proxy</x:v>
      </x:c>
      <x:c r="L22" s="19" t="str">
        <x:v>EF uses estimated 3-second gusts at damage points and varies with height/exposure.</x:v>
      </x:c>
      <x:c r="M22" s="19" t="str">
        <x:v>Treat EF class or midpoint as a measured rotor/hub wind.</x:v>
      </x:c>
      <x:c r="N22" s="19" t="str">
        <x:v>adopt</x:v>
      </x:c>
      <x:c r="O22" s="19" t="str">
        <x:v>reviewed</x:v>
      </x:c>
      <x:c r="P22" s="19" t="str">
        <x:v>NWS is official U.S. EF rating authority.</x:v>
      </x:c>
    </x:row>
    <x:row r="23" ht="58" customHeight="1">
      <x:c r="A23" s="19" t="str">
        <x:v>TOR-S003</x:v>
      </x:c>
      <x:c r="B23" s="19" t="str">
        <x:v>Wurman, J.; Kosiba, K. Tornadoes Cross Greenfield / Tornado Topples Wind Turbines. Bulletin of the American Meteorological Society digital edition, December 2025, pp.776-777.</x:v>
      </x:c>
      <x:c r="C23" s="19" t="str">
        <x:v>https://headlines.ametsoc.org/wp-content/uploads/2026/01/20251201_BAMSDigitalEdition_Dec25.pdf</x:v>
      </x:c>
      <x:c r="D23" s="19" t="str">
        <x:v>2026-07-11</x:v>
      </x:c>
      <x:c r="E23" s="19" t="str">
        <x:v>pp.776-777; turbine threshold paragraph and map</x:v>
      </x:c>
      <x:c r="F23" s="19" t="str">
        <x:v>primary radar/video research note</x:v>
      </x:c>
      <x:c r="G23" s="19" t="str">
        <x:v>claims_or_field_calibration</x:v>
      </x:c>
      <x:c r="H23" s="19" t="str">
        <x:v>T1_claims_or_field_calibrated</x:v>
      </x:c>
      <x:c r="I23" s="19" t="str">
        <x:v>direct for affected turbines</x:v>
      </x:c>
      <x:c r="J23" s="19" t="str">
        <x:v>tower collapse / terminal turbine equipment</x:v>
      </x:c>
      <x:c r="K23" s="19" t="str">
        <x:v>terminal turbine collapse</x:v>
      </x:c>
      <x:c r="L23" s="19" t="str">
        <x:v>All turbines with peak wind below 65 m/s survived; all at or above 69 m/s toppled; mixed outcomes at 65-69 m/s.</x:v>
      </x:c>
      <x:c r="M23" s="19" t="str">
        <x:v>Universal fleet fragility, exact hub-height conversion, or statistical dispersion from unreported counts.</x:v>
      </x:c>
      <x:c r="N23" s="19" t="str">
        <x:v>adopt_with_limits</x:v>
      </x:c>
      <x:c r="O23" s="19" t="str">
        <x:v>reviewed</x:v>
      </x:c>
      <x:c r="P23" s="19" t="str">
        <x:v>Research described as ongoing; reported wind methods carry about +/-20% uncertainty.</x:v>
      </x:c>
    </x:row>
    <x:row r="24" ht="58" customHeight="1">
      <x:c r="A24" s="19" t="str">
        <x:v>TOR-S004</x:v>
      </x:c>
      <x:c r="B24" s="19" t="str">
        <x:v>NOAA/National Weather Service Des Moines. Event Summary: 21 May 2024 Iowa Tornadoes, Winds and Flooding.</x:v>
      </x:c>
      <x:c r="C24" s="19" t="str">
        <x:v>https://www.weather.gov/dmx/2024-May-21-Iowa-TornadoesWindsFlooding</x:v>
      </x:c>
      <x:c r="D24" s="19" t="str">
        <x:v>2026-07-11</x:v>
      </x:c>
      <x:c r="E24" s="19" t="str">
        <x:v>Greenfield Tornado event table</x:v>
      </x:c>
      <x:c r="F24" s="19" t="str">
        <x:v>official event report</x:v>
      </x:c>
      <x:c r="G24" s="19" t="str">
        <x:v>validation_only</x:v>
      </x:c>
      <x:c r="H24" s="19" t="str">
        <x:v>T1_claims_or_field_calibrated</x:v>
      </x:c>
      <x:c r="I24" s="19" t="str">
        <x:v>adjacent event</x:v>
      </x:c>
      <x:c r="J24" s="19" t="str">
        <x:v>none; event context only</x:v>
      </x:c>
      <x:c r="K24" s="19" t="str">
        <x:v>event rating/path</x:v>
      </x:c>
      <x:c r="L24" s="19" t="str">
        <x:v>Greenfield tornado rated EF4 with estimated peak 175-185 mph; provides official event context.</x:v>
      </x:c>
      <x:c r="M24" s="19" t="str">
        <x:v>Assign that peak to every turbine or calibrate a turbine curve.</x:v>
      </x:c>
      <x:c r="N24" s="19" t="str">
        <x:v>adopt_with_limits</x:v>
      </x:c>
      <x:c r="O24" s="19" t="str">
        <x:v>reviewed</x:v>
      </x:c>
      <x:c r="P24" s="19" t="str">
        <x:v>Damage-based event maximum, not turbine-local measurement.</x:v>
      </x:c>
    </x:row>
    <x:row r="25" ht="58" customHeight="1">
      <x:c r="A25" s="19" t="str">
        <x:v>TOR-S005</x:v>
      </x:c>
      <x:c r="B25" s="19" t="str">
        <x:v>Aslam, M.U.; Alipour, A. Structural failure analysis of wind turbines in 2024 Greenfield tornado. Engineering Failure Analysis 186 Part A (2026) 110387. DOI 10.1016/j.engfailanal.2025.110387.</x:v>
      </x:c>
      <x:c r="C25" s="19" t="str">
        <x:v>https://doi.org/10.1016/j.engfailanal.2025.110387</x:v>
      </x:c>
      <x:c r="D25" s="19" t="str">
        <x:v>2026-07-11</x:v>
      </x:c>
      <x:c r="E25" s="19" t="str">
        <x:v>Abstract; forensic observations; model and conclusions</x:v>
      </x:c>
      <x:c r="F25" s="19" t="str">
        <x:v>peer-reviewed forensic/FEA paper</x:v>
      </x:c>
      <x:c r="G25" s="19" t="str">
        <x:v>case_study_severity</x:v>
      </x:c>
      <x:c r="H25" s="19" t="str">
        <x:v>T2_public_lab_standard_or_physics</x:v>
      </x:c>
      <x:c r="I25" s="19" t="str">
        <x:v>direct Vestas V110-2.0 MW</x:v>
      </x:c>
      <x:c r="J25" s="19" t="str">
        <x:v>tower/blade failure mechanism</x:v>
      </x:c>
      <x:c r="K25" s="19" t="str">
        <x:v>tower/blade failure mechanism</x:v>
      </x:c>
      <x:c r="L25" s="19" t="str">
        <x:v>Local inelastic buckling near geometric discontinuities was the primary modeled/observed tower-collapse mechanism.</x:v>
      </x:c>
      <x:c r="M25" s="19" t="str">
        <x:v>Population fragility, exact capacity median, or repair-cost curve.</x:v>
      </x:c>
      <x:c r="N25" s="19" t="str">
        <x:v>adopt_with_limits</x:v>
      </x:c>
      <x:c r="O25" s="19" t="str">
        <x:v>reviewed</x:v>
      </x:c>
      <x:c r="P25" s="19" t="str">
        <x:v>Uses real Greenfield wind field and a 95 m tower model.</x:v>
      </x:c>
    </x:row>
    <x:row r="26" ht="58" customHeight="1">
      <x:c r="A26" s="19" t="str">
        <x:v>TOR-S006</x:v>
      </x:c>
      <x:c r="B26" s="19" t="str">
        <x:v>Marshall, T.P.; Dunn, J. Damage Survey of the Jacksboro, TX Tornado: 21 March 2022.</x:v>
      </x:c>
      <x:c r="C26" s="19" t="str">
        <x:v>https://www.researchgate.net/publication/390065792_Damage_Survey_of_the_Jacksboro_TX_Tornado_21_March_2022</x:v>
      </x:c>
      <x:c r="D26" s="19" t="str">
        <x:v>2026-07-11</x:v>
      </x:c>
      <x:c r="E26" s="19" t="str">
        <x:v>Section 3.6; Figures 16-17; Table 7</x:v>
      </x:c>
      <x:c r="F26" s="19" t="str">
        <x:v>conference damage-survey paper</x:v>
      </x:c>
      <x:c r="G26" s="19" t="str">
        <x:v>claims_or_field_calibration</x:v>
      </x:c>
      <x:c r="H26" s="19" t="str">
        <x:v>T1_claims_or_field_calibrated</x:v>
      </x:c>
      <x:c r="I26" s="19" t="str">
        <x:v>direct affected commercial turbines</x:v>
      </x:c>
      <x:c r="J26" s="19" t="str">
        <x:v>rotor/blade damage state</x:v>
      </x:c>
      <x:c r="K26" s="19" t="str">
        <x:v>rotor/blade damage state</x:v>
      </x:c>
      <x:c r="L26" s="19" t="str">
        <x:v>Four turbines had shredded blades with intact tapered steel towers; typical resistance estimated about 51 m/s using nearby damage.</x:v>
      </x:c>
      <x:c r="M26" s="19" t="str">
        <x:v>Exact rotor wind, repair cost, probability, or tower capacity.</x:v>
      </x:c>
      <x:c r="N26" s="19" t="str">
        <x:v>adopt_with_limits</x:v>
      </x:c>
      <x:c r="O26" s="19" t="str">
        <x:v>reviewed</x:v>
      </x:c>
      <x:c r="P26" s="19" t="str">
        <x:v>Primary field survey; author-uploaded access copy.</x:v>
      </x:c>
    </x:row>
    <x:row r="27" ht="58" customHeight="1">
      <x:c r="A27" s="19" t="str">
        <x:v>TOR-S007</x:v>
      </x:c>
      <x:c r="B27" s="19" t="str">
        <x:v>Bouchard, R.; Romanic, D. Monte Carlo modeling of tornado hazard to wind turbines in Germany. Natural Hazards 116 (2023) 3899-3923. DOI 10.1007/s11069-023-05843-z.</x:v>
      </x:c>
      <x:c r="C27" s="19" t="str">
        <x:v>https://doi.org/10.1007/s11069-023-05843-z</x:v>
      </x:c>
      <x:c r="D27" s="19" t="str">
        <x:v>2026-07-11</x:v>
      </x:c>
      <x:c r="E27" s="19" t="str">
        <x:v>Vulnerability section; Figure 7; Table 3</x:v>
      </x:c>
      <x:c r="F27" s="19" t="str">
        <x:v>peer-reviewed risk/vulnerability paper</x:v>
      </x:c>
      <x:c r="G27" s="19" t="str">
        <x:v>curve_form</x:v>
      </x:c>
      <x:c r="H27" s="19" t="str">
        <x:v>T3_engineering_proxy_or_adjacent_empirical</x:v>
      </x:c>
      <x:c r="I27" s="19" t="str">
        <x:v>direct asset but European value context</x:v>
      </x:c>
      <x:c r="J27" s="19" t="str">
        <x:v>ordered commercial-turbine damage states</x:v>
      </x:c>
      <x:c r="K27" s="19" t="str">
        <x:v>screening DOD/vulnerability</x:v>
      </x:c>
      <x:c r="L27" s="19" t="str">
        <x:v>Provides ordered 36/45/49/58 m/s turbine DOD resistance anchors and a precedent for cumulative component consequences.</x:v>
      </x:c>
      <x:c r="M27" s="19" t="str">
        <x:v>Treat curve as field-fitted, copy cost shares, or import its Hazard frequency/exposure model.</x:v>
      </x:c>
      <x:c r="N27" s="19" t="str">
        <x:v>adopt_with_limits</x:v>
      </x:c>
      <x:c r="O27" s="19" t="str">
        <x:v>reviewed</x:v>
      </x:c>
      <x:c r="P27" s="19" t="str">
        <x:v>Authors describe first proposed vulnerability curve; based on proposed DODs and cost mapping.</x:v>
      </x:c>
    </x:row>
    <x:row r="28" ht="58" customHeight="1">
      <x:c r="A28" s="19" t="str">
        <x:v>TOR-S008</x:v>
      </x:c>
      <x:c r="B28" s="19" t="str">
        <x:v>Marshall, T.P.; Brown-Giammanco, T.; Krautwurst, S.N.; de Toledo, N.L. On the Current Revision of the Enhanced Fujita Scale. 30th AMS Conference on Severe Local Storms (2022), 11.1A.</x:v>
      </x:c>
      <x:c r="C28" s="19" t="str">
        <x:v>https://ams.confex.com/ams/30SLS/mediafile/Manuscript/Paper407207/AMS-EFscale-FINAL%20%284%29.pdf</x:v>
      </x:c>
      <x:c r="D28" s="19" t="str">
        <x:v>2026-07-11</x:v>
      </x:c>
      <x:c r="E28" s="19" t="str">
        <x:v>Proposed DI/DOD process and wind-turbine material</x:v>
      </x:c>
      <x:c r="F28" s="19" t="str">
        <x:v>conference standards-development paper</x:v>
      </x:c>
      <x:c r="G28" s="19" t="str">
        <x:v>boundary_or_cap</x:v>
      </x:c>
      <x:c r="H28" s="19" t="str">
        <x:v>T3_engineering_proxy_or_adjacent_empirical</x:v>
      </x:c>
      <x:c r="I28" s="19" t="str">
        <x:v>direct DI proposal</x:v>
      </x:c>
      <x:c r="J28" s="19" t="str">
        <x:v>ordered commercial-turbine DOD taxonomy</x:v>
      </x:c>
      <x:c r="K28" s="19" t="str">
        <x:v>damage-state resistance taxonomy</x:v>
      </x:c>
      <x:c r="L28" s="19" t="str">
        <x:v>Use proposed commercial-turbine DODs as an engineering prior and update trigger.</x:v>
      </x:c>
      <x:c r="M28" s="19" t="str">
        <x:v>Claim final ASCE/EF adoption or population calibration.</x:v>
      </x:c>
      <x:c r="N28" s="19" t="str">
        <x:v>adopt_with_limits</x:v>
      </x:c>
      <x:c r="O28" s="19" t="str">
        <x:v>reviewed</x:v>
      </x:c>
      <x:c r="P28" s="19" t="str">
        <x:v>Forthcoming standard remained under development at cutoff.</x:v>
      </x:c>
    </x:row>
    <x:row r="29" ht="58" customHeight="1">
      <x:c r="A29" s="19" t="str">
        <x:v>TOR-S009</x:v>
      </x:c>
      <x:c r="B29" s="19" t="str">
        <x:v>AbuGazia, M.; El Damatty, A.A.; Dai, K.; Lu, W.; Ibrahim, A. Numerical model for analysis of wind turbines under tornadoes. Engineering Structures 223 (2020) 111157. DOI 10.1016/j.engstruct.2020.111157.</x:v>
      </x:c>
      <x:c r="C29" s="19" t="str">
        <x:v>https://doi.org/10.1016/j.engstruct.2020.111157</x:v>
      </x:c>
      <x:c r="D29" s="19" t="str">
        <x:v>2026-07-11</x:v>
      </x:c>
      <x:c r="E29" s="19" t="str">
        <x:v>Abstract, model, case study and conclusions</x:v>
      </x:c>
      <x:c r="F29" s="19" t="str">
        <x:v>peer-reviewed numerical paper</x:v>
      </x:c>
      <x:c r="G29" s="19" t="str">
        <x:v>mechanism_only</x:v>
      </x:c>
      <x:c r="H29" s="19" t="str">
        <x:v>T2_public_lab_standard_or_physics</x:v>
      </x:c>
      <x:c r="I29" s="19" t="str">
        <x:v>direct 1.5 MW reference turbine</x:v>
      </x:c>
      <x:c r="J29" s="19" t="str">
        <x:v>blade/tower demand</x:v>
      </x:c>
      <x:c r="K29" s="19" t="str">
        <x:v>blade/tower demand</x:v>
      </x:c>
      <x:c r="L29" s="19" t="str">
        <x:v>F2-tornado blade actions exceeded cited IEC extreme case; tornado position and pitch materially changed loads.</x:v>
      </x:c>
      <x:c r="M29" s="19" t="str">
        <x:v>Failure probability, cost DR, or universal pitch protection factor.</x:v>
      </x:c>
      <x:c r="N29" s="19" t="str">
        <x:v>adopt_with_limits</x:v>
      </x:c>
      <x:c r="O29" s="19" t="str">
        <x:v>reviewed</x:v>
      </x:c>
      <x:c r="P29" s="19" t="str">
        <x:v>Minimum blade actions at 60-degree pitch and tower-base actions at 15 degrees for studied case; not a general control rule.</x:v>
      </x:c>
    </x:row>
    <x:row r="30" ht="58" customHeight="1">
      <x:c r="A30" s="19" t="str">
        <x:v>TOR-S010</x:v>
      </x:c>
      <x:c r="B30" s="19" t="str">
        <x:v>Lopez Ortiz, J.P. Effects of wind turbine rotor positioning on tornado induced loads. Western University Electronic Thesis and Dissertation Repository (2023).</x:v>
      </x:c>
      <x:c r="C30" s="19" t="str">
        <x:v>https://ir.lib.uwo.ca/etd/9120/</x:v>
      </x:c>
      <x:c r="D30" s="19" t="str">
        <x:v>2026-07-11</x:v>
      </x:c>
      <x:c r="E30" s="19" t="str">
        <x:v>Abstract and experimental results</x:v>
      </x:c>
      <x:c r="F30" s="19" t="str">
        <x:v>doctoral thesis / large-scale experiment</x:v>
      </x:c>
      <x:c r="G30" s="19" t="str">
        <x:v>mechanism_only</x:v>
      </x:c>
      <x:c r="H30" s="19" t="str">
        <x:v>T2_public_lab_standard_or_physics</x:v>
      </x:c>
      <x:c r="I30" s="19" t="str">
        <x:v>direct scaled HAWT</x:v>
      </x:c>
      <x:c r="J30" s="19" t="str">
        <x:v>tower/rotor demand</x:v>
      </x:c>
      <x:c r="K30" s="19" t="str">
        <x:v>tower/rotor demand</x:v>
      </x:c>
      <x:c r="L30" s="19" t="str">
        <x:v>Bending moment dominated and varied materially with turbine position, yaw, pitch and parked/idling state.</x:v>
      </x:c>
      <x:c r="M30" s="19" t="str">
        <x:v>Fragility or repair-cost calibration.</x:v>
      </x:c>
      <x:c r="N30" s="19" t="str">
        <x:v>adopt_with_limits</x:v>
      </x:c>
      <x:c r="O30" s="19" t="str">
        <x:v>reviewed</x:v>
      </x:c>
      <x:c r="P30" s="19" t="str">
        <x:v>Experimental validation of HIW-TUR.</x:v>
      </x:c>
    </x:row>
    <x:row r="31" ht="58" customHeight="1">
      <x:c r="A31" s="19" t="str">
        <x:v>TOR-S011</x:v>
      </x:c>
      <x:c r="B31" s="19" t="str">
        <x:v>Baker, C.; Sterling, M. A conceptual model for wind and debris impact loading of structures due to tornadoes. Journal of Wind Engineering and Industrial Aerodynamics 175 (2018) 283-291. DOI 10.1016/j.jweia.2017.11.029.</x:v>
      </x:c>
      <x:c r="C31" s="19" t="str">
        <x:v>https://doi.org/10.1016/j.jweia.2017.11.029</x:v>
      </x:c>
      <x:c r="D31" s="19" t="str">
        <x:v>2026-07-11</x:v>
      </x:c>
      <x:c r="E31" s="19" t="str">
        <x:v>Abstract and framework</x:v>
      </x:c>
      <x:c r="F31" s="19" t="str">
        <x:v>peer-reviewed analytical paper</x:v>
      </x:c>
      <x:c r="G31" s="19" t="str">
        <x:v>mechanism_only</x:v>
      </x:c>
      <x:c r="H31" s="19" t="str">
        <x:v>T2_public_lab_standard_or_physics</x:v>
      </x:c>
      <x:c r="I31" s="19" t="str">
        <x:v>adjacent structure-general</x:v>
      </x:c>
      <x:c r="J31" s="19" t="str">
        <x:v>none direct; general wind/pressure/debris</x:v>
      </x:c>
      <x:c r="K31" s="19" t="str">
        <x:v>wind/pressure/debris demand</x:v>
      </x:c>
      <x:c r="L31" s="19" t="str">
        <x:v>Keep direct wind, pressure and debris as distinct mechanisms; flag debris as unresolved in speed-only turbine proxy.</x:v>
      </x:c>
      <x:c r="M31" s="19" t="str">
        <x:v>Turbine debris multiplier or DR.</x:v>
      </x:c>
      <x:c r="N31" s="19" t="str">
        <x:v>adopt_with_limits</x:v>
      </x:c>
      <x:c r="O31" s="19" t="str">
        <x:v>reviewed</x:v>
      </x:c>
      <x:c r="P31" s="19" t="str">
        <x:v>Not turbine-specific.</x:v>
      </x:c>
    </x:row>
    <x:row r="32" ht="58" customHeight="1">
      <x:c r="A32" s="19" t="str">
        <x:v>TOR-S012</x:v>
      </x:c>
      <x:c r="B32" s="19" t="str">
        <x:v>Perfetto, E.; Taylor, J.; Osburn, K.; O'Connor, B.; Levitan, M.; Mitchell, J. Design Guide for New Tornado Load Requirements in ASCE 7-22. FEMA/NIST (2023).</x:v>
      </x:c>
      <x:c r="C32" s="19" t="str">
        <x:v>https://tsapps.nist.gov/publication/get_pdf.cfm?pub_id=935883</x:v>
      </x:c>
      <x:c r="D32" s="19" t="str">
        <x:v>2026-07-11</x:v>
      </x:c>
      <x:c r="E32" s="19" t="str">
        <x:v>Tornado profile, pressure and debris provisions</x:v>
      </x:c>
      <x:c r="F32" s="19" t="str">
        <x:v>government design guide</x:v>
      </x:c>
      <x:c r="G32" s="19" t="str">
        <x:v>axis_bridge</x:v>
      </x:c>
      <x:c r="H32" s="19" t="str">
        <x:v>T2_public_lab_standard_or_physics</x:v>
      </x:c>
      <x:c r="I32" s="19" t="str">
        <x:v>adjacent building/structure</x:v>
      </x:c>
      <x:c r="J32" s="19" t="str">
        <x:v>none direct; tornado design demand</x:v>
      </x:c>
      <x:c r="K32" s="19" t="str">
        <x:v>tornado design demand</x:v>
      </x:c>
      <x:c r="L32" s="19" t="str">
        <x:v>Use official tornado load/profile concepts and debris distinction as boundary constraints.</x:v>
      </x:c>
      <x:c r="M32" s="19" t="str">
        <x:v>Apply building coefficients directly to turbines or calibrate DR.</x:v>
      </x:c>
      <x:c r="N32" s="19" t="str">
        <x:v>adopt_with_limits</x:v>
      </x:c>
      <x:c r="O32" s="19" t="str">
        <x:v>reviewed</x:v>
      </x:c>
      <x:c r="P32" s="19" t="str">
        <x:v>Guide addresses ASCE building/other-structure provisions.</x:v>
      </x:c>
    </x:row>
    <x:row r="33" ht="58" customHeight="1">
      <x:c r="A33" s="19" t="str">
        <x:v>VAL-S001</x:v>
      </x:c>
      <x:c r="B33" s="19" t="str">
        <x:v>National Renewable Energy Laboratory. Cost of Wind Energy Review: 2024 Edition, NREL/TP-5000-91775 (2025).</x:v>
      </x:c>
      <x:c r="C33" s="19" t="str">
        <x:v>https://www.nrel.gov/docs/fy25osti/91775.pdf</x:v>
      </x:c>
      <x:c r="D33" s="19" t="str">
        <x:v>2026-07-11</x:v>
      </x:c>
      <x:c r="E33" s="19" t="str">
        <x:v>Land-based project breakdown and turbine component appendix</x:v>
      </x:c>
      <x:c r="F33" s="19" t="str">
        <x:v>government cost report</x:v>
      </x:c>
      <x:c r="G33" s="19" t="str">
        <x:v>exposure_or_value</x:v>
      </x:c>
      <x:c r="H33" s="19" t="str">
        <x:v>T2_public_lab_standard_or_physics</x:v>
      </x:c>
      <x:c r="I33" s="19" t="str">
        <x:v>direct land-based reference plant</x:v>
      </x:c>
      <x:c r="J33" s="19" t="str">
        <x:v>all governed wind-turbine value rows</x:v>
      </x:c>
      <x:c r="K33" s="19" t="str">
        <x:v>component and project cost</x:v>
      </x:c>
      <x:c r="L33" s="19" t="str">
        <x:v>Define the 1,090 USD/kW turbine-equipment denominator and reconcile 1,623 physical / 1,968 installed bases.</x:v>
      </x:c>
      <x:c r="M33" s="19" t="str">
        <x:v>Damage ratio, at-risk fraction, site appraisal, or linear support-cost scaling.</x:v>
      </x:c>
      <x:c r="N33" s="19" t="str">
        <x:v>adopt</x:v>
      </x:c>
      <x:c r="O33" s="19" t="str">
        <x:v>reviewed</x:v>
      </x:c>
      <x:c r="P33" s="19" t="str">
        <x:v>2023 USD; 200 MW reference in local value workbook.</x:v>
      </x:c>
    </x:row>
    <x:row r="34" ht="58" customHeight="1">
      <x:c r="A34" s="19" t="str">
        <x:v>ADJ-S001</x:v>
      </x:c>
      <x:c r="B34" s="19" t="str">
        <x:v>Rose, S.; Jaramillo, P.; Small, M.J.; Grossmann, I.; Apt, J. Quantifying the hurricane risk to offshore wind turbines. PNAS 109(9) (2012) 3247-3252. DOI 10.1073/pnas.1111769109.</x:v>
      </x:c>
      <x:c r="C34" s="19" t="str">
        <x:v>https://doi.org/10.1073/pnas.1111769109</x:v>
      </x:c>
      <x:c r="D34" s="19" t="str">
        <x:v>2026-07-11</x:v>
      </x:c>
      <x:c r="E34" s="19" t="str">
        <x:v>Table 1 and supplementary damage-function method</x:v>
      </x:c>
      <x:c r="F34" s="19" t="str">
        <x:v>peer-reviewed adjacent-hazard fragility paper</x:v>
      </x:c>
      <x:c r="G34" s="19" t="str">
        <x:v>validation_only</x:v>
      </x:c>
      <x:c r="H34" s="19" t="str">
        <x:v>T3_engineering_proxy_or_adjacent_empirical</x:v>
      </x:c>
      <x:c r="I34" s="19" t="str">
        <x:v>adjacent TC/offshore model</x:v>
      </x:c>
      <x:c r="J34" s="19" t="str">
        <x:v>tower buckling; adjacent TC/offshore</x:v>
      </x:c>
      <x:c r="K34" s="19" t="str">
        <x:v>tower buckling capacity/control sensitivity</x:v>
      </x:c>
      <x:c r="L34" s="19" t="str">
        <x:v>Use only as an adjacent check that yaw/grid state shifts tower demand materially.</x:v>
      </x:c>
      <x:c r="M34" s="19" t="str">
        <x:v>Calibrate convective/tornado curve or import TC duration/frequency.</x:v>
      </x:c>
      <x:c r="N34" s="19" t="str">
        <x:v>defer_neighboring_cell</x:v>
      </x:c>
      <x:c r="O34" s="19" t="str">
        <x:v>reviewed</x:v>
      </x:c>
      <x:c r="P34" s="19" t="str">
        <x:v>Ten-minute hurricane wind and NREL 5-MW tower; not direct pathway evidence.</x:v>
      </x:c>
    </x:row>
    <x:row r="35" ht="58" customHeight="1">
      <x:c r="A35" s="19" t="str">
        <x:v>ADJ-S002</x:v>
      </x:c>
      <x:c r="B35" s="19" t="str">
        <x:v>National Renewable Energy Laboratory. Hurricane Resilient Wind Plant Design, NREL/TP-5000-88195 (2024).</x:v>
      </x:c>
      <x:c r="C35" s="19" t="str">
        <x:v>https://www.nrel.gov/docs/fy24osti/88195.pdf</x:v>
      </x:c>
      <x:c r="D35" s="19" t="str">
        <x:v>2026-07-11</x:v>
      </x:c>
      <x:c r="E35" s="19" t="str">
        <x:v>Extreme load cases, yaw/grid-loss discussion and recommendations</x:v>
      </x:c>
      <x:c r="F35" s="19" t="str">
        <x:v>government technical report</x:v>
      </x:c>
      <x:c r="G35" s="19" t="str">
        <x:v>validation_only</x:v>
      </x:c>
      <x:c r="H35" s="19" t="str">
        <x:v>T3_engineering_proxy_or_adjacent_empirical</x:v>
      </x:c>
      <x:c r="I35" s="19" t="str">
        <x:v>adjacent tropical cyclone</x:v>
      </x:c>
      <x:c r="J35" s="19" t="str">
        <x:v>turbine demand/control; adjacent TC</x:v>
      </x:c>
      <x:c r="K35" s="19" t="str">
        <x:v>turbine demand/control</x:v>
      </x:c>
      <x:c r="L35" s="19" t="str">
        <x:v>Define why tropical-cyclone duration, yaw, grid loss and gust conditions require a separate workstream.</x:v>
      </x:c>
      <x:c r="M35" s="19" t="str">
        <x:v>Reuse either convective curve for hurricanes.</x:v>
      </x:c>
      <x:c r="N35" s="19" t="str">
        <x:v>defer_neighboring_cell</x:v>
      </x:c>
      <x:c r="O35" s="19" t="str">
        <x:v>reviewed</x:v>
      </x:c>
      <x:c r="P35" s="19" t="str">
        <x:v>Boundary source, not calibration.</x:v>
      </x:c>
    </x:row>
    <x:row r="36" ht="58" customHeight="1">
      <x:c r="A36" s="19" t="str">
        <x:v>LEG-S001</x:v>
      </x:c>
      <x:c r="B36" s="19" t="str">
        <x:v>InfraSure Damage Modeling. wind_tornado_wind current model v1.0 docs r4 artifact.</x:v>
      </x:c>
      <x:c r="C36" s="19" t="str">
        <x:v>docs/cells/wind_tornado_wind/current/wind_tornado_wind__model_v1_0__docs_r4__curve_artifact.json</x:v>
      </x:c>
      <x:c r="D36" s="19" t="str">
        <x:v>2026-07-11</x:v>
      </x:c>
      <x:c r="E36" s="19" t="str">
        <x:v>hazard_axis, curve_records, conditioner_logic, parameter_tier_table</x:v>
      </x:c>
      <x:c r="F36" s="19" t="str">
        <x:v>repository runtime artifact</x:v>
      </x:c>
      <x:c r="G36" s="19" t="str">
        <x:v>rejected</x:v>
      </x:c>
      <x:c r="H36" s="19" t="str">
        <x:v>T4_placeholder_or_expert_judgment</x:v>
      </x:c>
      <x:c r="I36" s="19" t="str">
        <x:v>direct legacy model</x:v>
      </x:c>
      <x:c r="J36" s="19" t="str">
        <x:v>legacy blade/tower/nacelle/foundation/electrical</x:v>
      </x:c>
      <x:c r="K36" s="19" t="str">
        <x:v>legacy DR output</x:v>
      </x:c>
      <x:c r="L36" s="19" t="str">
        <x:v>Reproduce and compare the shift-only model exactly.</x:v>
      </x:c>
      <x:c r="M36" s="19" t="str">
        <x:v>Use its Tier-4 D50/k/tornado shifts as v2 evidence.</x:v>
      </x:c>
      <x:c r="N36" s="19" t="str">
        <x:v>archive_on_future_promotion</x:v>
      </x:c>
      <x:c r="O36" s="19" t="str">
        <x:v>reviewed</x:v>
      </x:c>
      <x:c r="P36" s="19" t="str">
        <x:v>Remains canonical during proposal work.</x:v>
      </x:c>
    </x:row>
    <x:row r="37" ht="58" customHeight="1">
      <x:c r="A37" s="19" t="str">
        <x:v>LEG-S002</x:v>
      </x:c>
      <x:c r="B37" s="19" t="str">
        <x:v>InfraSure Hazard Modeling. Convective wind/wind farm M3 and M4 notebooks.</x:v>
      </x:c>
      <x:c r="C37" s="19" t="str">
        <x:v>https://github.com/aamani-ai/Hazard_Modeling/tree/main/Notebooks/convective_wind/wind_farm/</x:v>
      </x:c>
      <x:c r="D37" s="19" t="str">
        <x:v>2026-07-11</x:v>
      </x:c>
      <x:c r="E37" s="19" t="str">
        <x:v>m3_damage/01_damage.py and m4_loss_metrics/01_loss_metrics.py</x:v>
      </x:c>
      <x:c r="F37" s="19" t="str">
        <x:v>downstream repository implementation</x:v>
      </x:c>
      <x:c r="G37" s="19" t="str">
        <x:v>rejected</x:v>
      </x:c>
      <x:c r="H37" s="19" t="str">
        <x:v>T4_placeholder_or_expert_judgment</x:v>
      </x:c>
      <x:c r="I37" s="19" t="str">
        <x:v>direct consumer</x:v>
      </x:c>
      <x:c r="J37" s="19" t="str">
        <x:v>mixed downstream turbine and plant units</x:v>
      </x:c>
      <x:c r="K37" s="19" t="str">
        <x:v>legacy whole-asset DR and annual outputs</x:v>
      </x:c>
      <x:c r="L37" s="19" t="str">
        <x:v>Audit hardcoded curves, values, exposure and frequency seams; generate migration tests.</x:v>
      </x:c>
      <x:c r="M37" s="19" t="str">
        <x:v>Treat consumer parameters or headlines as Damage Modeling calibration targets.</x:v>
      </x:c>
      <x:c r="N37" s="19" t="str">
        <x:v>replace_on_consumer_migration</x:v>
      </x:c>
      <x:c r="O37" s="19" t="str">
        <x:v>reviewed</x:v>
      </x:c>
      <x:c r="P37" s="19" t="str">
        <x:v>Stable repository identity is audit provenance only; the machine artifact has no downstream dependency.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8" hidden="0" customWidth="1"/>
    <x:col min="3" max="3" width="24" hidden="0" customWidth="1"/>
    <x:col min="4" max="4" width="36" hidden="0" customWidth="1"/>
    <x:col min="5" max="5" width="38" hidden="0" customWidth="1"/>
    <x:col min="6" max="6" width="24" hidden="0" customWidth="1"/>
    <x:col min="7" max="7" width="30" hidden="0" customWidth="1"/>
    <x:col min="8" max="8" width="22" hidden="0" customWidth="1"/>
    <x:col min="9" max="9" width="54" hidden="0" customWidth="1"/>
    <x:col min="10" max="10" width="54" hidden="0" customWidth="1"/>
    <x:col min="11" max="11" width="52" hidden="0" customWidth="1"/>
    <x:col min="12" max="12" width="42" hidden="0" customWidth="1"/>
    <x:col min="13" max="13" width="46" hidden="0" customWidth="1"/>
    <x:col min="14" max="14" width="30" hidden="0" customWidth="1"/>
  </x:cols>
  <x:sheetData>
    <x:row r="1" ht="30" customHeight="1">
      <x:c r="A1" s="3" t="str">
        <x:v>Claim and parameter provenance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Tier 4 is visible by design; missing evidence triggers withhold or a named screening limitation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58" customHeight="1">
      <x:c r="A4" s="15" t="str">
        <x:v>claim_id</x:v>
      </x:c>
      <x:c r="B4" s="15" t="str">
        <x:v>claim_text</x:v>
      </x:c>
      <x:c r="C4" s="15" t="str">
        <x:v>claim_type</x:v>
      </x:c>
      <x:c r="D4" s="15" t="str">
        <x:v>source_ids</x:v>
      </x:c>
      <x:c r="E4" s="15" t="str">
        <x:v>exact_locator</x:v>
      </x:c>
      <x:c r="F4" s="15" t="str">
        <x:v>evidence_tier</x:v>
      </x:c>
      <x:c r="G4" s="15" t="str">
        <x:v>parameter_or_rule</x:v>
      </x:c>
      <x:c r="H4" s="15" t="str">
        <x:v>adoption_status</x:v>
      </x:c>
      <x:c r="I4" s="15" t="str">
        <x:v>permitted_inference</x:v>
      </x:c>
      <x:c r="J4" s="15" t="str">
        <x:v>prohibited_inference</x:v>
      </x:c>
      <x:c r="K4" s="15" t="str">
        <x:v>reasoning</x:v>
      </x:c>
      <x:c r="L4" s="15" t="str">
        <x:v>update_trigger</x:v>
      </x:c>
    </x:row>
    <x:row r="5" ht="58" customHeight="1">
      <x:c r="A5" s="19" t="str">
        <x:v>WTW2-C001</x:v>
      </x:c>
      <x:c r="B5" s="19" t="str">
        <x:v>The cell contains two first-class causal pathways: straight_line_convective and tornado_direct_hit.</x:v>
      </x:c>
      <x:c r="C5" s="19" t="str">
        <x:v>governance_decision</x:v>
      </x:c>
      <x:c r="D5" s="19" t="str">
        <x:v>SLC-S001;SLC-S002;SLC-S003;TOR-S001;TOR-S009</x:v>
      </x:c>
      <x:c r="E5" s="19" t="str">
        <x:v>Decision D-WTW2-02 and pathway evidence</x:v>
      </x:c>
      <x:c r="F5" s="19" t="str">
        <x:v>T2_public_lab_standard_or_physics</x:v>
      </x:c>
      <x:c r="G5" s="19" t="str">
        <x:v>required pathway_id</x:v>
      </x:c>
      <x:c r="H5" s="19" t="str">
        <x:v>adopt</x:v>
      </x:c>
      <x:c r="I5" s="19" t="str">
        <x:v>Route to independent axes, records, evidence and capabilities.</x:v>
      </x:c>
      <x:c r="J5" s="19" t="str">
        <x:v>Boolean tornado shift or automatic pathway inference.</x:v>
      </x:c>
      <x:c r="K5" s="19" t="str">
        <x:v>The two wind fields and turbine demands are physically distinct while sharing asset anatomy.</x:v>
      </x:c>
      <x:c r="L5" s="19" t="str">
        <x:v>New evidence demonstrates one evaluator/axis is equivalent across mechanisms.</x:v>
      </x:c>
    </x:row>
    <x:row r="6" ht="58" customHeight="1">
      <x:c r="A6" s="19" t="str">
        <x:v>WTW2-C002</x:v>
      </x:c>
      <x:c r="B6" s="19" t="str">
        <x:v>pathway_id is not a selector, conditioner, exposure field, Boolean, or hazard-intensity inference.</x:v>
      </x:c>
      <x:c r="C6" s="19" t="str">
        <x:v>governance_decision</x:v>
      </x:c>
      <x:c r="D6" s="19" t="str">
        <x:v>GOVERNANCE_CONTRACT</x:v>
      </x:c>
      <x:c r="E6" s="19" t="str">
        <x:v>Contract standard 22 §2</x:v>
      </x:c>
      <x:c r="F6" s="19" t="str">
        <x:v>T4_placeholder_or_expert_judgment</x:v>
      </x:c>
      <x:c r="G6" s="19" t="str">
        <x:v>pathway routing rule</x:v>
      </x:c>
      <x:c r="H6" s="19" t="str">
        <x:v>adopt</x:v>
      </x:c>
      <x:c r="I6" s="19" t="str">
        <x:v>Require exact pathway routing at artifact, record and emit levels.</x:v>
      </x:c>
      <x:c r="J6" s="19" t="str">
        <x:v>Default, alias-only, or inferred routing.</x:v>
      </x:c>
      <x:c r="K6" s="19" t="str">
        <x:v>Silent routing was the load-bearing v1 seam.</x:v>
      </x:c>
      <x:c r="L6" s="19" t="str">
        <x:v>Contract redesign approved through a later schema version.</x:v>
      </x:c>
    </x:row>
    <x:row r="7" ht="58" customHeight="1">
      <x:c r="A7" s="19" t="str">
        <x:v>WTW2-C003</x:v>
      </x:c>
      <x:c r="B7" s="19" t="str">
        <x:v>straight_line_convective includes local downburst, microburst, macroburst, gust-front and derecho-outflow loading.</x:v>
      </x:c>
      <x:c r="C7" s="19" t="str">
        <x:v>source_interpretation</x:v>
      </x:c>
      <x:c r="D7" s="19" t="str">
        <x:v>SLC-S002;SLC-S003;SLC-S016</x:v>
      </x:c>
      <x:c r="E7" s="19" t="str">
        <x:v>NOAA definitions and turbine-load studies</x:v>
      </x:c>
      <x:c r="F7" s="19" t="str">
        <x:v>T2_public_lab_standard_or_physics</x:v>
      </x:c>
      <x:c r="G7" s="19" t="str">
        <x:v>pathway hazard scope</x:v>
      </x:c>
      <x:c r="H7" s="19" t="str">
        <x:v>adopt</x:v>
      </x:c>
      <x:c r="I7" s="19" t="str">
        <x:v>Use local convective outflow demand after Hazard resolves event identity/footprint.</x:v>
      </x:c>
      <x:c r="J7" s="19" t="str">
        <x:v>Use whole derecho duration/intensity at every turbine.</x:v>
      </x:c>
      <x:c r="K7" s="19" t="str">
        <x:v>Derecho is the parent event/footprint; local outflow is the turbine loading mechanism.</x:v>
      </x:c>
      <x:c r="L7" s="19" t="str">
        <x:v>NOAA/ASCE taxonomy or new mechanism evidence changes scope.</x:v>
      </x:c>
    </x:row>
    <x:row r="8" ht="58" customHeight="1">
      <x:c r="A8" s="19" t="str">
        <x:v>WTW2-C004</x:v>
      </x:c>
      <x:c r="B8" s="19" t="str">
        <x:v>Nonconvective synoptic, downslope, and tropical-cyclone wind are excluded from straight_line_convective.</x:v>
      </x:c>
      <x:c r="C8" s="19" t="str">
        <x:v>governance_decision</x:v>
      </x:c>
      <x:c r="D8" s="19" t="str">
        <x:v>SLC-S010;ADJ-S001;ADJ-S002</x:v>
      </x:c>
      <x:c r="E8" s="19" t="str">
        <x:v>Boundary memo</x:v>
      </x:c>
      <x:c r="F8" s="19" t="str">
        <x:v>T3_engineering_proxy_or_adjacent_empirical</x:v>
      </x:c>
      <x:c r="G8" s="19" t="str">
        <x:v>neighboring pathway boundary</x:v>
      </x:c>
      <x:c r="H8" s="19" t="str">
        <x:v>adopt</x:v>
      </x:c>
      <x:c r="I8" s="19" t="str">
        <x:v>Share value/anatomy only through explicit future review.</x:v>
      </x:c>
      <x:c r="J8" s="19" t="str">
        <x:v>Reuse the convective numeric curve because units are both m/s.</x:v>
      </x:c>
      <x:c r="K8" s="19" t="str">
        <x:v>Duration/profile/control environments differ materially.</x:v>
      </x:c>
      <x:c r="L8" s="19" t="str">
        <x:v>A documented equivalence study passes.</x:v>
      </x:c>
    </x:row>
    <x:row r="9" ht="58" customHeight="1">
      <x:c r="A9" s="19" t="str">
        <x:v>WTW2-C005</x:v>
      </x:c>
      <x:c r="B9" s="19" t="str">
        <x:v>Peak gust alone is insufficient to characterize convective turbine demand.</x:v>
      </x:c>
      <x:c r="C9" s="19" t="str">
        <x:v>direct_observation</x:v>
      </x:c>
      <x:c r="D9" s="19" t="str">
        <x:v>SLC-S002;SLC-S003;SLC-S004;SLC-S008</x:v>
      </x:c>
      <x:c r="E9" s="19" t="str">
        <x:v>Lu Table 3/Fig.21; NREL §5.2</x:v>
      </x:c>
      <x:c r="F9" s="19" t="str">
        <x:v>T2_public_lab_standard_or_physics</x:v>
      </x:c>
      <x:c r="G9" s="19" t="str">
        <x:v>conditioner/input contract</x:v>
      </x:c>
      <x:c r="H9" s="19" t="str">
        <x:v>adopt</x:v>
      </x:c>
      <x:c r="I9" s="19" t="str">
        <x:v>Require/record ramp, direction, vertical flow, duration, turbulence and control state or unresolved flags.</x:v>
      </x:c>
      <x:c r="J9" s="19" t="str">
        <x:v>Claim one gust maps uniquely to load or DR.</x:v>
      </x:c>
      <x:c r="K9" s="19" t="str">
        <x:v>Experiments/simulations show state and transient structure are load-bearing.</x:v>
      </x:c>
      <x:c r="L9" s="19" t="str">
        <x:v>Validated reduced-order demand model identifies a sufficient smaller input set.</x:v>
      </x:c>
    </x:row>
    <x:row r="10" ht="58" customHeight="1">
      <x:c r="A10" s="19" t="str">
        <x:v>WTW2-C006</x:v>
      </x:c>
      <x:c r="B10" s="19" t="str">
        <x:v>The preferred straight-line intensity is rotor-effective 3-second horizontal gust; a hub-point 3-second gust is a lower-fidelity proxy.</x:v>
      </x:c>
      <x:c r="C10" s="19" t="str">
        <x:v>engineering_inference</x:v>
      </x:c>
      <x:c r="D10" s="19" t="str">
        <x:v>SLC-S003;SLC-S004;SLC-S008;SLC-S011</x:v>
      </x:c>
      <x:c r="E10" s="19" t="str">
        <x:v>Dossier axis section</x:v>
      </x:c>
      <x:c r="F10" s="19" t="str">
        <x:v>T3_engineering_proxy_or_adjacent_empirical</x:v>
      </x:c>
      <x:c r="G10" s="19" t="str">
        <x:v>straight-line hazard axis</x:v>
      </x:c>
      <x:c r="H10" s="19" t="str">
        <x:v>adopt</x:v>
      </x:c>
      <x:c r="I10" s="19" t="str">
        <x:v>Use rotor-area RMS pressure-equivalent speed and flag hub proxy.</x:v>
      </x:c>
      <x:c r="J10" s="19" t="str">
        <x:v>Treat 10 m ASCE gust as rotor/hub gust.</x:v>
      </x:c>
      <x:c r="K10" s="19" t="str">
        <x:v>Rotor-scale nonuniformity and V-squared pressure motivate an area-effective measure.</x:v>
      </x:c>
      <x:c r="L10" s="19" t="str">
        <x:v>Validated alternative demand measure or field study.</x:v>
      </x:c>
    </x:row>
    <x:row r="11" ht="58" customHeight="1">
      <x:c r="A11" s="19" t="str">
        <x:v>WTW2-C007</x:v>
      </x:c>
      <x:c r="B11" s="19" t="str">
        <x:v>A 10 m ASCE gust requires a named convective profile bridge and cannot use an ordinary ABL power law by default.</x:v>
      </x:c>
      <x:c r="C11" s="19" t="str">
        <x:v>source_interpretation</x:v>
      </x:c>
      <x:c r="D11" s="19" t="str">
        <x:v>SLC-S008;SLC-S011</x:v>
      </x:c>
      <x:c r="E11" s="19" t="str">
        <x:v>NREL §5.2; Dang §2.1</x:v>
      </x:c>
      <x:c r="F11" s="19" t="str">
        <x:v>T2_public_lab_standard_or_physics</x:v>
      </x:c>
      <x:c r="G11" s="19" t="str">
        <x:v>straight-line axis bridge</x:v>
      </x:c>
      <x:c r="H11" s="19" t="str">
        <x:v>adopt</x:v>
      </x:c>
      <x:c r="I11" s="19" t="str">
        <x:v>Fail closed or use explicit T4 proxy scenarios.</x:v>
      </x:c>
      <x:c r="J11" s="19" t="str">
        <x:v>Silent 10 m-to-hub substitution.</x:v>
      </x:c>
      <x:c r="K11" s="19" t="str">
        <x:v>Downburst profiles are transient and nose shaped.</x:v>
      </x:c>
      <x:c r="L11" s="19" t="str">
        <x:v>Validated site/event downburst profile adapter.</x:v>
      </x:c>
    </x:row>
    <x:row r="12" ht="58" customHeight="1">
      <x:c r="A12" s="19" t="str">
        <x:v>WTW2-C008</x:v>
      </x:c>
      <x:c r="B12" s="19" t="str">
        <x:v>Convective studies support a load-evidence region around 28-55 m/s but do not directly support DR ordinates.</x:v>
      </x:c>
      <x:c r="C12" s="19" t="str">
        <x:v>source_interpretation</x:v>
      </x:c>
      <x:c r="D12" s="19" t="str">
        <x:v>SLC-S003;SLC-S004;SLC-S005</x:v>
      </x:c>
      <x:c r="E12" s="19" t="str">
        <x:v>Lu Table 3; experiment/model domains</x:v>
      </x:c>
      <x:c r="F12" s="19" t="str">
        <x:v>T2_public_lab_standard_or_physics</x:v>
      </x:c>
      <x:c r="G12" s="19" t="str">
        <x:v>straight-line evidence domain</x:v>
      </x:c>
      <x:c r="H12" s="19" t="str">
        <x:v>adopt</x:v>
      </x:c>
      <x:c r="I12" s="19" t="str">
        <x:v>Flag 55-70 m/s as high extrapolation and withhold above 70 m/s.</x:v>
      </x:c>
      <x:c r="J12" s="19" t="str">
        <x:v>Call the entire curve evidence fitted.</x:v>
      </x:c>
      <x:c r="K12" s="19" t="str">
        <x:v>Available studies provide demand, not capacity/cost.</x:v>
      </x:c>
      <x:c r="L12" s="19" t="str">
        <x:v>Modern turbine capacity plus repair data extend domain.</x:v>
      </x:c>
    </x:row>
    <x:row r="13" ht="58" customHeight="1">
      <x:c r="A13" s="19" t="str">
        <x:v>WTW2-C009</x:v>
      </x:c>
      <x:c r="B13" s="19" t="str">
        <x:v>Convective physical destruction above 70 m/s is withheld in the proposed screening evaluator.</x:v>
      </x:c>
      <x:c r="C13" s="19" t="str">
        <x:v>governance_decision</x:v>
      </x:c>
      <x:c r="D13" s="19" t="str">
        <x:v>SLC-S003;BOUNDED_REVIEW</x:v>
      </x:c>
      <x:c r="E13" s="19" t="str">
        <x:v>Evidence-domain review</x:v>
      </x:c>
      <x:c r="F13" s="19" t="str">
        <x:v>T4_placeholder_or_expert_judgment</x:v>
      </x:c>
      <x:c r="G13" s="19" t="str">
        <x:v>straight-line upper domain</x:v>
      </x:c>
      <x:c r="H13" s="19" t="str">
        <x:v>adopt</x:v>
      </x:c>
      <x:c r="I13" s="19" t="str">
        <x:v>Return a structural reason code rather than extrapolated DR.</x:v>
      </x:c>
      <x:c r="J13" s="19" t="str">
        <x:v>Clamp to total loss or silently extend.</x:v>
      </x:c>
      <x:c r="K13" s="19" t="str">
        <x:v>Prevents a T4 curve from becoming an unbounded severe-wind model.</x:v>
      </x:c>
      <x:c r="L13" s="19" t="str">
        <x:v>Qualified modern-turbine high-wind capacity evidence.</x:v>
      </x:c>
    </x:row>
    <x:row r="14" ht="58" customHeight="1">
      <x:c r="A14" s="19" t="str">
        <x:v>WTW2-C010</x:v>
      </x:c>
      <x:c r="B14" s="19" t="str">
        <x:v>The straight-line capacity scenarios are Tier-4 engineering bounds, not a statistical fragility fit.</x:v>
      </x:c>
      <x:c r="C14" s="19" t="str">
        <x:v>governance_decision</x:v>
      </x:c>
      <x:c r="D14" s="19" t="str">
        <x:v>SLC-S001;SLC-S003;SLC-S005;BOUNDED_REVIEW</x:v>
      </x:c>
      <x:c r="E14" s="19" t="str">
        <x:v>Parameter tier table</x:v>
      </x:c>
      <x:c r="F14" s="19" t="str">
        <x:v>T4_placeholder_or_expert_judgment</x:v>
      </x:c>
      <x:c r="G14" s="19" t="str">
        <x:v>straight-line state medians/beta</x:v>
      </x:c>
      <x:c r="H14" s="19" t="str">
        <x:v>adopt</x:v>
      </x:c>
      <x:c r="I14" s="19" t="str">
        <x:v>Use for screening sensitivity with explicit scenario IDs.</x:v>
      </x:c>
      <x:c r="J14" s="19" t="str">
        <x:v>Describe bounds as confidence intervals or underwriting calibration.</x:v>
      </x:c>
      <x:c r="K14" s="19" t="str">
        <x:v>No matched intensity-damage-cost population exists.</x:v>
      </x:c>
      <x:c r="L14" s="19" t="str">
        <x:v>Claims/SCADA/inspection or capacity-calibrated model.</x:v>
      </x:c>
    </x:row>
    <x:row r="15" ht="58" customHeight="1">
      <x:c r="A15" s="19" t="str">
        <x:v>WTW2-C011</x:v>
      </x:c>
      <x:c r="B15" s="19" t="str">
        <x:v>Observed convective events support blade and tower failure but do not cleanly calibrate modern multi-MW fragility.</x:v>
      </x:c>
      <x:c r="C15" s="19" t="str">
        <x:v>direct_observation</x:v>
      </x:c>
      <x:c r="D15" s="19" t="str">
        <x:v>SLC-S001;SLC-S013</x:v>
      </x:c>
      <x:c r="E15" s="19" t="str">
        <x:v>Buffalo Ridge and SPC event records</x:v>
      </x:c>
      <x:c r="F15" s="19" t="str">
        <x:v>T1_claims_or_field_calibrated</x:v>
      </x:c>
      <x:c r="G15" s="19" t="str">
        <x:v>straight-line state ordering</x:v>
      </x:c>
      <x:c r="H15" s="19" t="str">
        <x:v>adopt_with_limits</x:v>
      </x:c>
      <x:c r="I15" s="19" t="str">
        <x:v>Allow rotor-damage and terminal-turbine states in a screening ensemble.</x:v>
      </x:c>
      <x:c r="J15" s="19" t="str">
        <x:v>Fit a population curve directly to the cases.</x:v>
      </x:c>
      <x:c r="K15" s="19" t="str">
        <x:v>Events lack clean turbine-level wind, configuration, and repair denominators.</x:v>
      </x:c>
      <x:c r="L15" s="19" t="str">
        <x:v>Matched modern event dataset.</x:v>
      </x:c>
    </x:row>
    <x:row r="16" ht="58" customHeight="1">
      <x:c r="A16" s="19" t="str">
        <x:v>WTW2-C012</x:v>
      </x:c>
      <x:c r="B16" s="19" t="str">
        <x:v>Convective load multipliers of 2-10 times are demand evidence and never damage-ratio multipliers.</x:v>
      </x:c>
      <x:c r="C16" s="19" t="str">
        <x:v>source_interpretation</x:v>
      </x:c>
      <x:c r="D16" s="19" t="str">
        <x:v>SLC-S003;SLC-S004</x:v>
      </x:c>
      <x:c r="E16" s="19" t="str">
        <x:v>Lu Fig.21; Zhang results</x:v>
      </x:c>
      <x:c r="F16" s="19" t="str">
        <x:v>T2_public_lab_standard_or_physics</x:v>
      </x:c>
      <x:c r="G16" s="19" t="str">
        <x:v>load-to-DR guardrail</x:v>
      </x:c>
      <x:c r="H16" s="19" t="str">
        <x:v>adopt</x:v>
      </x:c>
      <x:c r="I16" s="19" t="str">
        <x:v>Use to justify distinct pathway physics.</x:v>
      </x:c>
      <x:c r="J16" s="19" t="str">
        <x:v>Multiply DR or value by reported load ratios.</x:v>
      </x:c>
      <x:c r="K16" s="19" t="str">
        <x:v>Capacity and repair consequences are nonlinear and absent.</x:v>
      </x:c>
      <x:c r="L16" s="19" t="str">
        <x:v>Capacity-linked fragility study.</x:v>
      </x:c>
    </x:row>
    <x:row r="17" ht="58" customHeight="1">
      <x:c r="A17" s="19" t="str">
        <x:v>WTW2-C013</x:v>
      </x:c>
      <x:c r="B17" s="19" t="str">
        <x:v>Grid loss, pitch and yaw availability are conditioners, not direct physical damage or value exposure.</x:v>
      </x:c>
      <x:c r="C17" s="19" t="str">
        <x:v>governance_decision</x:v>
      </x:c>
      <x:c r="D17" s="19" t="str">
        <x:v>SLC-S002;SLC-S008;ADJ-S001</x:v>
      </x:c>
      <x:c r="E17" s="19" t="str">
        <x:v>NREL state discussion; Rose load cases</x:v>
      </x:c>
      <x:c r="F17" s="19" t="str">
        <x:v>T2_public_lab_standard_or_physics</x:v>
      </x:c>
      <x:c r="G17" s="19" t="str">
        <x:v>conditioner taxonomy</x:v>
      </x:c>
      <x:c r="H17" s="19" t="str">
        <x:v>adopt</x:v>
      </x:c>
      <x:c r="I17" s="19" t="str">
        <x:v>Carry state in the request and metadata.</x:v>
      </x:c>
      <x:c r="J17" s="19" t="str">
        <x:v>Emit DR from grid loss alone or scale value twice.</x:v>
      </x:c>
      <x:c r="K17" s="19" t="str">
        <x:v>They alter demand/control state without being destruction.</x:v>
      </x:c>
      <x:c r="L17" s="19" t="str">
        <x:v>Evidence of a separate direct electrical-failure pathway.</x:v>
      </x:c>
    </x:row>
    <x:row r="18" ht="58" customHeight="1">
      <x:c r="A18" s="19" t="str">
        <x:v>WTW2-C014</x:v>
      </x:c>
      <x:c r="B18" s="19" t="str">
        <x:v>A tornado wind field contains tangential, radial and vertical components that vary across the rotor and with tornado position.</x:v>
      </x:c>
      <x:c r="C18" s="19" t="str">
        <x:v>source_interpretation</x:v>
      </x:c>
      <x:c r="D18" s="19" t="str">
        <x:v>TOR-S009;TOR-S010;TOR-S011</x:v>
      </x:c>
      <x:c r="E18" s="19" t="str">
        <x:v>AbuGazia model; Lopez experiment</x:v>
      </x:c>
      <x:c r="F18" s="19" t="str">
        <x:v>T2_public_lab_standard_or_physics</x:v>
      </x:c>
      <x:c r="G18" s="19" t="str">
        <x:v>tornado pathway physics</x:v>
      </x:c>
      <x:c r="H18" s="19" t="str">
        <x:v>adopt</x:v>
      </x:c>
      <x:c r="I18" s="19" t="str">
        <x:v>Require a tornado-effective turbine demand or qualified proxy.</x:v>
      </x:c>
      <x:c r="J18" s="19" t="str">
        <x:v>Represent tornado by an ordinary straight-wind D50 shift.</x:v>
      </x:c>
      <x:c r="K18" s="19" t="str">
        <x:v>Direct numerical/experimental evidence shows three-dimensional and positional effects.</x:v>
      </x:c>
      <x:c r="L18" s="19" t="str">
        <x:v>Validated simpler sufficient demand index.</x:v>
      </x:c>
    </x:row>
    <x:row r="19" ht="58" customHeight="1">
      <x:c r="A19" s="19" t="str">
        <x:v>WTW2-C015</x:v>
      </x:c>
      <x:c r="B19" s="19" t="str">
        <x:v>Tornado horizontal-speed profiles are nose shaped, with a median peak near 50 m in the reviewed 36-profile sample.</x:v>
      </x:c>
      <x:c r="C19" s="19" t="str">
        <x:v>direct_observation</x:v>
      </x:c>
      <x:c r="D19" s="19" t="str">
        <x:v>TOR-S001</x:v>
      </x:c>
      <x:c r="E19" s="19" t="str">
        <x:v>NIST results</x:v>
      </x:c>
      <x:c r="F19" s="19" t="str">
        <x:v>T2_public_lab_standard_or_physics</x:v>
      </x:c>
      <x:c r="G19" s="19" t="str">
        <x:v>tornado height bridge</x:v>
      </x:c>
      <x:c r="H19" s="19" t="str">
        <x:v>adopt</x:v>
      </x:c>
      <x:c r="I19" s="19" t="str">
        <x:v>Require height/profile provenance and recognize rotor-span variation.</x:v>
      </x:c>
      <x:c r="J19" s="19" t="str">
        <x:v>Apply an ordinary ABL power law or claim every peak is 50 m.</x:v>
      </x:c>
      <x:c r="K19" s="19" t="str">
        <x:v>NIST radar-profile review directly supports the profile distinction and variability.</x:v>
      </x:c>
      <x:c r="L19" s="19" t="str">
        <x:v>New ASCE profile revision or larger sample.</x:v>
      </x:c>
    </x:row>
    <x:row r="20" ht="58" customHeight="1">
      <x:c r="A20" s="19" t="str">
        <x:v>WTW2-C016</x:v>
      </x:c>
      <x:c r="B20" s="19" t="str">
        <x:v>An EF rating is a damage-based estimated 3-second gust and not a turbine-local measured intensity.</x:v>
      </x:c>
      <x:c r="C20" s="19" t="str">
        <x:v>direct_observation</x:v>
      </x:c>
      <x:c r="D20" s="19" t="str">
        <x:v>TOR-S002</x:v>
      </x:c>
      <x:c r="E20" s="19" t="str">
        <x:v>NWS EF important note</x:v>
      </x:c>
      <x:c r="F20" s="19" t="str">
        <x:v>T2_public_lab_standard_or_physics</x:v>
      </x:c>
      <x:c r="G20" s="19" t="str">
        <x:v>EF proxy rule</x:v>
      </x:c>
      <x:c r="H20" s="19" t="str">
        <x:v>adopt</x:v>
      </x:c>
      <x:c r="I20" s="19" t="str">
        <x:v>Reject EF-only runtime inputs; require a documented wind-field/proxy ensemble.</x:v>
      </x:c>
      <x:c r="J20" s="19" t="str">
        <x:v>Use EF midpoint or uniform band as a measured hub gust.</x:v>
      </x:c>
      <x:c r="K20" s="19" t="str">
        <x:v>NWS explicitly states estimates vary with height/exposure.</x:v>
      </x:c>
      <x:c r="L20" s="19" t="str">
        <x:v>Final wind-speed-estimation standard supplies a governed conversion.</x:v>
      </x:c>
    </x:row>
    <x:row r="21" ht="58" customHeight="1">
      <x:c r="A21" s="19" t="str">
        <x:v>WTW2-C017</x:v>
      </x:c>
      <x:c r="B21" s="19" t="str">
        <x:v>At Jacksboro four commercial turbines had shredded blades while their tapered steel towers remained intact; typical resistance was estimated near 51 m/s.</x:v>
      </x:c>
      <x:c r="C21" s="19" t="str">
        <x:v>direct_observation</x:v>
      </x:c>
      <x:c r="D21" s="19" t="str">
        <x:v>TOR-S006</x:v>
      </x:c>
      <x:c r="E21" s="19" t="str">
        <x:v>§3.6, Figs.16-17, Table 7</x:v>
      </x:c>
      <x:c r="F21" s="19" t="str">
        <x:v>T1_claims_or_field_calibrated</x:v>
      </x:c>
      <x:c r="G21" s="19" t="str">
        <x:v>tornado rotor-damage central anchor</x:v>
      </x:c>
      <x:c r="H21" s="19" t="str">
        <x:v>adopt_with_limits</x:v>
      </x:c>
      <x:c r="I21" s="19" t="str">
        <x:v>Set the central rotor-replacement transition near 51 m/s for screening.</x:v>
      </x:c>
      <x:c r="J21" s="19" t="str">
        <x:v>Claim exact rotor wind, probability, modern-fleet transfer, or repair cost.</x:v>
      </x:c>
      <x:c r="K21" s="19" t="str">
        <x:v>Nearby damage supported the field estimate; configuration/denominator remain incomplete.</x:v>
      </x:c>
      <x:c r="L21" s="19" t="str">
        <x:v>Final turbine DI or additional matched turbine cases.</x:v>
      </x:c>
    </x:row>
    <x:row r="22" ht="58" customHeight="1">
      <x:c r="A22" s="19" t="str">
        <x:v>WTW2-C018</x:v>
      </x:c>
      <x:c r="B22" s="19" t="str">
        <x:v>Greenfield turbine outcomes show a terminal-collapse transition between about 65 and 69 m/s for the affected turbines.</x:v>
      </x:c>
      <x:c r="C22" s="19" t="str">
        <x:v>direct_observation</x:v>
      </x:c>
      <x:c r="D22" s="19" t="str">
        <x:v>TOR-S003</x:v>
      </x:c>
      <x:c r="E22" s="19" t="str">
        <x:v>BAMS pp.776-777</x:v>
      </x:c>
      <x:c r="F22" s="19" t="str">
        <x:v>T1_claims_or_field_calibrated</x:v>
      </x:c>
      <x:c r="G22" s="19" t="str">
        <x:v>tornado terminal central anchor</x:v>
      </x:c>
      <x:c r="H22" s="19" t="str">
        <x:v>adopt_with_limits</x:v>
      </x:c>
      <x:c r="I22" s="19" t="str">
        <x:v>Set central terminal-state median near 67 m/s and retain broad resistance scenarios.</x:v>
      </x:c>
      <x:c r="J22" s="19" t="str">
        <x:v>Universal turbine capacity, exact hub speed, or fitted beta from unreported counts.</x:v>
      </x:c>
      <x:c r="K22" s="19" t="str">
        <x:v>All below 65 survived, all at/above 69 toppled, mixed between; research is ongoing.</x:v>
      </x:c>
      <x:c r="L22" s="19" t="str">
        <x:v>Complete peer-reviewed Greenfield turbine/radar dataset.</x:v>
      </x:c>
    </x:row>
    <x:row r="23" ht="58" customHeight="1">
      <x:c r="A23" s="19" t="str">
        <x:v>WTW2-C019</x:v>
      </x:c>
      <x:c r="B23" s="19" t="str">
        <x:v>Greenfield tower collapse was governed by local inelastic buckling near geometric discontinuities in the reviewed forensic/FEA study.</x:v>
      </x:c>
      <x:c r="C23" s="19" t="str">
        <x:v>direct_observation</x:v>
      </x:c>
      <x:c r="D23" s="19" t="str">
        <x:v>TOR-S005</x:v>
      </x:c>
      <x:c r="E23" s="19" t="str">
        <x:v>Abstract and conclusions</x:v>
      </x:c>
      <x:c r="F23" s="19" t="str">
        <x:v>T2_public_lab_standard_or_physics</x:v>
      </x:c>
      <x:c r="G23" s="19" t="str">
        <x:v>terminal-state mechanism</x:v>
      </x:c>
      <x:c r="H23" s="19" t="str">
        <x:v>adopt</x:v>
      </x:c>
      <x:c r="I23" s="19" t="str">
        <x:v>Treat tower collapse as terminal turbine-equipment state with archetype limits.</x:v>
      </x:c>
      <x:c r="J23" s="19" t="str">
        <x:v>Infer a universal fragility curve or foundation loss.</x:v>
      </x:c>
      <x:c r="K23" s="19" t="str">
        <x:v>Forensic observations and FEA agree on local buckling mechanism.</x:v>
      </x:c>
      <x:c r="L23" s="19" t="str">
        <x:v>Additional forensic cases or alternate turbine designs.</x:v>
      </x:c>
    </x:row>
    <x:row r="24" ht="58" customHeight="1">
      <x:c r="A24" s="19" t="str">
        <x:v>WTW2-C020</x:v>
      </x:c>
      <x:c r="B24" s="19" t="str">
        <x:v>The proposed commercial-turbine DOD thresholds are an engineering prior, not a finalized standard or field-calibrated fragility.</x:v>
      </x:c>
      <x:c r="C24" s="19" t="str">
        <x:v>source_interpretation</x:v>
      </x:c>
      <x:c r="D24" s="19" t="str">
        <x:v>TOR-S007;TOR-S008</x:v>
      </x:c>
      <x:c r="E24" s="19" t="str">
        <x:v>Bouchard Table 3; Marshall standards-development paper</x:v>
      </x:c>
      <x:c r="F24" s="19" t="str">
        <x:v>T3_engineering_proxy_or_adjacent_empirical</x:v>
      </x:c>
      <x:c r="G24" s="19" t="str">
        <x:v>tornado lower-resistance scenario</x:v>
      </x:c>
      <x:c r="H24" s="19" t="str">
        <x:v>adopt_with_limits</x:v>
      </x:c>
      <x:c r="I24" s="19" t="str">
        <x:v>Use 32/45/58-like lower-resistance bounds and state ordering.</x:v>
      </x:c>
      <x:c r="J24" s="19" t="str">
        <x:v>Call them final EF/ASCE requirements or statistical medians.</x:v>
      </x:c>
      <x:c r="K24" s="19" t="str">
        <x:v>The source is explicit standards-development/screening work.</x:v>
      </x:c>
      <x:c r="L24" s="19" t="str">
        <x:v>Final ASCE/SEI/AMS standard.</x:v>
      </x:c>
    </x:row>
    <x:row r="25" ht="58" customHeight="1">
      <x:c r="A25" s="19" t="str">
        <x:v>WTW2-C021</x:v>
      </x:c>
      <x:c r="B25" s="19" t="str">
        <x:v>Tornado debris and pressure are distinct unresolved mechanisms in the speed-only screening proxy.</x:v>
      </x:c>
      <x:c r="C25" s="19" t="str">
        <x:v>source_interpretation</x:v>
      </x:c>
      <x:c r="D25" s="19" t="str">
        <x:v>TOR-S011;TOR-S012</x:v>
      </x:c>
      <x:c r="E25" s="19" t="str">
        <x:v>Baker framework; FEMA/NIST guide</x:v>
      </x:c>
      <x:c r="F25" s="19" t="str">
        <x:v>T2_public_lab_standard_or_physics</x:v>
      </x:c>
      <x:c r="G25" s="19" t="str">
        <x:v>tornado limitation flag</x:v>
      </x:c>
      <x:c r="H25" s="19" t="str">
        <x:v>adopt</x:v>
      </x:c>
      <x:c r="I25" s="19" t="str">
        <x:v>Carry TORNADO_DEBRIS_PRESSURE_NOT_SEPARATELY_MODELED.</x:v>
      </x:c>
      <x:c r="J25" s="19" t="str">
        <x:v>Apply an unsupported debris multiplier or claim wind-only causation.</x:v>
      </x:c>
      <x:c r="K25" s="19" t="str">
        <x:v>Evidence establishes separate loading without turbine calibration.</x:v>
      </x:c>
      <x:c r="L25" s="19" t="str">
        <x:v>Turbine-specific debris/pressure tests.</x:v>
      </x:c>
    </x:row>
    <x:row r="26" ht="58" customHeight="1">
      <x:c r="A26" s="19" t="str">
        <x:v>WTW2-C022</x:v>
      </x:c>
      <x:c r="B26" s="19" t="str">
        <x:v>The primary numeric failure unit is one repeated turbine-equipment assembly because component failures are dependent and tower collapse is terminal.</x:v>
      </x:c>
      <x:c r="C26" s="19" t="str">
        <x:v>governance_decision</x:v>
      </x:c>
      <x:c r="D26" s="19" t="str">
        <x:v>TOR-S003;TOR-S005;VAL-S001;GOVERNANCE_CONTRACT</x:v>
      </x:c>
      <x:c r="E26" s="19" t="str">
        <x:v>Decision D-WTW2-05</x:v>
      </x:c>
      <x:c r="F26" s="19" t="str">
        <x:v>T3_engineering_proxy_or_adjacent_empirical</x:v>
      </x:c>
      <x:c r="G26" s="19" t="str">
        <x:v>failure_unit_id WT_TURBINE_EQUIPMENT_ASSEMBLY</x:v>
      </x:c>
      <x:c r="H26" s="19" t="str">
        <x:v>adopt</x:v>
      </x:c>
      <x:c r="I26" s="19" t="str">
        <x:v>Use mutually exclusive ordered states and apply exposure per turbine.</x:v>
      </x:c>
      <x:c r="J26" s="19" t="str">
        <x:v>Independently sum blade, tower, nacelle and foundation logistics.</x:v>
      </x:c>
      <x:c r="K26" s="19" t="str">
        <x:v>Assembly precedence prevents consequential double counting.</x:v>
      </x:c>
      <x:c r="L26" s="19" t="str">
        <x:v>Claims/repair evidence supports separable conditional component records.</x:v>
      </x:c>
    </x:row>
    <x:row r="27" ht="58" customHeight="1">
      <x:c r="A27" s="19" t="str">
        <x:v>WTW2-C023</x:v>
      </x:c>
      <x:c r="B27" s="19" t="str">
        <x:v>The turbine-equipment curve denominator is 1,090 USD/kW in 2023 USD.</x:v>
      </x:c>
      <x:c r="C27" s="19" t="str">
        <x:v>direct_observation</x:v>
      </x:c>
      <x:c r="D27" s="19" t="str">
        <x:v>VAL-S001</x:v>
      </x:c>
      <x:c r="E27" s="19" t="str">
        <x:v>Wind_Map rows 2-9; CWER appendix</x:v>
      </x:c>
      <x:c r="F27" s="19" t="str">
        <x:v>T2_public_lab_standard_or_physics</x:v>
      </x:c>
      <x:c r="G27" s="19" t="str">
        <x:v>value denominator</x:v>
      </x:c>
      <x:c r="H27" s="19" t="str">
        <x:v>adopt</x:v>
      </x:c>
      <x:c r="I27" s="19" t="str">
        <x:v>Apply assembly DR only to rotor/pitch/nacelle/electrical/yaw/tower direct hardware.</x:v>
      </x:c>
      <x:c r="J27" s="19" t="str">
        <x:v>Apply to foundation, support, full physical base, installed TIV or insured value.</x:v>
      </x:c>
      <x:c r="K27" s="19" t="str">
        <x:v>Rows 2-9 reconcile to the CWER turbine module, subject to 1 USD/kW rounding.</x:v>
      </x:c>
      <x:c r="L27" s="19" t="str">
        <x:v>New CWER vintage or site appraisal.</x:v>
      </x:c>
    </x:row>
    <x:row r="28" ht="58" customHeight="1">
      <x:c r="A28" s="19" t="str">
        <x:v>WTW2-C024</x:v>
      </x:c>
      <x:c r="B28" s="19" t="str">
        <x:v>The reference installed, physical, and excluded bases are 1,968, 1,623, and 345 USD/kW.</x:v>
      </x:c>
      <x:c r="C28" s="19" t="str">
        <x:v>direct_observation</x:v>
      </x:c>
      <x:c r="D28" s="19" t="str">
        <x:v>VAL-S001</x:v>
      </x:c>
      <x:c r="E28" s="19" t="str">
        <x:v>Inputs!B9:B11 and Wind_Map</x:v>
      </x:c>
      <x:c r="F28" s="19" t="str">
        <x:v>T2_public_lab_standard_or_physics</x:v>
      </x:c>
      <x:c r="G28" s="19" t="str">
        <x:v>reference value basis</x:v>
      </x:c>
      <x:c r="H28" s="19" t="str">
        <x:v>adopt</x:v>
      </x:c>
      <x:c r="I28" s="19" t="str">
        <x:v>Publish denominator conversions and reconciliation.</x:v>
      </x:c>
      <x:c r="J28" s="19" t="str">
        <x:v>Treat physical and installed denominators as interchangeable.</x:v>
      </x:c>
      <x:c r="K28" s="19" t="str">
        <x:v>Workbook formula audit reconciles the reference rows.</x:v>
      </x:c>
      <x:c r="L28" s="19" t="str">
        <x:v>New value vintage or boundary decision.</x:v>
      </x:c>
    </x:row>
    <x:row r="29" ht="58" customHeight="1">
      <x:c r="A29" s="19" t="str">
        <x:v>WTW2-C025</x:v>
      </x:c>
      <x:c r="B29" s="19" t="str">
        <x:v>The turbine-equipment share is 0.671595810228 of physical base and 0.553861788618 of installed capex.</x:v>
      </x:c>
      <x:c r="C29" s="19" t="str">
        <x:v>engineering_inference</x:v>
      </x:c>
      <x:c r="D29" s="19" t="str">
        <x:v>VAL-S001</x:v>
      </x:c>
      <x:c r="E29" s="19" t="str">
        <x:v>1090/1623 and 1090/1968</x:v>
      </x:c>
      <x:c r="F29" s="19" t="str">
        <x:v>T2_public_lab_standard_or_physics</x:v>
      </x:c>
      <x:c r="G29" s="19" t="str">
        <x:v>reference shares</x:v>
      </x:c>
      <x:c r="H29" s="19" t="str">
        <x:v>adopt</x:v>
      </x:c>
      <x:c r="I29" s="19" t="str">
        <x:v>Use only as explicit reference convenience after exposure.</x:v>
      </x:c>
      <x:c r="J29" s="19" t="str">
        <x:v>Call either share an intrinsic curve cap or implicit full-TIV multiplier.</x:v>
      </x:c>
      <x:c r="K29" s="19" t="str">
        <x:v>Ratios are exact arithmetic on named denominators.</x:v>
      </x:c>
      <x:c r="L29" s="19" t="str">
        <x:v>Value basis changes.</x:v>
      </x:c>
    </x:row>
    <x:row r="30" ht="58" customHeight="1">
      <x:c r="A30" s="19" t="str">
        <x:v>WTW2-C026</x:v>
      </x:c>
      <x:c r="B30" s="19" t="str">
        <x:v>Foundation, civil, and external electrical rows totaling 239 USD/kW remain outside the turbine-equipment curve and require distinct exposure/failure treatment.</x:v>
      </x:c>
      <x:c r="C30" s="19" t="str">
        <x:v>governance_decision</x:v>
      </x:c>
      <x:c r="D30" s="19" t="str">
        <x:v>VAL-S001;SLC-S014;HAZARD_CONSUMER_AUDIT</x:v>
      </x:c>
      <x:c r="E30" s="19" t="str">
        <x:v>Wind_Map rows 10-12</x:v>
      </x:c>
      <x:c r="F30" s="19" t="str">
        <x:v>T4_placeholder_or_expert_judgment</x:v>
      </x:c>
      <x:c r="G30" s="19" t="str">
        <x:v>withheld value coverage</x:v>
      </x:c>
      <x:c r="H30" s="19" t="str">
        <x:v>withhold</x:v>
      </x:c>
      <x:c r="I30" s="19" t="str">
        <x:v>Retain row-complete reconciliation and separate future units.</x:v>
      </x:c>
      <x:c r="J30" s="19" t="str">
        <x:v>Scale them by turbine DR or one tornado swept fraction.</x:v>
      </x:c>
      <x:c r="K30" s="19" t="str">
        <x:v>They have different asset grains and no matched fragility.</x:v>
      </x:c>
      <x:c r="L30" s="19" t="str">
        <x:v>Unit-specific evidence and exposure models.</x:v>
      </x:c>
    </x:row>
    <x:row r="31" ht="58" customHeight="1">
      <x:c r="A31" s="19" t="str">
        <x:v>WTW2-C027</x:v>
      </x:c>
      <x:c r="B31" s="19" t="str">
        <x:v>Replacement fieldwork and transport/logistics totaling 294 USD/kW are support costs allocated once after damaged units are known.</x:v>
      </x:c>
      <x:c r="C31" s="19" t="str">
        <x:v>governance_decision</x:v>
      </x:c>
      <x:c r="D31" s="19" t="str">
        <x:v>VAL-S001;GOVERNANCE_CONTRACT</x:v>
      </x:c>
      <x:c r="E31" s="19" t="str">
        <x:v>Wind_Map rows 13-14</x:v>
      </x:c>
      <x:c r="F31" s="19" t="str">
        <x:v>T4_placeholder_or_expert_judgment</x:v>
      </x:c>
      <x:c r="G31" s="19" t="str">
        <x:v>support allocation rule</x:v>
      </x:c>
      <x:c r="H31" s="19" t="str">
        <x:v>adopt</x:v>
      </x:c>
      <x:c r="I31" s="19" t="str">
        <x:v>Apply a claims/site rule once outside intrinsic DR.</x:v>
      </x:c>
      <x:c r="J31" s="19" t="str">
        <x:v>Give support rows independent fragility or scale them twice.</x:v>
      </x:c>
      <x:c r="K31" s="19" t="str">
        <x:v>CWER reports recurring costs but no hazard-specific allocation function.</x:v>
      </x:c>
      <x:c r="L31" s="19" t="str">
        <x:v>Claims-backed support allocation.</x:v>
      </x:c>
    </x:row>
    <x:row r="32" ht="58" customHeight="1">
      <x:c r="A32" s="19" t="str">
        <x:v>WTW2-C028</x:v>
      </x:c>
      <x:c r="B32" s="19" t="str">
        <x:v>The 345 USD/kW engineering/development, management, finance, contingency and warranty rows are excluded from physical destruction by default.</x:v>
      </x:c>
      <x:c r="C32" s="19" t="str">
        <x:v>source_interpretation</x:v>
      </x:c>
      <x:c r="D32" s="19" t="str">
        <x:v>VAL-S001</x:v>
      </x:c>
      <x:c r="E32" s="19" t="str">
        <x:v>Wind_Map rows 15-19</x:v>
      </x:c>
      <x:c r="F32" s="19" t="str">
        <x:v>T2_public_lab_standard_or_physics</x:v>
      </x:c>
      <x:c r="G32" s="19" t="str">
        <x:v>excluded value rows</x:v>
      </x:c>
      <x:c r="H32" s="19" t="str">
        <x:v>adopt</x:v>
      </x:c>
      <x:c r="I32" s="19" t="str">
        <x:v>Reconcile installed to physical and keep rows outside DR.</x:v>
      </x:c>
      <x:c r="J32" s="19" t="str">
        <x:v>Reintroduce through damage state or support scaling.</x:v>
      </x:c>
      <x:c r="K32" s="19" t="str">
        <x:v>They are classified sunk/soft/nonphysical in the governed value ledger.</x:v>
      </x:c>
      <x:c r="L32" s="19" t="str">
        <x:v>Explicit insured-value boundary overrides.</x:v>
      </x:c>
    </x:row>
    <x:row r="33" ht="58" customHeight="1">
      <x:c r="A33" s="19" t="str">
        <x:v>WTW2-C029</x:v>
      </x:c>
      <x:c r="B33" s="19" t="str">
        <x:v>Damage-state cost ratios are consequences on the 1,090 USD/kW turbine-equipment denominator, not failure probabilities.</x:v>
      </x:c>
      <x:c r="C33" s="19" t="str">
        <x:v>governance_decision</x:v>
      </x:c>
      <x:c r="D33" s="19" t="str">
        <x:v>VAL-S001;GOVERNANCE_CONTRACT</x:v>
      </x:c>
      <x:c r="E33" s="19" t="str">
        <x:v>Value crosswalk and curve form</x:v>
      </x:c>
      <x:c r="F33" s="19" t="str">
        <x:v>T4_placeholder_or_expert_judgment</x:v>
      </x:c>
      <x:c r="G33" s="19" t="str">
        <x:v>damage state r_j</x:v>
      </x:c>
      <x:c r="H33" s="19" t="str">
        <x:v>adopt</x:v>
      </x:c>
      <x:c r="I33" s="19" t="str">
        <x:v>Use pitch 13/1090, rotor 337/1090 and total 1090/1090 as transparent screening consequences.</x:v>
      </x:c>
      <x:c r="J33" s="19" t="str">
        <x:v>Claim exact repair scopes, include support, or interpret as weights in component logistics.</x:v>
      </x:c>
      <x:c r="K33" s="19" t="str">
        <x:v>Public component values make the arithmetic auditable but do not provide claims calibration.</x:v>
      </x:c>
      <x:c r="L33" s="19" t="str">
        <x:v>Claims/repair disposition data.</x:v>
      </x:c>
    </x:row>
    <x:row r="34" ht="58" customHeight="1">
      <x:c r="A34" s="19" t="str">
        <x:v>WTW2-C030</x:v>
      </x:c>
      <x:c r="B34" s="19" t="str">
        <x:v>The common log-dispersion and resistance scenarios are Tier-4 curve-shape judgments constrained by observed brackets.</x:v>
      </x:c>
      <x:c r="C34" s="19" t="str">
        <x:v>engineering_inference</x:v>
      </x:c>
      <x:c r="D34" s="19" t="str">
        <x:v>TOR-S003;TOR-S006;TOR-S007;SLC-S003</x:v>
      </x:c>
      <x:c r="E34" s="19" t="str">
        <x:v>Parameter tier table</x:v>
      </x:c>
      <x:c r="F34" s="19" t="str">
        <x:v>T4_placeholder_or_expert_judgment</x:v>
      </x:c>
      <x:c r="G34" s="19" t="str">
        <x:v>beta_ln and capacity_scenarios</x:v>
      </x:c>
      <x:c r="H34" s="19" t="str">
        <x:v>adopt</x:v>
      </x:c>
      <x:c r="I34" s="19" t="str">
        <x:v>Produce monotone screening envelopes and KATs.</x:v>
      </x:c>
      <x:c r="J34" s="19" t="str">
        <x:v>Report statistical confidence, aleatory-only uncertainty, or fitted likelihood.</x:v>
      </x:c>
      <x:c r="K34" s="19" t="str">
        <x:v>Counts/covariates are insufficient for statistical fitting.</x:v>
      </x:c>
      <x:c r="L34" s="19" t="str">
        <x:v>Population data or structured elicitation.</x:v>
      </x:c>
    </x:row>
    <x:row r="35" ht="58" customHeight="1">
      <x:c r="A35" s="19" t="str">
        <x:v>WTW2-C031</x:v>
      </x:c>
      <x:c r="B35" s="19" t="str">
        <x:v>Capacity scenarios have no probabilities or weights.</x:v>
      </x:c>
      <x:c r="C35" s="19" t="str">
        <x:v>governance_decision</x:v>
      </x:c>
      <x:c r="D35" s="19" t="str">
        <x:v>GOVERNANCE_CONTRACT</x:v>
      </x:c>
      <x:c r="E35" s="19" t="str">
        <x:v>Contract standard 22 §4</x:v>
      </x:c>
      <x:c r="F35" s="19" t="str">
        <x:v>T4_placeholder_or_expert_judgment</x:v>
      </x:c>
      <x:c r="G35" s="19" t="str">
        <x:v>scenario interpretation</x:v>
      </x:c>
      <x:c r="H35" s="19" t="str">
        <x:v>adopt</x:v>
      </x:c>
      <x:c r="I35" s="19" t="str">
        <x:v>Emit named nonprobabilistic lower/central/upper resistance results.</x:v>
      </x:c>
      <x:c r="J35" s="19" t="str">
        <x:v>Average scenarios as an expected DR without a selected rule.</x:v>
      </x:c>
      <x:c r="K35" s="19" t="str">
        <x:v>No evidence supports scenario weights.</x:v>
      </x:c>
      <x:c r="L35" s="19" t="str">
        <x:v>Structured elicitation or calibrated epistemic distribution.</x:v>
      </x:c>
    </x:row>
    <x:row r="36" ht="58" customHeight="1">
      <x:c r="A36" s="19" t="str">
        <x:v>WTW2-C032</x:v>
      </x:c>
      <x:c r="B36" s="19" t="str">
        <x:v>The ordered-state evaluator must use exact-state probabilities that sum to one and nondecreasing state costs.</x:v>
      </x:c>
      <x:c r="C36" s="19" t="str">
        <x:v>governance_decision</x:v>
      </x:c>
      <x:c r="D36" s="19" t="str">
        <x:v>GOVERNANCE_CONTRACT</x:v>
      </x:c>
      <x:c r="E36" s="19" t="str">
        <x:v>Contract standard 22 §4</x:v>
      </x:c>
      <x:c r="F36" s="19" t="str">
        <x:v>T2_public_lab_standard_or_physics</x:v>
      </x:c>
      <x:c r="G36" s="19" t="str">
        <x:v>evaluation equation</x:v>
      </x:c>
      <x:c r="H36" s="19" t="str">
        <x:v>adopt</x:v>
      </x:c>
      <x:c r="I36" s="19" t="str">
        <x:v>Prevent negative probabilities and dependency double counting.</x:v>
      </x:c>
      <x:c r="J36" s="19" t="str">
        <x:v>Sum exceedance probabilities directly as independent losses.</x:v>
      </x:c>
      <x:c r="K36" s="19" t="str">
        <x:v>This is the standard ordered-fragility construction.</x:v>
      </x:c>
      <x:c r="L36" s="19" t="str">
        <x:v>New governed curve form.</x:v>
      </x:c>
    </x:row>
    <x:row r="37" ht="58" customHeight="1">
      <x:c r="A37" s="19" t="str">
        <x:v>WTW2-C033</x:v>
      </x:c>
      <x:c r="B37" s="19" t="str">
        <x:v>Missing, unknown, or mismatched pathway identity withholds evaluation.</x:v>
      </x:c>
      <x:c r="C37" s="19" t="str">
        <x:v>governance_decision</x:v>
      </x:c>
      <x:c r="D37" s="19" t="str">
        <x:v>GOVERNANCE_CONTRACT</x:v>
      </x:c>
      <x:c r="E37" s="19" t="str">
        <x:v>KAT routing cases</x:v>
      </x:c>
      <x:c r="F37" s="19" t="str">
        <x:v>T4_placeholder_or_expert_judgment</x:v>
      </x:c>
      <x:c r="G37" s="19" t="str">
        <x:v>fail-closed routing</x:v>
      </x:c>
      <x:c r="H37" s="19" t="str">
        <x:v>adopt</x:v>
      </x:c>
      <x:c r="I37" s="19" t="str">
        <x:v>Return PATHWAY_ID_REQUIRED/UNKNOWN/MISMATCH.</x:v>
      </x:c>
      <x:c r="J37" s="19" t="str">
        <x:v>Default to straight line or infer tornado from EF.</x:v>
      </x:c>
      <x:c r="K37" s="19" t="str">
        <x:v>Prevents the old silent-routing failure.</x:v>
      </x:c>
      <x:c r="L37" s="19" t="str">
        <x:v>No update absent schema revision.</x:v>
      </x:c>
    </x:row>
    <x:row r="38" ht="58" customHeight="1">
      <x:c r="A38" s="19" t="str">
        <x:v>WTW2-C034</x:v>
      </x:c>
      <x:c r="B38" s="19" t="str">
        <x:v>Frequency, track/footprint, exposed turbine count, spatial dependence and event-family overlap belong to Hazard.</x:v>
      </x:c>
      <x:c r="C38" s="19" t="str">
        <x:v>governance_decision</x:v>
      </x:c>
      <x:c r="D38" s="19" t="str">
        <x:v>SLC-S014;HAZARD_CONSUMER_AUDIT;GOVERNANCE_CONTRACT</x:v>
      </x:c>
      <x:c r="E38" s="19" t="str">
        <x:v>Hazard handoff and scope</x:v>
      </x:c>
      <x:c r="F38" s="19" t="str">
        <x:v>T2_public_lab_standard_or_physics</x:v>
      </x:c>
      <x:c r="G38" s="19" t="str">
        <x:v>ownership boundary</x:v>
      </x:c>
      <x:c r="H38" s="19" t="str">
        <x:v>adopt</x:v>
      </x:c>
      <x:c r="I38" s="19" t="str">
        <x:v>Damage emits conditional per-turbine severity only.</x:v>
      </x:c>
      <x:c r="J38" s="19" t="str">
        <x:v>Embed tornado strike probability, derecho footprint, or annual rate in curve.</x:v>
      </x:c>
      <x:c r="K38" s="19" t="str">
        <x:v>Separates vulnerability from occurrence/exposure.</x:v>
      </x:c>
      <x:c r="L38" s="19" t="str">
        <x:v>Platform architecture decision changes.</x:v>
      </x:c>
    </x:row>
    <x:row r="39" ht="58" customHeight="1">
      <x:c r="A39" s="19" t="str">
        <x:v>WTW2-C035</x:v>
      </x:c>
      <x:c r="B39" s="19" t="str">
        <x:v>Substation points, collection lines, civil areas and turbine points require separate exposure kernels.</x:v>
      </x:c>
      <x:c r="C39" s="19" t="str">
        <x:v>engineering_inference</x:v>
      </x:c>
      <x:c r="D39" s="19" t="str">
        <x:v>VAL-S001;HAZARD_CONSUMER_AUDIT</x:v>
      </x:c>
      <x:c r="E39" s="19" t="str">
        <x:v>Consumer seam audit</x:v>
      </x:c>
      <x:c r="F39" s="19" t="str">
        <x:v>T3_engineering_proxy_or_adjacent_empirical</x:v>
      </x:c>
      <x:c r="G39" s="19" t="str">
        <x:v>exposure grain rule</x:v>
      </x:c>
      <x:c r="H39" s="19" t="str">
        <x:v>adopt</x:v>
      </x:c>
      <x:c r="I39" s="19" t="str">
        <x:v>Apply each unit's value only to its own intersection object.</x:v>
      </x:c>
      <x:c r="J39" s="19" t="str">
        <x:v>Apply one exposed_turbine_fraction or swept fraction to full TIV.</x:v>
      </x:c>
      <x:c r="K39" s="19" t="str">
        <x:v>Geometry and denominator grains are incompatible.</x:v>
      </x:c>
      <x:c r="L39" s="19" t="str">
        <x:v>A validated aggregate equivalence proof.</x:v>
      </x:c>
    </x:row>
    <x:row r="40" ht="58" customHeight="1">
      <x:c r="A40" s="19" t="str">
        <x:v>WTW2-C036</x:v>
      </x:c>
      <x:c r="B40" s="19" t="str">
        <x:v>The existing v1.0 artifact and Hazard hardcoded curves are legacy comparison objects, not calibration targets.</x:v>
      </x:c>
      <x:c r="C40" s="19" t="str">
        <x:v>governance_decision</x:v>
      </x:c>
      <x:c r="D40" s="19" t="str">
        <x:v>LEG-S001;LEG-S002</x:v>
      </x:c>
      <x:c r="E40" s="19" t="str">
        <x:v>Legacy numerical audit</x:v>
      </x:c>
      <x:c r="F40" s="19" t="str">
        <x:v>T4_placeholder_or_expert_judgment</x:v>
      </x:c>
      <x:c r="G40" s="19" t="str">
        <x:v>legacy disposition</x:v>
      </x:c>
      <x:c r="H40" s="19" t="str">
        <x:v>adopt</x:v>
      </x:c>
      <x:c r="I40" s="19" t="str">
        <x:v>Reproduce and compare without tuning v2 to preserve outputs.</x:v>
      </x:c>
      <x:c r="J40" s="19" t="str">
        <x:v>Use legacy D50/k/weights as evidence or preserve old EAL/PML headlines.</x:v>
      </x:c>
      <x:c r="K40" s="19" t="str">
        <x:v>They use different axes, values and exposure/frequency seams.</x:v>
      </x:c>
      <x:c r="L40" s="19" t="str">
        <x:v>None; archive on promotion.</x:v>
      </x:c>
    </x:row>
    <x:row r="41" ht="58" customHeight="1">
      <x:c r="A41" s="19" t="str">
        <x:v>WTW2-C037</x:v>
      </x:c>
      <x:c r="B41" s="19" t="str">
        <x:v>Current v1.0 remains canonical until v2 scientific, schema, KAT, workbook and Hazard migration gates pass.</x:v>
      </x:c>
      <x:c r="C41" s="19" t="str">
        <x:v>governance_decision</x:v>
      </x:c>
      <x:c r="D41" s="19" t="str">
        <x:v>GOVERNANCE_CONTRACT</x:v>
      </x:c>
      <x:c r="E41" s="19" t="str">
        <x:v>Change classification and promotion matrix</x:v>
      </x:c>
      <x:c r="F41" s="19" t="str">
        <x:v>T4_placeholder_or_expert_judgment</x:v>
      </x:c>
      <x:c r="G41" s="19" t="str">
        <x:v>promotion rule</x:v>
      </x:c>
      <x:c r="H41" s="19" t="str">
        <x:v>adopt</x:v>
      </x:c>
      <x:c r="I41" s="19" t="str">
        <x:v>Keep v2 absent from artifact index/current changelog.</x:v>
      </x:c>
      <x:c r="J41" s="19" t="str">
        <x:v>Implicitly promote by creating proposed files.</x:v>
      </x:c>
      <x:c r="K41" s="19" t="str">
        <x:v>Protects current consumers during incompatible research.</x:v>
      </x:c>
      <x:c r="L41" s="19" t="str">
        <x:v>Explicit promotion decision.</x:v>
      </x:c>
    </x:row>
    <x:row r="42" ht="58" customHeight="1">
      <x:c r="A42" s="19" t="str">
        <x:v>WTW2-C038</x:v>
      </x:c>
      <x:c r="B42" s="19" t="str">
        <x:v>Before promotion, EAL, PML, VaR and TVaR are withheld because the artifact is noncanonical; after promotion they remain consumer-owned.</x:v>
      </x:c>
      <x:c r="C42" s="19" t="str">
        <x:v>governance_decision</x:v>
      </x:c>
      <x:c r="D42" s="19" t="str">
        <x:v>GOVERNANCE_CONTRACT</x:v>
      </x:c>
      <x:c r="E42" s="19" t="str">
        <x:v>Capability v3 and standard 21</x:v>
      </x:c>
      <x:c r="F42" s="19" t="str">
        <x:v>T4_placeholder_or_expert_judgment</x:v>
      </x:c>
      <x:c r="G42" s="19" t="str">
        <x:v>annual metric capability</x:v>
      </x:c>
      <x:c r="H42" s="19" t="str">
        <x:v>adopt</x:v>
      </x:c>
      <x:c r="I42" s="19" t="str">
        <x:v>Allow future frequency-driven annual metrics only after Hazard prerequisites and limitation flags.</x:v>
      </x:c>
      <x:c r="J42" s="19" t="str">
        <x:v>Compute annual metrics in Damage Modeling or derive a tail from one mean DR.</x:v>
      </x:c>
      <x:c r="K42" s="19" t="str">
        <x:v>Separates proposal status from the valid consumer-tail boundary.</x:v>
      </x:c>
      <x:c r="L42" s="19" t="str">
        <x:v>Promotion plus passing consumer integration.</x:v>
      </x:c>
    </x:row>
    <x:row r="43" ht="58" customHeight="1">
      <x:c r="A43" s="19" t="str">
        <x:v>WTW2-C039</x:v>
      </x:c>
      <x:c r="B43" s="19" t="str">
        <x:v>The nonprobabilistic resistance envelope carries epistemic sensitivity but does not by itself represent full vulnerability uncertainty.</x:v>
      </x:c>
      <x:c r="C43" s="19" t="str">
        <x:v>governance_decision</x:v>
      </x:c>
      <x:c r="D43" s="19" t="str">
        <x:v>GOVERNANCE_CONTRACT</x:v>
      </x:c>
      <x:c r="E43" s="19" t="str">
        <x:v>Capability v3</x:v>
      </x:c>
      <x:c r="F43" s="19" t="str">
        <x:v>T4_placeholder_or_expert_judgment</x:v>
      </x:c>
      <x:c r="G43" s="19" t="str">
        <x:v>uncertainty capability</x:v>
      </x:c>
      <x:c r="H43" s="19" t="str">
        <x:v>adopt</x:v>
      </x:c>
      <x:c r="I43" s="19" t="str">
        <x:v>Label NONPROBABILISTIC_EPISTEMIC_ENVELOPE and unresolved conditioners.</x:v>
      </x:c>
      <x:c r="J43" s="19" t="str">
        <x:v>Call it a probabilistic distribution or omit unmodeled uncertainty.</x:v>
      </x:c>
      <x:c r="K43" s="19" t="str">
        <x:v>Scenario construction has no weights and incomplete covariates.</x:v>
      </x:c>
      <x:c r="L43" s="19" t="str">
        <x:v>Calibrated probabilistic fragility.</x:v>
      </x:c>
    </x:row>
    <x:row r="44" ht="58" customHeight="1">
      <x:c r="A44" s="19" t="str">
        <x:v>WTW2-C040</x:v>
      </x:c>
      <x:c r="B44" s="19" t="str">
        <x:v>No hurricane/tropical-cyclone numerical curve is delivered in this proposal.</x:v>
      </x:c>
      <x:c r="C44" s="19" t="str">
        <x:v>governance_decision</x:v>
      </x:c>
      <x:c r="D44" s="19" t="str">
        <x:v>ADJ-S001;ADJ-S002</x:v>
      </x:c>
      <x:c r="E44" s="19" t="str">
        <x:v>Hurricane boundary memo</x:v>
      </x:c>
      <x:c r="F44" s="19" t="str">
        <x:v>T3_engineering_proxy_or_adjacent_empirical</x:v>
      </x:c>
      <x:c r="G44" s="19" t="str">
        <x:v>neighboring cell capability</x:v>
      </x:c>
      <x:c r="H44" s="19" t="str">
        <x:v>adopt</x:v>
      </x:c>
      <x:c r="I44" s="19" t="str">
        <x:v>Reject tropical-cyclone events and open a separate workstream.</x:v>
      </x:c>
      <x:c r="J44" s="19" t="str">
        <x:v>Reuse either pathway for hurricane wind.</x:v>
      </x:c>
      <x:c r="K44" s="19" t="str">
        <x:v>Duration, veer, turbulence, grid-loss and possible wave loading differ.</x:v>
      </x:c>
      <x:c r="L44" s="19" t="str">
        <x:v>Separate tropical-cyclone cell review.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  <x:col min="5" max="5" width="52" hidden="0" customWidth="1"/>
    <x:col min="6" max="6" width="45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Workbook formula and governance QA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PASS here verifies workbook mechanics and stated boundaries; it does not promote the noncanonical model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Check</x:v>
      </x:c>
      <x:c r="B4" s="15" t="str">
        <x:v>Actual</x:v>
      </x:c>
      <x:c r="C4" s="15" t="str">
        <x:v>Expected</x:v>
      </x:c>
      <x:c r="D4" s="15" t="str">
        <x:v>Status</x:v>
      </x:c>
      <x:c r="E4" s="15" t="str">
        <x:v>Why load-bearing</x:v>
      </x:c>
      <x:c r="F4" s="15" t="str">
        <x:v>Independent validation</x:v>
      </x:c>
    </x:row>
    <x:row r="5">
      <x:c r="A5" s="19" t="str">
        <x:v>Installed = physical + excluded</x:v>
      </x:c>
      <x:c r="B5" s="27" t="n">
        <x:f>'Inputs'!B31</x:f>
        <x:v>0</x:v>
      </x:c>
      <x:c r="C5" s="27" t="n">
        <x:v>0</x:v>
      </x:c>
      <x:c r="D5" s="44" t="str">
        <x:f>IF(ABS(B5-C5)&lt;0.000000001,"PASS","FAIL")</x:f>
        <x:v>PASS</x:v>
      </x:c>
      <x:c r="E5" s="19" t="str">
        <x:v>Denominator reconciliation</x:v>
      </x:c>
      <x:c r="F5" s="19" t="str">
        <x:v>Source value workbook + CSV validator</x:v>
      </x:c>
    </x:row>
    <x:row r="6">
      <x:c r="A6" s="19" t="str">
        <x:v>Physical = equipment + withheld other + support</x:v>
      </x:c>
      <x:c r="B6" s="27" t="n">
        <x:f>'Inputs'!B24+'Inputs'!B25+'Inputs'!B26-'Inputs'!B23</x:f>
        <x:v>0</x:v>
      </x:c>
      <x:c r="C6" s="27" t="n">
        <x:v>0</x:v>
      </x:c>
      <x:c r="D6" s="44" t="str">
        <x:f>IF(ABS(B6-C6)&lt;0.000000001,"PASS","FAIL")</x:f>
        <x:v>PASS</x:v>
      </x:c>
      <x:c r="E6" s="19" t="str">
        <x:v>No missing/double-counted physical row</x:v>
      </x:c>
      <x:c r="F6" s="19" t="str">
        <x:v>Value crosswalk validator</x:v>
      </x:c>
    </x:row>
    <x:row r="7">
      <x:c r="A7" s="19" t="str">
        <x:v>State costs ordered and bounded</x:v>
      </x:c>
      <x:c r="B7" s="27" t="b">
        <x:f>AND('Inputs'!J6=0,'Inputs'!J7&gt;='Inputs'!J6,'Inputs'!J8&gt;='Inputs'!J7,'Inputs'!J9&gt;='Inputs'!J8,'Inputs'!J9&lt;=1)</x:f>
        <x:v>1</x:v>
      </x:c>
      <x:c r="C7" s="43" t="b">
        <x:v>1</x:v>
      </x:c>
      <x:c r="D7" s="44" t="str">
        <x:f>IF(B7=C7,"PASS","FAIL")</x:f>
        <x:v>PASS</x:v>
      </x:c>
      <x:c r="E7" s="19" t="str">
        <x:v>Ordered-state probability interpretation</x:v>
      </x:c>
      <x:c r="F7" s="19" t="str">
        <x:v>Artifact semantic validator</x:v>
      </x:c>
    </x:row>
    <x:row r="8">
      <x:c r="A8" s="19" t="str">
        <x:v>SLC medians strictly increasing</x:v>
      </x:c>
      <x:c r="B8" s="27" t="b">
        <x:f>AND('Inputs'!I13&lt;'Inputs'!J13,'Inputs'!J13&lt;'Inputs'!K13,'Inputs'!I14&lt;'Inputs'!J14,'Inputs'!J14&lt;'Inputs'!K14,'Inputs'!I15&lt;'Inputs'!J15,'Inputs'!J15&lt;'Inputs'!K15)</x:f>
        <x:v>1</x:v>
      </x:c>
      <x:c r="C8" s="43" t="b">
        <x:v>1</x:v>
      </x:c>
      <x:c r="D8" s="44" t="str">
        <x:f>IF(B8=C8,"PASS","FAIL")</x:f>
        <x:v>PASS</x:v>
      </x:c>
      <x:c r="E8" s="19" t="str">
        <x:v>No negative exact-state probabilities</x:v>
      </x:c>
      <x:c r="F8" s="19" t="str">
        <x:v>Evaluator self-test</x:v>
      </x:c>
    </x:row>
    <x:row r="9">
      <x:c r="A9" s="19" t="str">
        <x:v>Tornado medians strictly increasing</x:v>
      </x:c>
      <x:c r="B9" s="27" t="b">
        <x:f>AND('Inputs'!I17&lt;'Inputs'!J17,'Inputs'!J17&lt;'Inputs'!K17,'Inputs'!I18&lt;'Inputs'!J18,'Inputs'!J18&lt;'Inputs'!K18,'Inputs'!I19&lt;'Inputs'!J19,'Inputs'!J19&lt;'Inputs'!K19)</x:f>
        <x:v>1</x:v>
      </x:c>
      <x:c r="C9" s="43" t="b">
        <x:v>1</x:v>
      </x:c>
      <x:c r="D9" s="44" t="str">
        <x:f>IF(B9=C9,"PASS","FAIL")</x:f>
        <x:v>PASS</x:v>
      </x:c>
      <x:c r="E9" s="19" t="str">
        <x:v>No negative exact-state probabilities</x:v>
      </x:c>
      <x:c r="F9" s="19" t="str">
        <x:v>Evaluator self-test</x:v>
      </x:c>
    </x:row>
    <x:row r="10">
      <x:c r="A10" s="19" t="str">
        <x:v>SLC central curve monotone</x:v>
      </x:c>
      <x:c r="B10" s="27" t="b">
        <x:f>AND('SLC_Curve'!D6&gt;='SLC_Curve'!D5,'SLC_Curve'!D7&gt;='SLC_Curve'!D6,'SLC_Curve'!D8&gt;='SLC_Curve'!D7,'SLC_Curve'!D9&gt;='SLC_Curve'!D8,'SLC_Curve'!D10&gt;='SLC_Curve'!D9,'SLC_Curve'!D11&gt;='SLC_Curve'!D10,'SLC_Curve'!D12&gt;='SLC_Curve'!D11,'SLC_Curve'!D13&gt;='SLC_Curve'!D12,'SLC_Curve'!D14&gt;='SLC_Curve'!D13,'SLC_Curve'!D15&gt;='SLC_Curve'!D14,'SLC_Curve'!D16&gt;='SLC_Curve'!D15)</x:f>
        <x:v>1</x:v>
      </x:c>
      <x:c r="C10" s="43" t="b">
        <x:v>1</x:v>
      </x:c>
      <x:c r="D10" s="44" t="str">
        <x:f>IF(B10=C10,"PASS","FAIL")</x:f>
        <x:v>PASS</x:v>
      </x:c>
      <x:c r="E10" s="19" t="str">
        <x:v>Fixed-input DR cannot decrease with demand</x:v>
      </x:c>
      <x:c r="F10" s="19" t="str">
        <x:v>Dense-grid validator</x:v>
      </x:c>
    </x:row>
    <x:row r="11">
      <x:c r="A11" s="19" t="str">
        <x:v>Tornado central curve monotone</x:v>
      </x:c>
      <x:c r="B11" s="27" t="b">
        <x:f>AND('Tornado_Curve'!D6&gt;='Tornado_Curve'!D5,'Tornado_Curve'!D7&gt;='Tornado_Curve'!D6,'Tornado_Curve'!D8&gt;='Tornado_Curve'!D7,'Tornado_Curve'!D9&gt;='Tornado_Curve'!D8,'Tornado_Curve'!D10&gt;='Tornado_Curve'!D9,'Tornado_Curve'!D11&gt;='Tornado_Curve'!D10,'Tornado_Curve'!D12&gt;='Tornado_Curve'!D11,'Tornado_Curve'!D13&gt;='Tornado_Curve'!D12,'Tornado_Curve'!D14&gt;='Tornado_Curve'!D13,'Tornado_Curve'!D15&gt;='Tornado_Curve'!D14,'Tornado_Curve'!D16&gt;='Tornado_Curve'!D15,'Tornado_Curve'!D17&gt;='Tornado_Curve'!D16,'Tornado_Curve'!D18&gt;='Tornado_Curve'!D17,'Tornado_Curve'!D19&gt;='Tornado_Curve'!D18,'Tornado_Curve'!D20&gt;='Tornado_Curve'!D19,'Tornado_Curve'!D21&gt;='Tornado_Curve'!D20,'Tornado_Curve'!D22&gt;='Tornado_Curve'!D21)</x:f>
        <x:v>1</x:v>
      </x:c>
      <x:c r="C11" s="43" t="b">
        <x:v>1</x:v>
      </x:c>
      <x:c r="D11" s="44" t="str">
        <x:f>IF(B11=C11,"PASS","FAIL")</x:f>
        <x:v>PASS</x:v>
      </x:c>
      <x:c r="E11" s="19" t="str">
        <x:v>Fixed-input DR cannot decrease with demand</x:v>
      </x:c>
      <x:c r="F11" s="19" t="str">
        <x:v>Dense-grid validator</x:v>
      </x:c>
    </x:row>
    <x:row r="12">
      <x:c r="A12" s="19" t="str">
        <x:v>SLC state probabilities sum to one</x:v>
      </x:c>
      <x:c r="B12" s="27" t="n">
        <x:f>MAX(ABS(SUM('SLC_Curve'!F5:I5)-1),ABS(SUM('SLC_Curve'!F8:I8)-1),ABS(SUM('SLC_Curve'!F12:I12)-1),ABS(SUM('SLC_Curve'!F16:I16)-1))</x:f>
        <x:v>0</x:v>
      </x:c>
      <x:c r="C12" s="27" t="n">
        <x:v>0</x:v>
      </x:c>
      <x:c r="D12" s="44" t="str">
        <x:f>IF(ABS(B12-C12)&lt;0.000000001,"PASS","FAIL")</x:f>
        <x:v>PASS</x:v>
      </x:c>
      <x:c r="E12" s="19" t="str">
        <x:v>Exact states must be exhaustive</x:v>
      </x:c>
      <x:c r="F12" s="19" t="str">
        <x:v>KAT state-vector checks</x:v>
      </x:c>
    </x:row>
    <x:row r="13">
      <x:c r="A13" s="19" t="str">
        <x:v>Tornado state probabilities sum to one</x:v>
      </x:c>
      <x:c r="B13" s="27" t="n">
        <x:f>MAX(ABS(SUM('Tornado_Curve'!F5:I5)-1),ABS(SUM('Tornado_Curve'!F10:I10)-1),ABS(SUM('Tornado_Curve'!F16:I16)-1),ABS(SUM('Tornado_Curve'!F22:I22)-1))</x:f>
        <x:v>0</x:v>
      </x:c>
      <x:c r="C13" s="27" t="n">
        <x:v>0</x:v>
      </x:c>
      <x:c r="D13" s="44" t="str">
        <x:f>IF(ABS(B13-C13)&lt;0.000000001,"PASS","FAIL")</x:f>
        <x:v>PASS</x:v>
      </x:c>
      <x:c r="E13" s="19" t="str">
        <x:v>Exact states must be exhaustive</x:v>
      </x:c>
      <x:c r="F13" s="19" t="str">
        <x:v>KAT state-vector checks</x:v>
      </x:c>
    </x:row>
    <x:row r="14">
      <x:c r="A14" s="19" t="str">
        <x:v>SLC resistance scenario ordering</x:v>
      </x:c>
      <x:c r="B14" s="27" t="b">
        <x:f>AND('SLC_Curve'!C10&gt;='SLC_Curve'!D10,'SLC_Curve'!D10&gt;='SLC_Curve'!E10,'SLC_Curve'!C16&gt;='SLC_Curve'!D16,'SLC_Curve'!D16&gt;='SLC_Curve'!E16)</x:f>
        <x:v>1</x:v>
      </x:c>
      <x:c r="C14" s="43" t="b">
        <x:v>1</x:v>
      </x:c>
      <x:c r="D14" s="44" t="str">
        <x:f>IF(B14=C14,"PASS","FAIL")</x:f>
        <x:v>PASS</x:v>
      </x:c>
      <x:c r="E14" s="19" t="str">
        <x:v>Lower resistance must mean higher damage</x:v>
      </x:c>
      <x:c r="F14" s="19" t="str">
        <x:v>Dense-grid validator</x:v>
      </x:c>
    </x:row>
    <x:row r="15">
      <x:c r="A15" s="19" t="str">
        <x:v>Tornado resistance scenario ordering</x:v>
      </x:c>
      <x:c r="B15" s="27" t="b">
        <x:f>AND('Tornado_Curve'!C12&gt;='Tornado_Curve'!D12,'Tornado_Curve'!D12&gt;='Tornado_Curve'!E12,'Tornado_Curve'!C18&gt;='Tornado_Curve'!D18,'Tornado_Curve'!D18&gt;='Tornado_Curve'!E18)</x:f>
        <x:v>1</x:v>
      </x:c>
      <x:c r="C15" s="43" t="b">
        <x:v>1</x:v>
      </x:c>
      <x:c r="D15" s="44" t="str">
        <x:f>IF(B15=C15,"PASS","FAIL")</x:f>
        <x:v>PASS</x:v>
      </x:c>
      <x:c r="E15" s="19" t="str">
        <x:v>Lower resistance must mean higher damage</x:v>
      </x:c>
      <x:c r="F15" s="19" t="str">
        <x:v>Dense-grid validator</x:v>
      </x:c>
    </x:row>
    <x:row r="16">
      <x:c r="A16" s="19" t="str">
        <x:v>Current v1 structural share reproduced</x:v>
      </x:c>
      <x:c r="B16" s="27" t="n">
        <x:f>SUM('Inputs'!B35:B38)</x:f>
        <x:v>0.7489999999999999</x:v>
      </x:c>
      <x:c r="C16" s="27" t="n">
        <x:v>0.749</x:v>
      </x:c>
      <x:c r="D16" s="44" t="str">
        <x:f>IF(ABS(B16-C16)&lt;0.000000001,"PASS","FAIL")</x:f>
        <x:v>PASS</x:v>
      </x:c>
      <x:c r="E16" s="19" t="str">
        <x:v>Legacy reproduction must use original denominator</x:v>
      </x:c>
      <x:c r="F16" s="19" t="str">
        <x:v>Old-vs-new script</x:v>
      </x:c>
    </x:row>
    <x:row r="17">
      <x:c r="A17" s="19" t="str">
        <x:v>Legacy Hazard full weights reproduced</x:v>
      </x:c>
      <x:c r="B17" s="27" t="n">
        <x:f>SUM('Inputs'!C47:C53)</x:f>
        <x:v>1</x:v>
      </x:c>
      <x:c r="C17" s="27" t="n">
        <x:v>1</x:v>
      </x:c>
      <x:c r="D17" s="44" t="str">
        <x:f>IF(ABS(B17-C17)&lt;0.000000001,"PASS","FAIL")</x:f>
        <x:v>PASS</x:v>
      </x:c>
      <x:c r="E17" s="19" t="str">
        <x:v>Consumer drift audit</x:v>
      </x:c>
      <x:c r="F17" s="19" t="str">
        <x:v>Hazard source inspection</x:v>
      </x:c>
    </x:row>
    <x:row r="18">
      <x:c r="A18" s="19" t="str">
        <x:v>Proposal remains noncanonical</x:v>
      </x:c>
      <x:c r="B18" s="43" t="b">
        <x:v>0</x:v>
      </x:c>
      <x:c r="C18" s="43" t="b">
        <x:v>0</x:v>
      </x:c>
      <x:c r="D18" s="44" t="str">
        <x:f>IF(B18=C18,"PASS","FAIL")</x:f>
        <x:v>PASS</x:v>
      </x:c>
      <x:c r="E18" s="19" t="str">
        <x:v>Research package must not silently promote</x:v>
      </x:c>
      <x:c r="F18" s="19" t="str">
        <x:v>Artifact/index regression check</x:v>
      </x:c>
    </x:row>
    <x:row r="19">
      <x:c r="A19" s="19" t="str">
        <x:v>Portable package remains unreleased for v2</x:v>
      </x:c>
      <x:c r="B19" s="43" t="b">
        <x:v>1</x:v>
      </x:c>
      <x:c r="C19" s="43" t="b">
        <x:v>1</x:v>
      </x:c>
      <x:c r="D19" s="44" t="str">
        <x:f>IF(B19=C19,"PASS","FAIL")</x:f>
        <x:v>PASS</x:v>
      </x:c>
      <x:c r="E19" s="19" t="str">
        <x:v>Package axis is separate from model version</x:v>
      </x:c>
      <x:c r="F19" s="19" t="str">
        <x:v>Artifact semantic validator</x:v>
      </x:c>
    </x:row>
  </x:sheetData>
  <x:mergeCells>
    <x:mergeCell ref="A1:H1"/>
    <x:mergeCell ref="A2:H2"/>
  </x:mergeCells>
  <x:pageMargins left="0.7" right="0.7" top="0.75" bottom="0.75" header="0.3" footer="0.3"/>
</x:worksheet>
</file>