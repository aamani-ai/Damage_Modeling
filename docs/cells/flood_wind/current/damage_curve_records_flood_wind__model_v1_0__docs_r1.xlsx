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Scope_Coverage" sheetId="2" state="visible" r:id="rId2"/>
    <sheet name="Hazus_Source" sheetId="3" state="visible" r:id="rId3"/>
    <sheet name="Curve" sheetId="4" state="visible" r:id="rId4"/>
    <sheet name="Axis_Bridge" sheetId="5" state="visible" r:id="rId5"/>
    <sheet name="Failure_Units" sheetId="6" state="visible" r:id="rId6"/>
    <sheet name="Value_Crosswalk" sheetId="7" state="visible" r:id="rId7"/>
    <sheet name="Old_vs_New" sheetId="8" state="visible" r:id="rId8"/>
    <sheet name="KATs" sheetId="9" state="visible" r:id="rId9"/>
    <sheet name="Source_Register" sheetId="10" state="visible" r:id="rId10"/>
    <sheet name="Claim_Register" sheetId="11" state="visible" r:id="rId11"/>
    <sheet name="Parameter_Tiers" sheetId="12" state="visible" r:id="rId12"/>
    <sheet name="QA" sheetId="13" state="visible" r:id="rId13"/>
  </sheets>
  <definedNames/>
</workbook>
</file>

<file path=xl/styles.xml><?xml version="1.0" encoding="utf-8"?>
<styleSheet xmlns="http://schemas.openxmlformats.org/spreadsheetml/2006/main">
  <numFmts count="1">
    <numFmt numFmtId="164" formatCode="0.000000"/>
  </numFmts>
  <fonts count="7">
    <font>
      <name val="Carlito"/>
      <sz val="11"/>
    </font>
    <font>
      <name val="Carlito"/>
      <b val="1"/>
      <color rgb="FFFFFFFF"/>
      <sz val="16"/>
    </font>
    <font>
      <name val="Carlito"/>
      <i val="1"/>
      <color rgb="FF556579"/>
      <sz val="10"/>
    </font>
    <font>
      <name val="Carlito"/>
      <b val="1"/>
      <color rgb="FFFFFFFF"/>
      <sz val="11"/>
    </font>
    <font>
      <name val="Carlito"/>
      <color rgb="FF26364A"/>
      <sz val="10"/>
    </font>
    <font>
      <name val="Carlito"/>
      <b val="1"/>
      <color rgb="FF26364A"/>
      <sz val="11"/>
    </font>
    <font>
      <name val="Carlito"/>
      <b val="1"/>
      <color rgb="FF198754"/>
      <sz val="10"/>
    </font>
  </fonts>
  <fills count="7">
    <fill>
      <patternFill/>
    </fill>
    <fill>
      <patternFill patternType="gray125"/>
    </fill>
    <fill>
      <patternFill patternType="solid">
        <fgColor rgb="FF17243B"/>
      </patternFill>
    </fill>
    <fill>
      <patternFill patternType="solid">
        <fgColor rgb="FFDCE8F7"/>
      </patternFill>
    </fill>
    <fill>
      <patternFill patternType="solid">
        <fgColor rgb="FF0F766E"/>
      </patternFill>
    </fill>
    <fill>
      <patternFill patternType="solid">
        <fgColor rgb="FFFCE8C5"/>
      </patternFill>
    </fill>
    <fill>
      <patternFill patternType="solid">
        <fgColor rgb="FFDCF3E5"/>
      </patternFill>
    </fill>
  </fills>
  <borders count="16">
    <border/>
    <border>
      <left style="thin">
        <color rgb="FFCFD8E3"/>
      </left>
      <top style="thin">
        <color rgb="FFCFD8E3"/>
      </top>
      <bottom style="thin">
        <color rgb="FFCFD8E3"/>
      </bottom>
    </border>
    <border>
      <top style="thin">
        <color rgb="FFCFD8E3"/>
      </top>
      <bottom style="thin">
        <color rgb="FFCFD8E3"/>
      </bottom>
    </border>
    <border>
      <right style="thin">
        <color rgb="FFCFD8E3"/>
      </right>
      <top style="thin">
        <color rgb="FFCFD8E3"/>
      </top>
      <bottom style="thin">
        <color rgb="FFCFD8E3"/>
      </bottom>
    </border>
    <border>
      <bottom style="thin">
        <color rgb="FFCFD8E3"/>
      </bottom>
    </border>
    <border>
      <top style="thin">
        <color rgb="FFCFD8E3"/>
      </top>
    </border>
    <border>
      <left style="thin">
        <color rgb="FFD19A2B"/>
      </left>
      <top style="thin">
        <color rgb="FFD19A2B"/>
      </top>
    </border>
    <border>
      <top style="thin">
        <color rgb="FFD19A2B"/>
      </top>
    </border>
    <border>
      <right style="thin">
        <color rgb="FFD19A2B"/>
      </right>
      <top style="thin">
        <color rgb="FFD19A2B"/>
      </top>
    </border>
    <border>
      <left style="thin">
        <color rgb="FFD19A2B"/>
      </left>
    </border>
    <border>
      <right style="thin">
        <color rgb="FFD19A2B"/>
      </right>
    </border>
    <border>
      <left style="thin">
        <color rgb="FFD19A2B"/>
      </left>
      <bottom style="thin">
        <color rgb="FFD19A2B"/>
      </bottom>
    </border>
    <border>
      <bottom style="thin">
        <color rgb="FFD19A2B"/>
      </bottom>
    </border>
    <border>
      <right style="thin">
        <color rgb="FFD19A2B"/>
      </right>
      <bottom style="thin">
        <color rgb="FFD19A2B"/>
      </bottom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</border>
    <border>
      <left style="thin">
        <color rgb="FFD19A2B"/>
      </left>
      <right style="thin">
        <color rgb="FFD19A2B"/>
      </right>
      <top style="thin">
        <color rgb="FFD19A2B"/>
      </top>
      <bottom style="thin">
        <color rgb="FFD19A2B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4" borderId="3" applyAlignment="1" pivotButton="0" quotePrefix="0" xfId="0">
      <alignment vertical="center" wrapText="1"/>
    </xf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4" fillId="0" borderId="4" pivotButton="0" quotePrefix="0" xfId="0"/>
    <xf numFmtId="0" fontId="4" fillId="0" borderId="2" pivotButton="0" quotePrefix="0" xfId="0"/>
    <xf numFmtId="0" fontId="4" fillId="0" borderId="2" pivotButton="0" quotePrefix="0" xfId="0"/>
    <xf numFmtId="0" fontId="4" fillId="0" borderId="5" pivotButton="0" quotePrefix="0" xfId="0"/>
    <xf numFmtId="0" fontId="4" fillId="0" borderId="4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4" fillId="0" borderId="4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4" fillId="0" borderId="5" applyAlignment="1" pivotButton="0" quotePrefix="0" xfId="0">
      <alignment vertical="top" wrapText="1"/>
    </xf>
    <xf numFmtId="0" fontId="0" fillId="5" borderId="0" pivotButton="0" quotePrefix="0" xfId="0"/>
    <xf numFmtId="0" fontId="5" fillId="5" borderId="0" pivotButton="0" quotePrefix="0" xfId="0"/>
    <xf numFmtId="0" fontId="5" fillId="5" borderId="6" pivotButton="0" quotePrefix="0" xfId="0"/>
    <xf numFmtId="0" fontId="5" fillId="5" borderId="7" pivotButton="0" quotePrefix="0" xfId="0"/>
    <xf numFmtId="0" fontId="5" fillId="5" borderId="8" pivotButton="0" quotePrefix="0" xfId="0"/>
    <xf numFmtId="0" fontId="5" fillId="5" borderId="9" pivotButton="0" quotePrefix="0" xfId="0"/>
    <xf numFmtId="0" fontId="5" fillId="5" borderId="10" pivotButton="0" quotePrefix="0" xfId="0"/>
    <xf numFmtId="0" fontId="5" fillId="5" borderId="11" pivotButton="0" quotePrefix="0" xfId="0"/>
    <xf numFmtId="0" fontId="5" fillId="5" borderId="12" pivotButton="0" quotePrefix="0" xfId="0"/>
    <xf numFmtId="0" fontId="5" fillId="5" borderId="13" pivotButton="0" quotePrefix="0" xfId="0"/>
    <xf numFmtId="0" fontId="5" fillId="5" borderId="6" applyAlignment="1" pivotButton="0" quotePrefix="0" xfId="0">
      <alignment wrapText="1"/>
    </xf>
    <xf numFmtId="0" fontId="5" fillId="5" borderId="7" applyAlignment="1" pivotButton="0" quotePrefix="0" xfId="0">
      <alignment wrapText="1"/>
    </xf>
    <xf numFmtId="0" fontId="5" fillId="5" borderId="8" applyAlignment="1" pivotButton="0" quotePrefix="0" xfId="0">
      <alignment wrapText="1"/>
    </xf>
    <xf numFmtId="0" fontId="5" fillId="5" borderId="9" applyAlignment="1" pivotButton="0" quotePrefix="0" xfId="0">
      <alignment wrapText="1"/>
    </xf>
    <xf numFmtId="0" fontId="5" fillId="5" borderId="0" applyAlignment="1" pivotButton="0" quotePrefix="0" xfId="0">
      <alignment wrapText="1"/>
    </xf>
    <xf numFmtId="0" fontId="5" fillId="5" borderId="10" applyAlignment="1" pivotButton="0" quotePrefix="0" xfId="0">
      <alignment wrapText="1"/>
    </xf>
    <xf numFmtId="0" fontId="5" fillId="5" borderId="11" applyAlignment="1" pivotButton="0" quotePrefix="0" xfId="0">
      <alignment wrapText="1"/>
    </xf>
    <xf numFmtId="0" fontId="5" fillId="5" borderId="12" applyAlignment="1" pivotButton="0" quotePrefix="0" xfId="0">
      <alignment wrapText="1"/>
    </xf>
    <xf numFmtId="0" fontId="5" fillId="5" borderId="13" applyAlignment="1" pivotButton="0" quotePrefix="0" xfId="0">
      <alignment wrapText="1"/>
    </xf>
    <xf numFmtId="164" fontId="4" fillId="0" borderId="4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0" borderId="5" applyAlignment="1" pivotButton="0" quotePrefix="0" xfId="0">
      <alignment vertical="top" wrapText="1"/>
    </xf>
    <xf numFmtId="0" fontId="3" fillId="4" borderId="14" pivotButton="0" quotePrefix="0" xfId="0"/>
    <xf numFmtId="0" fontId="3" fillId="4" borderId="14" applyAlignment="1" pivotButton="0" quotePrefix="0" xfId="0">
      <alignment wrapText="1"/>
    </xf>
    <xf numFmtId="0" fontId="3" fillId="4" borderId="14" applyAlignment="1" pivotButton="0" quotePrefix="0" xfId="0">
      <alignment vertical="center" wrapText="1"/>
    </xf>
    <xf numFmtId="0" fontId="4" fillId="6" borderId="4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6" borderId="5" applyAlignment="1" pivotButton="0" quotePrefix="0" xfId="0">
      <alignment vertical="top" wrapText="1"/>
    </xf>
    <xf numFmtId="0" fontId="6" fillId="6" borderId="4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6" fillId="6" borderId="5" applyAlignment="1" pivotButton="0" quotePrefix="0" xfId="0">
      <alignment vertical="top" wrapText="1"/>
    </xf>
    <xf numFmtId="0" fontId="5" fillId="5" borderId="15" applyAlignment="1" pivotButton="0" quotePrefix="0" xfId="0">
      <alignment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4" fillId="0" borderId="4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0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8" customWidth="1" style="16" min="1" max="1"/>
    <col width="48" customWidth="1" style="16" min="2" max="2"/>
    <col width="66" customWidth="1" style="16" min="3" max="3"/>
    <col width="10" customWidth="1" style="16" min="4" max="4"/>
    <col width="28" customWidth="1" style="16" min="5" max="5"/>
    <col width="62" customWidth="1" style="16" min="6" max="6"/>
  </cols>
  <sheetData>
    <row r="1" ht="26" customHeight="1" s="16">
      <c r="A1" s="2" t="inlineStr">
        <is>
          <t>Flood × onshore wind — model-v1 review workbook</t>
        </is>
      </c>
    </row>
    <row r="2" ht="22" customHeight="1" s="16">
      <c r="A2" s="4" t="inlineStr">
        <is>
          <t>Canonical partial-screening release • one source-native whole-substation atom • registry activation remains deliberate</t>
        </is>
      </c>
    </row>
    <row r="3"/>
    <row r="4">
      <c r="A4" s="13" t="inlineStr">
        <is>
          <t>Identity</t>
        </is>
      </c>
      <c r="B4" s="14" t="inlineStr">
        <is>
          <t>Value</t>
        </is>
      </c>
      <c r="C4" s="15" t="inlineStr">
        <is>
          <t>Invariant</t>
        </is>
      </c>
      <c r="D4" t="inlineStr">
        <is>
          <t>Order</t>
        </is>
      </c>
      <c r="E4" t="inlineStr">
        <is>
          <t>Sheet</t>
        </is>
      </c>
      <c r="F4" t="inlineStr">
        <is>
          <t>Purpose</t>
        </is>
      </c>
    </row>
    <row r="5">
      <c r="A5" s="27" t="inlineStr">
        <is>
          <t>Cell ID</t>
        </is>
      </c>
      <c r="B5" s="27" t="inlineStr">
        <is>
          <t>flood_wind</t>
        </is>
      </c>
      <c r="C5" s="27" t="inlineStr">
        <is>
          <t>hazard × asset project-management cell</t>
        </is>
      </c>
      <c r="D5" t="n">
        <v>1</v>
      </c>
      <c r="E5" t="inlineStr">
        <is>
          <t>README</t>
        </is>
      </c>
      <c r="F5" t="inlineStr">
        <is>
          <t>Identity, status, and map</t>
        </is>
      </c>
    </row>
    <row r="6">
      <c r="A6" s="29" t="inlineStr">
        <is>
          <t>Damage code</t>
        </is>
      </c>
      <c r="B6" s="29" t="inlineStr">
        <is>
          <t>FLOOD_WIND_FEMA_HAZUS_SUBSTATION_SCREENING_V1</t>
        </is>
      </c>
      <c r="C6" s="29" t="inlineStr">
        <is>
          <t>review implementation only</t>
        </is>
      </c>
      <c r="D6" t="n">
        <v>2</v>
      </c>
      <c r="E6" t="inlineStr">
        <is>
          <t>Scope_Coverage</t>
        </is>
      </c>
      <c r="F6" t="inlineStr">
        <is>
          <t>Boundary and coverage</t>
        </is>
      </c>
    </row>
    <row r="7">
      <c r="A7" s="29" t="inlineStr">
        <is>
          <t>Semantic model</t>
        </is>
      </c>
      <c r="B7" s="29" t="inlineStr">
        <is>
          <t>model v1.0</t>
        </is>
      </c>
      <c r="C7" s="29" t="inlineStr">
        <is>
          <t>first partial numerical proposal</t>
        </is>
      </c>
      <c r="D7" t="n">
        <v>3</v>
      </c>
      <c r="E7" t="inlineStr">
        <is>
          <t>Hazus_Source</t>
        </is>
      </c>
      <c r="F7" t="inlineStr">
        <is>
          <t>Exact FEMA table transcription</t>
        </is>
      </c>
    </row>
    <row r="8">
      <c r="A8" s="29" t="inlineStr">
        <is>
          <t>Documentation</t>
        </is>
      </c>
      <c r="B8" s="29" t="inlineStr">
        <is>
          <t>docs r1</t>
        </is>
      </c>
      <c r="C8" s="29" t="inlineStr">
        <is>
          <t>governed proof trail</t>
        </is>
      </c>
      <c r="D8" t="n">
        <v>4</v>
      </c>
      <c r="E8" t="inlineStr">
        <is>
          <t>Curve</t>
        </is>
      </c>
      <c r="F8" t="inlineStr">
        <is>
          <t>Curve and interpolation examples</t>
        </is>
      </c>
    </row>
    <row r="9">
      <c r="A9" s="29" t="inlineStr">
        <is>
          <t>Model grade</t>
        </is>
      </c>
      <c r="B9" s="29" t="inlineStr">
        <is>
          <t>screening_source_native_legacy_fema_proxy</t>
        </is>
      </c>
      <c r="C9" s="29" t="inlineStr">
        <is>
          <t>legacy FEMA screening sensitivity</t>
        </is>
      </c>
      <c r="D9" t="n">
        <v>5</v>
      </c>
      <c r="E9" t="inlineStr">
        <is>
          <t>Axis_Bridge</t>
        </is>
      </c>
      <c r="F9" t="inlineStr">
        <is>
          <t>Datum-safe WSE bridge</t>
        </is>
      </c>
    </row>
    <row r="10">
      <c r="A10" s="29" t="inlineStr">
        <is>
          <t>Supported atom</t>
        </is>
      </c>
      <c r="B10" s="29" t="inlineStr">
        <is>
          <t>FW_HAZUS_GSU_SUBSTATION_ASSEMBLY</t>
        </is>
      </c>
      <c r="C10" s="29" t="inlineStr">
        <is>
          <t>whole substation, not a component curve</t>
        </is>
      </c>
      <c r="D10" t="n">
        <v>6</v>
      </c>
      <c r="E10" t="inlineStr">
        <is>
          <t>Failure_Units</t>
        </is>
      </c>
      <c r="F10" t="inlineStr">
        <is>
          <t>Failure-unit coverage and withholding</t>
        </is>
      </c>
    </row>
    <row r="11">
      <c r="A11" s="29" t="inlineStr">
        <is>
          <t>Runtime curve count</t>
        </is>
      </c>
      <c r="B11" s="29" t="n">
        <v>1</v>
      </c>
      <c r="C11" s="29" t="inlineStr">
        <is>
          <t>exactly one source-native piecewise-linear record</t>
        </is>
      </c>
      <c r="D11" t="n">
        <v>7</v>
      </c>
      <c r="E11" t="inlineStr">
        <is>
          <t>Value_Crosswalk</t>
        </is>
      </c>
      <c r="F11" t="inlineStr">
        <is>
          <t>Value/denominator crosswalk</t>
        </is>
      </c>
    </row>
    <row r="12">
      <c r="A12" s="29" t="inlineStr">
        <is>
          <t>Canonical runtime artifact</t>
        </is>
      </c>
      <c r="B12" s="29" t="b">
        <v>0</v>
      </c>
      <c r="C12" s="29" t="inlineStr">
        <is>
          <t>must remain false</t>
        </is>
      </c>
      <c r="D12" t="n">
        <v>8</v>
      </c>
      <c r="E12" t="inlineStr">
        <is>
          <t>Old_vs_New</t>
        </is>
      </c>
      <c r="F12" t="inlineStr">
        <is>
          <t>v0.1 versus v1.0</t>
        </is>
      </c>
    </row>
    <row r="13">
      <c r="A13" s="29" t="inlineStr">
        <is>
          <t>Package inclusion</t>
        </is>
      </c>
      <c r="B13" s="29" t="inlineStr">
        <is>
          <t>not_included</t>
        </is>
      </c>
      <c r="C13" s="29" t="inlineStr">
        <is>
          <t>no package or consumer pin</t>
        </is>
      </c>
      <c r="D13" t="n">
        <v>9</v>
      </c>
      <c r="E13" t="inlineStr">
        <is>
          <t>KATs</t>
        </is>
      </c>
      <c r="F13" t="inlineStr">
        <is>
          <t>Executable test inventory</t>
        </is>
      </c>
    </row>
    <row r="14">
      <c r="A14" s="29" t="inlineStr">
        <is>
          <t>Scenario loss</t>
        </is>
      </c>
      <c r="B14" s="29" t="inlineStr">
        <is>
          <t>conditional</t>
        </is>
      </c>
      <c r="C14" s="29" t="inlineStr">
        <is>
          <t>same-substation value only after release</t>
        </is>
      </c>
      <c r="D14" t="n">
        <v>10</v>
      </c>
      <c r="E14" t="inlineStr">
        <is>
          <t>Source_Register</t>
        </is>
      </c>
      <c r="F14" t="inlineStr">
        <is>
          <t>Sources and transfer limits</t>
        </is>
      </c>
    </row>
    <row r="15">
      <c r="A15" s="30" t="inlineStr">
        <is>
          <t>Annual/tail metrics</t>
        </is>
      </c>
      <c r="B15" s="30" t="inlineStr">
        <is>
          <t>withheld</t>
        </is>
      </c>
      <c r="C15" s="30" t="inlineStr">
        <is>
          <t>owned by downstream consumer; prerequisites unmet</t>
        </is>
      </c>
      <c r="D15" t="n">
        <v>11</v>
      </c>
      <c r="E15" t="inlineStr">
        <is>
          <t>Claim_Register</t>
        </is>
      </c>
      <c r="F15" t="inlineStr">
        <is>
          <t>Governed claims</t>
        </is>
      </c>
    </row>
    <row r="16">
      <c r="D16" t="n">
        <v>12</v>
      </c>
      <c r="E16" t="inlineStr">
        <is>
          <t>Parameter_Tiers</t>
        </is>
      </c>
      <c r="F16" t="inlineStr">
        <is>
          <t>Parameter evidence tiers</t>
        </is>
      </c>
    </row>
    <row r="17">
      <c r="D17" t="n">
        <v>13</v>
      </c>
      <c r="E17" t="inlineStr">
        <is>
          <t>QA</t>
        </is>
      </c>
      <c r="F17" t="inlineStr">
        <is>
          <t>Formula-driven workbook QA</t>
        </is>
      </c>
    </row>
    <row r="18" ht="32" customHeight="1" s="16">
      <c r="A18" s="62" t="inlineStr">
        <is>
          <t>Decision guardrail: Hazus-MH 2.1 Table 7.9 is retained only as an explicit whole-substation screening sensitivity. Current Hazus 7.0 marks electric-power facilities mapping-only and disables those loss functions. No GSU component, turbine, collection, civil, foundation, scenario-loss, annual, or tail result is enabled by this workbook.</t>
        </is>
      </c>
      <c r="B18" s="63" t="n"/>
      <c r="C18" s="63" t="n"/>
      <c r="D18" s="63" t="n"/>
      <c r="E18" s="63" t="n"/>
      <c r="F18" s="63" t="n"/>
      <c r="G18" s="63" t="n"/>
      <c r="H18" s="64" t="n"/>
    </row>
    <row r="19" ht="32" customHeight="1" s="16">
      <c r="A19" s="65" t="n"/>
      <c r="H19" s="66" t="n"/>
    </row>
    <row r="20" ht="32" customHeight="1" s="16">
      <c r="A20" s="67" t="n"/>
      <c r="B20" s="68" t="n"/>
      <c r="C20" s="68" t="n"/>
      <c r="D20" s="68" t="n"/>
      <c r="E20" s="68" t="n"/>
      <c r="F20" s="68" t="n"/>
      <c r="G20" s="68" t="n"/>
      <c r="H20" s="69" t="n"/>
    </row>
  </sheetData>
  <mergeCells count="3">
    <mergeCell ref="A1:H1"/>
    <mergeCell ref="A2:H2"/>
    <mergeCell ref="A18:H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8" customWidth="1" style="16" min="1" max="1"/>
    <col width="36" customWidth="1" style="16" min="2" max="2"/>
    <col width="24" customWidth="1" style="16" min="3" max="3"/>
    <col width="58" customWidth="1" style="16" min="4" max="4"/>
    <col width="50" customWidth="1" style="16" min="5" max="5"/>
    <col width="34" customWidth="1" style="16" min="6" max="6"/>
    <col width="36" customWidth="1" style="16" min="7" max="7"/>
  </cols>
  <sheetData>
    <row r="1" ht="26" customHeight="1" s="16">
      <c r="A1" s="2" t="inlineStr">
        <is>
          <t>Scope and coverage</t>
        </is>
      </c>
    </row>
    <row r="2" ht="22" customHeight="1" s="16">
      <c r="A2" s="4" t="inlineStr">
        <is>
          <t>What the v1 proposal does and does not cover</t>
        </is>
      </c>
    </row>
    <row r="3"/>
    <row r="4">
      <c r="A4" s="13" t="inlineStr">
        <is>
          <t>Layer</t>
        </is>
      </c>
      <c r="B4" s="14" t="inlineStr">
        <is>
          <t>Subject</t>
        </is>
      </c>
      <c r="C4" s="14" t="inlineStr">
        <is>
          <t>Status</t>
        </is>
      </c>
      <c r="D4" s="14" t="inlineStr">
        <is>
          <t>Reason / boundary</t>
        </is>
      </c>
      <c r="E4" s="14" t="inlineStr">
        <is>
          <t>Value basis</t>
        </is>
      </c>
      <c r="F4" s="14" t="inlineStr">
        <is>
          <t>Exposure grain</t>
        </is>
      </c>
      <c r="G4" s="15" t="inlineStr">
        <is>
          <t>Consumer treatment</t>
        </is>
      </c>
    </row>
    <row r="5">
      <c r="A5" s="27" t="inlineStr">
        <is>
          <t>Hazard</t>
        </is>
      </c>
      <c r="B5" s="27" t="inlineStr">
        <is>
          <t>Freshwater inundation contact</t>
        </is>
      </c>
      <c r="C5" s="27" t="inlineStr">
        <is>
          <t>conditional</t>
        </is>
      </c>
      <c r="D5" s="27" t="inlineStr">
        <is>
          <t>unprotected or internal post-bypass depth only</t>
        </is>
      </c>
      <c r="E5" s="27" t="inlineStr">
        <is>
          <t>n/a</t>
        </is>
      </c>
      <c r="F5" s="27" t="inlineStr">
        <is>
          <t>same substation</t>
        </is>
      </c>
      <c r="G5" s="27" t="inlineStr">
        <is>
          <t>pass exact pathway + conditions</t>
        </is>
      </c>
    </row>
    <row r="6">
      <c r="A6" s="29" t="inlineStr">
        <is>
          <t>Assembly</t>
        </is>
      </c>
      <c r="B6" s="29" t="inlineStr">
        <is>
          <t>Hazus whole substation</t>
        </is>
      </c>
      <c r="C6" s="29" t="inlineStr">
        <is>
          <t>conditional numeric</t>
        </is>
      </c>
      <c r="D6" s="29" t="inlineStr">
        <is>
          <t>legacy source-native atom; not component-calibrated</t>
        </is>
      </c>
      <c r="E6" s="29" t="inlineStr">
        <is>
          <t>full direct replacement value of same substation</t>
        </is>
      </c>
      <c r="F6" s="29" t="inlineStr">
        <is>
          <t>one physical GSU/substation</t>
        </is>
      </c>
      <c r="G6" s="29" t="inlineStr">
        <is>
          <t>DR only in proposal</t>
        </is>
      </c>
    </row>
    <row r="7">
      <c r="A7" s="29" t="inlineStr">
        <is>
          <t>Component</t>
        </is>
      </c>
      <c r="B7" s="29" t="inlineStr">
        <is>
          <t>GSU transformer / switchgear / controls / cables</t>
        </is>
      </c>
      <c r="C7" s="29" t="inlineStr">
        <is>
          <t>withheld not zero</t>
        </is>
      </c>
      <c r="D7" s="29" t="inlineStr">
        <is>
          <t>component repair-cost DR not supported</t>
        </is>
      </c>
      <c r="E7" s="29" t="inlineStr">
        <is>
          <t>same component value in future</t>
        </is>
      </c>
      <c r="F7" s="29" t="inlineStr">
        <is>
          <t>same component</t>
        </is>
      </c>
      <c r="G7" s="29" t="inlineStr">
        <is>
          <t>preserve null + reasons</t>
        </is>
      </c>
    </row>
    <row r="8">
      <c r="A8" s="29" t="inlineStr">
        <is>
          <t>Wind plant</t>
        </is>
      </c>
      <c r="B8" s="29" t="inlineStr">
        <is>
          <t>turbines / pad transformers / collection / civil / foundation</t>
        </is>
      </c>
      <c r="C8" s="29" t="inlineStr">
        <is>
          <t>withheld not zero</t>
        </is>
      </c>
      <c r="D8" s="29" t="inlineStr">
        <is>
          <t>outside the Hazus source atom</t>
        </is>
      </c>
      <c r="E8" s="29" t="inlineStr">
        <is>
          <t>same-unit split required</t>
        </is>
      </c>
      <c r="F8" s="29" t="inlineStr">
        <is>
          <t>unit / point / line</t>
        </is>
      </c>
      <c r="G8" s="29" t="inlineStr">
        <is>
          <t>preserve null + reasons</t>
        </is>
      </c>
    </row>
    <row r="9">
      <c r="A9" s="29" t="inlineStr">
        <is>
          <t>Protection</t>
        </is>
      </c>
      <c r="B9" s="29" t="inlineStr">
        <is>
          <t>barriers / elevation / sealing</t>
        </is>
      </c>
      <c r="C9" s="29" t="inlineStr">
        <is>
          <t>no multiplier</t>
        </is>
      </c>
      <c r="D9" s="29" t="inlineStr">
        <is>
          <t>handled once in delivered internal depth</t>
        </is>
      </c>
      <c r="E9" s="29" t="inlineStr">
        <is>
          <t>n/a</t>
        </is>
      </c>
      <c r="F9" s="29" t="inlineStr">
        <is>
          <t>site condition</t>
        </is>
      </c>
      <c r="G9" s="29" t="inlineStr">
        <is>
          <t>no silent credit</t>
        </is>
      </c>
    </row>
    <row r="10">
      <c r="A10" s="29" t="inlineStr">
        <is>
          <t>Water quality</t>
        </is>
      </c>
      <c r="B10" s="29" t="inlineStr">
        <is>
          <t>salt / brackish / contaminated / unknown</t>
        </is>
      </c>
      <c r="C10" s="29" t="inlineStr">
        <is>
          <t>withheld</t>
        </is>
      </c>
      <c r="D10" s="29" t="inlineStr">
        <is>
          <t>outside screening domain</t>
        </is>
      </c>
      <c r="E10" s="29" t="inlineStr">
        <is>
          <t>n/a</t>
        </is>
      </c>
      <c r="F10" s="29" t="inlineStr">
        <is>
          <t>event conditioner</t>
        </is>
      </c>
      <c r="G10" s="29" t="inlineStr">
        <is>
          <t>no freshwater fallback</t>
        </is>
      </c>
    </row>
    <row r="11">
      <c r="A11" s="29" t="inlineStr">
        <is>
          <t>Scenario loss</t>
        </is>
      </c>
      <c r="B11" s="29" t="inlineStr">
        <is>
          <t>DR × value × exposure</t>
        </is>
      </c>
      <c r="C11" s="29" t="inlineStr">
        <is>
          <t>conditional after release</t>
        </is>
      </c>
      <c r="D11" s="29" t="inlineStr">
        <is>
          <t>same-substation value, ownership and exposure required</t>
        </is>
      </c>
      <c r="E11" s="29" t="inlineStr">
        <is>
          <t>no full TIV or mixed 72 USD/kW</t>
        </is>
      </c>
      <c r="F11" s="29" t="inlineStr">
        <is>
          <t>one physical GSU</t>
        </is>
      </c>
      <c r="G11" s="29" t="inlineStr">
        <is>
          <t>not emitted here</t>
        </is>
      </c>
    </row>
    <row r="12">
      <c r="A12" s="30" t="inlineStr">
        <is>
          <t>Annual/tail</t>
        </is>
      </c>
      <c r="B12" s="30" t="inlineStr">
        <is>
          <t>EAL / PML / VaR / TVaR</t>
        </is>
      </c>
      <c r="C12" s="30" t="inlineStr">
        <is>
          <t>withheld</t>
        </is>
      </c>
      <c r="D12" s="30" t="inlineStr">
        <is>
          <t>frequency, aggregation, and full coverage absent</t>
        </is>
      </c>
      <c r="E12" s="30" t="inlineStr">
        <is>
          <t>consumer-owned</t>
        </is>
      </c>
      <c r="F12" s="30" t="inlineStr">
        <is>
          <t>portfolio</t>
        </is>
      </c>
      <c r="G12" s="30" t="inlineStr">
        <is>
          <t>no result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6" customWidth="1" style="16" min="1" max="1"/>
    <col width="20" customWidth="1" style="16" min="2" max="2"/>
    <col width="18" customWidth="1" style="16" min="3" max="3"/>
    <col width="18" customWidth="1" style="16" min="4" max="4"/>
    <col width="18" customWidth="1" style="16" min="5" max="5"/>
    <col width="16" customWidth="1" style="16" min="6" max="6"/>
    <col width="40" customWidth="1" style="16" min="7" max="7"/>
  </cols>
  <sheetData>
    <row r="1" ht="26" customHeight="1" s="16">
      <c r="A1" s="2" t="inlineStr">
        <is>
          <t>FEMA Hazus-MH 2.1 Table 7.9 transcription</t>
        </is>
      </c>
    </row>
    <row r="2" ht="22" customHeight="1" s="16">
      <c r="A2" s="4" t="inlineStr">
        <is>
          <t>Source-native whole-substation ordinates; current Hazus 7.0 disables electric-power loss results</t>
        </is>
      </c>
    </row>
    <row r="3"/>
    <row r="4">
      <c r="A4" s="13" t="inlineStr">
        <is>
          <t>Depth (ft)</t>
        </is>
      </c>
      <c r="B4" s="14" t="inlineStr">
        <is>
          <t>Source damage (%)</t>
        </is>
      </c>
      <c r="C4" s="14" t="inlineStr">
        <is>
          <t>Source DR</t>
        </is>
      </c>
      <c r="D4" s="14" t="inlineStr">
        <is>
          <t>Artifact DR</t>
        </is>
      </c>
      <c r="E4" s="14" t="inlineStr">
        <is>
          <t>Absolute delta</t>
        </is>
      </c>
      <c r="F4" s="14" t="inlineStr">
        <is>
          <t>Source ID</t>
        </is>
      </c>
      <c r="G4" s="15" t="inlineStr">
        <is>
          <t>Admission</t>
        </is>
      </c>
    </row>
    <row r="5">
      <c r="A5" s="27" t="n">
        <v>0</v>
      </c>
      <c r="B5" s="70" t="n">
        <v>0</v>
      </c>
      <c r="C5" s="70">
        <f>B5/100</f>
        <v/>
      </c>
      <c r="D5" s="70" t="n">
        <v>0</v>
      </c>
      <c r="E5" s="70">
        <f>ABS(C5-D5)</f>
        <v/>
      </c>
      <c r="F5" s="27" t="inlineStr">
        <is>
          <t>FW-S011</t>
        </is>
      </c>
      <c r="G5" s="27" t="inlineStr">
        <is>
          <t>canonical partial screening only</t>
        </is>
      </c>
    </row>
    <row r="6">
      <c r="A6" s="29" t="n">
        <v>1</v>
      </c>
      <c r="B6" s="71" t="n">
        <v>2</v>
      </c>
      <c r="C6" s="71">
        <f>B6/100</f>
        <v/>
      </c>
      <c r="D6" s="71" t="n">
        <v>0.02</v>
      </c>
      <c r="E6" s="71">
        <f>ABS(C6-D6)</f>
        <v/>
      </c>
      <c r="F6" s="29" t="inlineStr">
        <is>
          <t>FW-S011</t>
        </is>
      </c>
      <c r="G6" s="29" t="inlineStr">
        <is>
          <t>canonical partial screening only</t>
        </is>
      </c>
    </row>
    <row r="7">
      <c r="A7" s="29" t="n">
        <v>2</v>
      </c>
      <c r="B7" s="71" t="n">
        <v>4</v>
      </c>
      <c r="C7" s="71">
        <f>B7/100</f>
        <v/>
      </c>
      <c r="D7" s="71" t="n">
        <v>0.04</v>
      </c>
      <c r="E7" s="71">
        <f>ABS(C7-D7)</f>
        <v/>
      </c>
      <c r="F7" s="29" t="inlineStr">
        <is>
          <t>FW-S011</t>
        </is>
      </c>
      <c r="G7" s="29" t="inlineStr">
        <is>
          <t>canonical partial screening only</t>
        </is>
      </c>
    </row>
    <row r="8">
      <c r="A8" s="29" t="n">
        <v>3</v>
      </c>
      <c r="B8" s="71" t="n">
        <v>6</v>
      </c>
      <c r="C8" s="71">
        <f>B8/100</f>
        <v/>
      </c>
      <c r="D8" s="71" t="n">
        <v>0.06</v>
      </c>
      <c r="E8" s="71">
        <f>ABS(C8-D8)</f>
        <v/>
      </c>
      <c r="F8" s="29" t="inlineStr">
        <is>
          <t>FW-S011</t>
        </is>
      </c>
      <c r="G8" s="29" t="inlineStr">
        <is>
          <t>canonical partial screening only</t>
        </is>
      </c>
    </row>
    <row r="9">
      <c r="A9" s="29" t="n">
        <v>4</v>
      </c>
      <c r="B9" s="71" t="n">
        <v>7.000000000000001</v>
      </c>
      <c r="C9" s="71">
        <f>B9/100</f>
        <v/>
      </c>
      <c r="D9" s="71" t="n">
        <v>0.07000000000000001</v>
      </c>
      <c r="E9" s="71">
        <f>ABS(C9-D9)</f>
        <v/>
      </c>
      <c r="F9" s="29" t="inlineStr">
        <is>
          <t>FW-S011</t>
        </is>
      </c>
      <c r="G9" s="29" t="inlineStr">
        <is>
          <t>canonical partial screening only</t>
        </is>
      </c>
    </row>
    <row r="10">
      <c r="A10" s="29" t="n">
        <v>5</v>
      </c>
      <c r="B10" s="71" t="n">
        <v>8</v>
      </c>
      <c r="C10" s="71">
        <f>B10/100</f>
        <v/>
      </c>
      <c r="D10" s="71" t="n">
        <v>0.08</v>
      </c>
      <c r="E10" s="71">
        <f>ABS(C10-D10)</f>
        <v/>
      </c>
      <c r="F10" s="29" t="inlineStr">
        <is>
          <t>FW-S011</t>
        </is>
      </c>
      <c r="G10" s="29" t="inlineStr">
        <is>
          <t>canonical partial screening only</t>
        </is>
      </c>
    </row>
    <row r="11">
      <c r="A11" s="29" t="n">
        <v>6</v>
      </c>
      <c r="B11" s="71" t="n">
        <v>9</v>
      </c>
      <c r="C11" s="71">
        <f>B11/100</f>
        <v/>
      </c>
      <c r="D11" s="71" t="n">
        <v>0.09</v>
      </c>
      <c r="E11" s="71">
        <f>ABS(C11-D11)</f>
        <v/>
      </c>
      <c r="F11" s="29" t="inlineStr">
        <is>
          <t>FW-S011</t>
        </is>
      </c>
      <c r="G11" s="29" t="inlineStr">
        <is>
          <t>canonical partial screening only</t>
        </is>
      </c>
    </row>
    <row r="12">
      <c r="A12" s="29" t="n">
        <v>7</v>
      </c>
      <c r="B12" s="71" t="n">
        <v>10</v>
      </c>
      <c r="C12" s="71">
        <f>B12/100</f>
        <v/>
      </c>
      <c r="D12" s="71" t="n">
        <v>0.1</v>
      </c>
      <c r="E12" s="71">
        <f>ABS(C12-D12)</f>
        <v/>
      </c>
      <c r="F12" s="29" t="inlineStr">
        <is>
          <t>FW-S011</t>
        </is>
      </c>
      <c r="G12" s="29" t="inlineStr">
        <is>
          <t>canonical partial screening only</t>
        </is>
      </c>
    </row>
    <row r="13">
      <c r="A13" s="29" t="n">
        <v>8</v>
      </c>
      <c r="B13" s="71" t="n">
        <v>12</v>
      </c>
      <c r="C13" s="71">
        <f>B13/100</f>
        <v/>
      </c>
      <c r="D13" s="71" t="n">
        <v>0.12</v>
      </c>
      <c r="E13" s="71">
        <f>ABS(C13-D13)</f>
        <v/>
      </c>
      <c r="F13" s="29" t="inlineStr">
        <is>
          <t>FW-S011</t>
        </is>
      </c>
      <c r="G13" s="29" t="inlineStr">
        <is>
          <t>canonical partial screening only</t>
        </is>
      </c>
    </row>
    <row r="14">
      <c r="A14" s="29" t="n">
        <v>9</v>
      </c>
      <c r="B14" s="71" t="n">
        <v>14</v>
      </c>
      <c r="C14" s="71">
        <f>B14/100</f>
        <v/>
      </c>
      <c r="D14" s="71" t="n">
        <v>0.14</v>
      </c>
      <c r="E14" s="71">
        <f>ABS(C14-D14)</f>
        <v/>
      </c>
      <c r="F14" s="29" t="inlineStr">
        <is>
          <t>FW-S011</t>
        </is>
      </c>
      <c r="G14" s="29" t="inlineStr">
        <is>
          <t>canonical partial screening only</t>
        </is>
      </c>
    </row>
    <row r="15">
      <c r="A15" s="30" t="n">
        <v>10</v>
      </c>
      <c r="B15" s="72" t="n">
        <v>15</v>
      </c>
      <c r="C15" s="72">
        <f>B15/100</f>
        <v/>
      </c>
      <c r="D15" s="72" t="n">
        <v>0.15</v>
      </c>
      <c r="E15" s="72">
        <f>ABS(C15-D15)</f>
        <v/>
      </c>
      <c r="F15" s="30" t="inlineStr">
        <is>
          <t>FW-S011</t>
        </is>
      </c>
      <c r="G15" s="30" t="inlineStr">
        <is>
          <t>canonical partial screening only</t>
        </is>
      </c>
    </row>
    <row r="16"/>
    <row r="17"/>
    <row r="18">
      <c r="A18" s="13" t="inlineStr">
        <is>
          <t>Source</t>
        </is>
      </c>
      <c r="B18" s="14" t="inlineStr">
        <is>
          <t>Version</t>
        </is>
      </c>
      <c r="C18" s="14" t="inlineStr">
        <is>
          <t>Locator</t>
        </is>
      </c>
      <c r="D18" s="14" t="inlineStr">
        <is>
          <t>What it supports</t>
        </is>
      </c>
      <c r="E18" s="14" t="inlineStr">
        <is>
          <t>What it does not support</t>
        </is>
      </c>
      <c r="F18" s="14" t="inlineStr">
        <is>
          <t>Current-status warning</t>
        </is>
      </c>
      <c r="G18" s="15" t="inlineStr">
        <is>
          <t>URL</t>
        </is>
      </c>
    </row>
    <row r="19">
      <c r="A19" s="27" t="inlineStr">
        <is>
          <t>FEMA Hazus Flood Technical Manual</t>
        </is>
      </c>
      <c r="B19" s="27" t="inlineStr">
        <is>
          <t>2.1</t>
        </is>
      </c>
      <c r="C19" s="27" t="inlineStr">
        <is>
          <t>§7.2.4; Table 7.9, pp. 7-20–7-21</t>
        </is>
      </c>
      <c r="D19" s="27" t="inlineStr">
        <is>
          <t>exact aggregate depth-percent table and narrative</t>
        </is>
      </c>
      <c r="E19" s="27" t="inlineStr">
        <is>
          <t>component calibration, duration, velocity, salinity, claims validation</t>
        </is>
      </c>
      <c r="F19" s="27" t="inlineStr">
        <is>
          <t>electric-power implementation described as deferred</t>
        </is>
      </c>
      <c r="G19" s="27" t="inlineStr">
        <is>
          <t>https://www.fema.gov/sites/default/files/2020-09/fema_hazus_flood-model_technical-manual_2.1.pdf</t>
        </is>
      </c>
    </row>
    <row r="20">
      <c r="A20" s="29" t="inlineStr">
        <is>
          <t>FEMA Hazus Flood Technical Manual</t>
        </is>
      </c>
      <c r="B20" s="29" t="inlineStr">
        <is>
          <t>7.0</t>
        </is>
      </c>
      <c r="C20" s="29" t="inlineStr">
        <is>
          <t>Table 9-1; §9.4.1 footnote 21</t>
        </is>
      </c>
      <c r="D20" s="29" t="inlineStr">
        <is>
          <t>authoritative current limitation</t>
        </is>
      </c>
      <c r="E20" s="29" t="inlineStr">
        <is>
          <t>no DR calibration</t>
        </is>
      </c>
      <c r="F20" s="29" t="inlineStr">
        <is>
          <t>mapping-only; visible electric damage functions disabled and produce no results</t>
        </is>
      </c>
      <c r="G20" s="29" t="inlineStr">
        <is>
          <t>https://www.fema.gov/sites/default/files/documents/fema_rsl_hazus-7-fltm_06272025_0.pdf</t>
        </is>
      </c>
    </row>
    <row r="21">
      <c r="A21" s="30" t="inlineStr">
        <is>
          <t>Decision</t>
        </is>
      </c>
      <c r="B21" s="30" t="inlineStr">
        <is>
          <t>model v1.0 proposal</t>
        </is>
      </c>
      <c r="C21" s="30" t="inlineStr">
        <is>
          <t>governance package</t>
        </is>
      </c>
      <c r="D21" s="30" t="inlineStr">
        <is>
          <t>reviewable screening sensitivity</t>
        </is>
      </c>
      <c r="E21" s="30" t="inlineStr">
        <is>
          <t>canonical runtime or consumer cutover</t>
        </is>
      </c>
      <c r="F21" s="30" t="inlineStr">
        <is>
          <t>promotion gate blocked</t>
        </is>
      </c>
      <c r="G21" s="30" t="str"/>
    </row>
  </sheetData>
  <mergeCells count="2">
    <mergeCell ref="A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26" customWidth="1" style="16" min="1" max="1"/>
    <col width="44" customWidth="1" style="16" min="2" max="2"/>
    <col width="62" customWidth="1" style="16" min="3" max="3"/>
    <col width="20" customWidth="1" style="16" min="4" max="4"/>
    <col width="20" customWidth="1" style="16" min="5" max="5"/>
    <col width="16" customWidth="1" style="16" min="6" max="6"/>
  </cols>
  <sheetData>
    <row r="1" ht="26" customHeight="1" s="16">
      <c r="A1" s="2" t="inlineStr">
        <is>
          <t>Piecewise-linear screening curve</t>
        </is>
      </c>
    </row>
    <row r="2" ht="22" customHeight="1" s="16">
      <c r="A2" s="4" t="inlineStr">
        <is>
          <t>Exact linear interpolation between one-foot source knots; no clamping or extrapolation</t>
        </is>
      </c>
    </row>
    <row r="3"/>
    <row r="4">
      <c r="A4" s="13" t="inlineStr">
        <is>
          <t>Test depth (ft)</t>
        </is>
      </c>
      <c r="B4" s="14" t="inlineStr">
        <is>
          <t>Lower knot</t>
        </is>
      </c>
      <c r="C4" s="14" t="inlineStr">
        <is>
          <t>Upper knot</t>
        </is>
      </c>
      <c r="D4" s="14" t="inlineStr">
        <is>
          <t>Formula DR</t>
        </is>
      </c>
      <c r="E4" s="14" t="inlineStr">
        <is>
          <t>Expected DR</t>
        </is>
      </c>
      <c r="F4" s="15" t="inlineStr">
        <is>
          <t>Status</t>
        </is>
      </c>
    </row>
    <row r="5">
      <c r="A5" s="27" t="n">
        <v>0.5</v>
      </c>
      <c r="B5" s="27" t="n">
        <v>0</v>
      </c>
      <c r="C5" s="27" t="n">
        <v>1</v>
      </c>
      <c r="D5" s="70">
        <f>'Hazus_Source'!C5+(A5-B5)*(('Hazus_Source'!C6-'Hazus_Source'!C5)/(C5-B5))</f>
        <v/>
      </c>
      <c r="E5" s="70" t="n">
        <v>0.01</v>
      </c>
      <c r="F5" s="27">
        <f>IF(D5=E5,"PASS","FAIL")</f>
        <v/>
      </c>
    </row>
    <row r="6">
      <c r="A6" s="29" t="n">
        <v>1.5</v>
      </c>
      <c r="B6" s="29" t="n">
        <v>1</v>
      </c>
      <c r="C6" s="29" t="n">
        <v>2</v>
      </c>
      <c r="D6" s="71">
        <f>'Hazus_Source'!C6+(A6-B6)*(('Hazus_Source'!C7-'Hazus_Source'!C6)/(C6-B6))</f>
        <v/>
      </c>
      <c r="E6" s="71" t="n">
        <v>0.03</v>
      </c>
      <c r="F6" s="29">
        <f>IF(D6=E6,"PASS","FAIL")</f>
        <v/>
      </c>
    </row>
    <row r="7">
      <c r="A7" s="29" t="n">
        <v>2.5</v>
      </c>
      <c r="B7" s="29" t="n">
        <v>2</v>
      </c>
      <c r="C7" s="29" t="n">
        <v>3</v>
      </c>
      <c r="D7" s="71">
        <f>'Hazus_Source'!C7+(A7-B7)*(('Hazus_Source'!C8-'Hazus_Source'!C7)/(C7-B7))</f>
        <v/>
      </c>
      <c r="E7" s="71" t="n">
        <v>0.05</v>
      </c>
      <c r="F7" s="29">
        <f>IF(D7=E7,"PASS","FAIL")</f>
        <v/>
      </c>
    </row>
    <row r="8">
      <c r="A8" s="29" t="n">
        <v>3.5</v>
      </c>
      <c r="B8" s="29" t="n">
        <v>3</v>
      </c>
      <c r="C8" s="29" t="n">
        <v>4</v>
      </c>
      <c r="D8" s="71">
        <f>'Hazus_Source'!C8+(A8-B8)*(('Hazus_Source'!C9-'Hazus_Source'!C8)/(C8-B8))</f>
        <v/>
      </c>
      <c r="E8" s="71" t="n">
        <v>0.065</v>
      </c>
      <c r="F8" s="29">
        <f>IF(D8=E8,"PASS","FAIL")</f>
        <v/>
      </c>
    </row>
    <row r="9">
      <c r="A9" s="29" t="n">
        <v>4.5</v>
      </c>
      <c r="B9" s="29" t="n">
        <v>4</v>
      </c>
      <c r="C9" s="29" t="n">
        <v>5</v>
      </c>
      <c r="D9" s="71">
        <f>'Hazus_Source'!C9+(A9-B9)*(('Hazus_Source'!C10-'Hazus_Source'!C9)/(C9-B9))</f>
        <v/>
      </c>
      <c r="E9" s="71" t="n">
        <v>0.07500000000000001</v>
      </c>
      <c r="F9" s="29">
        <f>IF(D9=E9,"PASS","FAIL")</f>
        <v/>
      </c>
    </row>
    <row r="10">
      <c r="A10" s="29" t="n">
        <v>5.5</v>
      </c>
      <c r="B10" s="29" t="n">
        <v>5</v>
      </c>
      <c r="C10" s="29" t="n">
        <v>6</v>
      </c>
      <c r="D10" s="71">
        <f>'Hazus_Source'!C10+(A10-B10)*(('Hazus_Source'!C11-'Hazus_Source'!C10)/(C10-B10))</f>
        <v/>
      </c>
      <c r="E10" s="71" t="n">
        <v>0.08499999999999999</v>
      </c>
      <c r="F10" s="29">
        <f>IF(D10=E10,"PASS","FAIL")</f>
        <v/>
      </c>
    </row>
    <row r="11">
      <c r="A11" s="29" t="n">
        <v>6.5</v>
      </c>
      <c r="B11" s="29" t="n">
        <v>6</v>
      </c>
      <c r="C11" s="29" t="n">
        <v>7</v>
      </c>
      <c r="D11" s="71">
        <f>'Hazus_Source'!C11+(A11-B11)*(('Hazus_Source'!C12-'Hazus_Source'!C11)/(C11-B11))</f>
        <v/>
      </c>
      <c r="E11" s="71" t="n">
        <v>0.095</v>
      </c>
      <c r="F11" s="29">
        <f>IF(D11=E11,"PASS","FAIL")</f>
        <v/>
      </c>
    </row>
    <row r="12">
      <c r="A12" s="29" t="n">
        <v>7.5</v>
      </c>
      <c r="B12" s="29" t="n">
        <v>7</v>
      </c>
      <c r="C12" s="29" t="n">
        <v>8</v>
      </c>
      <c r="D12" s="71">
        <f>'Hazus_Source'!C12+(A12-B12)*(('Hazus_Source'!C13-'Hazus_Source'!C12)/(C12-B12))</f>
        <v/>
      </c>
      <c r="E12" s="71" t="n">
        <v>0.11</v>
      </c>
      <c r="F12" s="29">
        <f>IF(D12=E12,"PASS","FAIL")</f>
        <v/>
      </c>
    </row>
    <row r="13">
      <c r="A13" s="29" t="n">
        <v>8.5</v>
      </c>
      <c r="B13" s="29" t="n">
        <v>8</v>
      </c>
      <c r="C13" s="29" t="n">
        <v>9</v>
      </c>
      <c r="D13" s="71">
        <f>'Hazus_Source'!C13+(A13-B13)*(('Hazus_Source'!C14-'Hazus_Source'!C13)/(C13-B13))</f>
        <v/>
      </c>
      <c r="E13" s="71" t="n">
        <v>0.13</v>
      </c>
      <c r="F13" s="29">
        <f>IF(D13=E13,"PASS","FAIL")</f>
        <v/>
      </c>
    </row>
    <row r="14">
      <c r="A14" s="30" t="n">
        <v>9.5</v>
      </c>
      <c r="B14" s="30" t="n">
        <v>9</v>
      </c>
      <c r="C14" s="30" t="n">
        <v>10</v>
      </c>
      <c r="D14" s="72">
        <f>'Hazus_Source'!C14+(A14-B14)*(('Hazus_Source'!C15-'Hazus_Source'!C14)/(C14-B14))</f>
        <v/>
      </c>
      <c r="E14" s="72" t="n">
        <v>0.145</v>
      </c>
      <c r="F14" s="30">
        <f>IF(D14=E14,"PASS","FAIL")</f>
        <v/>
      </c>
    </row>
    <row r="15"/>
    <row r="16"/>
    <row r="17">
      <c r="A17" s="13" t="inlineStr">
        <is>
          <t>Rule</t>
        </is>
      </c>
      <c r="B17" s="14" t="inlineStr">
        <is>
          <t>Value</t>
        </is>
      </c>
      <c r="C17" s="15" t="inlineStr">
        <is>
          <t>Guardrail</t>
        </is>
      </c>
    </row>
    <row r="18">
      <c r="A18" s="27" t="inlineStr">
        <is>
          <t>curve_form</t>
        </is>
      </c>
      <c r="B18" s="27" t="inlineStr">
        <is>
          <t>piecewise_linear</t>
        </is>
      </c>
      <c r="C18" s="27" t="inlineStr">
        <is>
          <t>schema v3 draft extension</t>
        </is>
      </c>
    </row>
    <row r="19">
      <c r="A19" s="29" t="inlineStr">
        <is>
          <t>interpolation</t>
        </is>
      </c>
      <c r="B19" s="29" t="inlineStr">
        <is>
          <t>linear_between_source_knots</t>
        </is>
      </c>
      <c r="C19" s="29" t="inlineStr">
        <is>
          <t>only between source knots</t>
        </is>
      </c>
    </row>
    <row r="20">
      <c r="A20" s="29" t="inlineStr">
        <is>
          <t>valid range</t>
        </is>
      </c>
      <c r="B20" s="29" t="inlineStr">
        <is>
          <t>0 through 10 ft inclusive</t>
        </is>
      </c>
      <c r="C20" s="29" t="inlineStr">
        <is>
          <t>negative rejects; &gt;10 withholds</t>
        </is>
      </c>
    </row>
    <row r="21">
      <c r="A21" s="29" t="inlineStr">
        <is>
          <t>extrapolation</t>
        </is>
      </c>
      <c r="B21" s="29" t="inlineStr">
        <is>
          <t>withhold outside 0 through 10 ft; no endpoint clamp</t>
        </is>
      </c>
      <c r="C21" s="29" t="inlineStr">
        <is>
          <t>no endpoint clamp</t>
        </is>
      </c>
    </row>
    <row r="22">
      <c r="A22" s="30" t="inlineStr">
        <is>
          <t>output</t>
        </is>
      </c>
      <c r="B22" s="30" t="inlineStr">
        <is>
          <t>conditional scalar failure-unit DR</t>
        </is>
      </c>
      <c r="C22" s="30" t="inlineStr">
        <is>
          <t>not scenario loss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style="16" min="1" max="1"/>
    <col width="62" customWidth="1" style="16" min="2" max="2"/>
    <col width="42" customWidth="1" style="16" min="3" max="3"/>
    <col width="42" customWidth="1" style="16" min="4" max="4"/>
    <col width="22" customWidth="1" style="16" min="5" max="5"/>
    <col width="20" customWidth="1" style="16" min="6" max="6"/>
    <col width="28" customWidth="1" style="16" min="7" max="7"/>
  </cols>
  <sheetData>
    <row r="1" ht="26" customHeight="1" s="16">
      <c r="A1" s="2" t="inlineStr">
        <is>
          <t>Datum-safe WSE-to-grade bridge</t>
        </is>
      </c>
    </row>
    <row r="2" ht="22" customHeight="1" s="16">
      <c r="A2" s="4" t="inlineStr">
        <is>
          <t>Direct source-native depth is preferred; an exact same-datum elevation difference may be converted to feet</t>
        </is>
      </c>
    </row>
    <row r="3"/>
    <row r="4">
      <c r="A4" s="13" t="inlineStr">
        <is>
          <t>WSE (m)</t>
        </is>
      </c>
      <c r="B4" s="14" t="inlineStr">
        <is>
          <t>Grade (m)</t>
        </is>
      </c>
      <c r="C4" s="14" t="inlineStr">
        <is>
          <t>WSE datum</t>
        </is>
      </c>
      <c r="D4" s="14" t="inlineStr">
        <is>
          <t>Grade datum</t>
        </is>
      </c>
      <c r="E4" s="14" t="inlineStr">
        <is>
          <t>Derived depth (ft)</t>
        </is>
      </c>
      <c r="F4" s="14" t="inlineStr">
        <is>
          <t>Datum status</t>
        </is>
      </c>
      <c r="G4" s="15" t="inlineStr">
        <is>
          <t>Runtime disposition</t>
        </is>
      </c>
    </row>
    <row r="5">
      <c r="A5" s="27" t="n">
        <v>100.3048</v>
      </c>
      <c r="B5" s="27" t="n">
        <v>100</v>
      </c>
      <c r="C5" s="27" t="inlineStr">
        <is>
          <t>NAVD88</t>
        </is>
      </c>
      <c r="D5" s="27" t="inlineStr">
        <is>
          <t>NAVD88</t>
        </is>
      </c>
      <c r="E5" s="70">
        <f>(A5-B5)*3.280839895013123</f>
        <v/>
      </c>
      <c r="F5" s="27">
        <f>IF(C5=D5,"PASS","WITHHOLD")</f>
        <v/>
      </c>
      <c r="G5" s="27">
        <f>IF(F5&lt;&gt;"PASS","WITHHOLD_DATUM",IF(E5&lt;0,"REJECT_NEGATIVE",IF(E5&gt;10,"WITHHOLD_RANGE","ELIGIBLE")))</f>
        <v/>
      </c>
    </row>
    <row r="6">
      <c r="A6" s="29" t="n">
        <v>101</v>
      </c>
      <c r="B6" s="29" t="n">
        <v>100</v>
      </c>
      <c r="C6" s="29" t="inlineStr">
        <is>
          <t>NAVD88</t>
        </is>
      </c>
      <c r="D6" s="29" t="inlineStr">
        <is>
          <t>NAVD88</t>
        </is>
      </c>
      <c r="E6" s="71">
        <f>(A6-B6)*3.280839895013123</f>
        <v/>
      </c>
      <c r="F6" s="29">
        <f>IF(C6=D6,"PASS","WITHHOLD")</f>
        <v/>
      </c>
      <c r="G6" s="29">
        <f>IF(F6&lt;&gt;"PASS","WITHHOLD_DATUM",IF(E6&lt;0,"REJECT_NEGATIVE",IF(E6&gt;10,"WITHHOLD_RANGE","ELIGIBLE")))</f>
        <v/>
      </c>
    </row>
    <row r="7">
      <c r="A7" s="29" t="n">
        <v>101</v>
      </c>
      <c r="B7" s="29" t="n">
        <v>100</v>
      </c>
      <c r="C7" s="29" t="inlineStr">
        <is>
          <t>NAVD88</t>
        </is>
      </c>
      <c r="D7" s="29" t="inlineStr">
        <is>
          <t>NGVD29</t>
        </is>
      </c>
      <c r="E7" s="71">
        <f>(A7-B7)*3.280839895013123</f>
        <v/>
      </c>
      <c r="F7" s="29">
        <f>IF(C7=D7,"PASS","WITHHOLD")</f>
        <v/>
      </c>
      <c r="G7" s="29">
        <f>IF(F7&lt;&gt;"PASS","WITHHOLD_DATUM",IF(E7&lt;0,"REJECT_NEGATIVE",IF(E7&gt;10,"WITHHOLD_RANGE","ELIGIBLE")))</f>
        <v/>
      </c>
    </row>
    <row r="8">
      <c r="A8" s="29" t="n">
        <v>99.90000000000001</v>
      </c>
      <c r="B8" s="29" t="n">
        <v>100</v>
      </c>
      <c r="C8" s="29" t="inlineStr">
        <is>
          <t>NAVD88</t>
        </is>
      </c>
      <c r="D8" s="29" t="inlineStr">
        <is>
          <t>NAVD88</t>
        </is>
      </c>
      <c r="E8" s="71">
        <f>(A8-B8)*3.280839895013123</f>
        <v/>
      </c>
      <c r="F8" s="29">
        <f>IF(C8=D8,"PASS","WITHHOLD")</f>
        <v/>
      </c>
      <c r="G8" s="29">
        <f>IF(F8&lt;&gt;"PASS","WITHHOLD_DATUM",IF(E8&lt;0,"REJECT_NEGATIVE",IF(E8&gt;10,"WITHHOLD_RANGE","ELIGIBLE")))</f>
        <v/>
      </c>
    </row>
    <row r="9">
      <c r="A9" s="30" t="n">
        <v>103.2</v>
      </c>
      <c r="B9" s="30" t="n">
        <v>100</v>
      </c>
      <c r="C9" s="30" t="inlineStr">
        <is>
          <t>LOCAL</t>
        </is>
      </c>
      <c r="D9" s="30" t="inlineStr">
        <is>
          <t>LOCAL</t>
        </is>
      </c>
      <c r="E9" s="72">
        <f>(A9-B9)*3.280839895013123</f>
        <v/>
      </c>
      <c r="F9" s="30">
        <f>IF(C9=D9,"PASS","WITHHOLD")</f>
        <v/>
      </c>
      <c r="G9" s="30">
        <f>IF(F9&lt;&gt;"PASS","WITHHOLD_DATUM",IF(E9&lt;0,"REJECT_NEGATIVE",IF(E9&gt;10,"WITHHOLD_RANGE","ELIGIBLE")))</f>
        <v/>
      </c>
    </row>
    <row r="10"/>
    <row r="11"/>
    <row r="12">
      <c r="A12" s="13" t="inlineStr">
        <is>
          <t>Input mode</t>
        </is>
      </c>
      <c r="B12" s="14" t="inlineStr">
        <is>
          <t>Required fields</t>
        </is>
      </c>
      <c r="C12" s="14" t="inlineStr">
        <is>
          <t>Mutual exclusion</t>
        </is>
      </c>
      <c r="D12" s="15" t="inlineStr">
        <is>
          <t>Fail-closed rule</t>
        </is>
      </c>
    </row>
    <row r="13">
      <c r="A13" s="27" t="inlineStr">
        <is>
          <t>direct_depth_ft</t>
        </is>
      </c>
      <c r="B13" s="27" t="inlineStr">
        <is>
          <t>flood_depth_above_substation_grade_ft</t>
        </is>
      </c>
      <c r="C13" s="27" t="inlineStr">
        <is>
          <t>cannot accompany WSE fields</t>
        </is>
      </c>
      <c r="D13" s="27" t="inlineStr">
        <is>
          <t>negative rejects; &gt;10 withholds</t>
        </is>
      </c>
    </row>
    <row r="14">
      <c r="A14" s="30" t="inlineStr">
        <is>
          <t>same_datum_wse_grade_m</t>
        </is>
      </c>
      <c r="B14" s="30" t="inlineStr">
        <is>
          <t>WSE, grade, both datum IDs</t>
        </is>
      </c>
      <c r="C14" s="30" t="inlineStr">
        <is>
          <t>cannot accompany direct depth</t>
        </is>
      </c>
      <c r="D14" s="30" t="inlineStr">
        <is>
          <t>missing/mismatched datum rejects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38" customWidth="1" style="16" min="1" max="1"/>
    <col width="28" customWidth="1" style="16" min="2" max="2"/>
    <col width="58" customWidth="1" style="16" min="3" max="3"/>
    <col width="24" customWidth="1" style="16" min="4" max="4"/>
    <col width="28" customWidth="1" style="16" min="5" max="5"/>
    <col width="58" customWidth="1" style="16" min="6" max="6"/>
    <col width="42" customWidth="1" style="16" min="7" max="7"/>
    <col width="58" customWidth="1" style="16" min="8" max="8"/>
  </cols>
  <sheetData>
    <row r="1" ht="26" customHeight="1" s="16">
      <c r="A1" s="2" t="inlineStr">
        <is>
          <t>Failure-unit coverage</t>
        </is>
      </c>
    </row>
    <row r="2" ht="22" customHeight="1" s="16">
      <c r="A2" s="4" t="inlineStr">
        <is>
          <t>Only the source-native assembly has a numeric screening record; every other unit remains withheld, not zero</t>
        </is>
      </c>
    </row>
    <row r="3"/>
    <row r="4">
      <c r="A4" s="13" t="inlineStr">
        <is>
          <t>Failure unit</t>
        </is>
      </c>
      <c r="B4" s="14" t="inlineStr">
        <is>
          <t>Subsystem</t>
        </is>
      </c>
      <c r="C4" s="14" t="inlineStr">
        <is>
          <t>Component / boundary</t>
        </is>
      </c>
      <c r="D4" s="14" t="inlineStr">
        <is>
          <t>Treatment</t>
        </is>
      </c>
      <c r="E4" s="14" t="inlineStr">
        <is>
          <t>Y axis</t>
        </is>
      </c>
      <c r="F4" s="14" t="inlineStr">
        <is>
          <t>Denominator</t>
        </is>
      </c>
      <c r="G4" s="14" t="inlineStr">
        <is>
          <t>Exposure grain</t>
        </is>
      </c>
      <c r="H4" s="15" t="inlineStr">
        <is>
          <t>Withhold reasons</t>
        </is>
      </c>
    </row>
    <row r="5">
      <c r="A5" s="27" t="inlineStr">
        <is>
          <t>FW_HAZUS_GSU_SUBSTATION_ASSEMBLY</t>
        </is>
      </c>
      <c r="B5" s="27" t="inlineStr">
        <is>
          <t>FACILITY GSU SUBSTATION SOURCE NATIVE</t>
        </is>
      </c>
      <c r="C5" s="27" t="inlineStr">
        <is>
          <t>HAZUS SUBSTATION CONTROL ROOM CABLING AND INCIDENTAL TRANSFORMER SWITCHGEAR ASSEMBLY</t>
        </is>
      </c>
      <c r="D5" s="27" t="inlineStr">
        <is>
          <t>primary nonzero</t>
        </is>
      </c>
      <c r="E5" s="27" t="inlineStr">
        <is>
          <t>failure_unit_damage_ratio</t>
        </is>
      </c>
      <c r="F5" s="27" t="inlineStr">
        <is>
          <t>full direct replacement value of the same facility-level substation assembly</t>
        </is>
      </c>
      <c r="G5" s="27" t="inlineStr">
        <is>
          <t>one real facility-level GSU/substation point or polygon</t>
        </is>
      </c>
      <c r="H5" s="27" t="str"/>
    </row>
    <row r="6">
      <c r="A6" s="29" t="inlineStr">
        <is>
          <t>FW_GSU_SWITCHGEAR</t>
        </is>
      </c>
      <c r="B6" s="29" t="inlineStr">
        <is>
          <t>FACILITY GSU SUBSTATION</t>
        </is>
      </c>
      <c r="C6" s="29" t="inlineStr">
        <is>
          <t>SWITCHGEAR</t>
        </is>
      </c>
      <c r="D6" s="29" t="inlineStr">
        <is>
          <t>withheld</t>
        </is>
      </c>
      <c r="E6" s="29" t="inlineStr">
        <is>
          <t>failure_unit_damage_ratio</t>
        </is>
      </c>
      <c r="F6" s="29" t="inlineStr">
        <is>
          <t>same-unit switchgear replacement value</t>
        </is>
      </c>
      <c r="G6" s="29" t="inlineStr">
        <is>
          <t>future exact unit</t>
        </is>
      </c>
      <c r="H6" s="29" t="inlineStr">
        <is>
          <t>NO_RUNTIME_CURVE_FOR_PATHWAY_UNIT; COMPONENT_LEVEL_ECONOMIC_RESPONSE_NOT_CALIBRATED</t>
        </is>
      </c>
    </row>
    <row r="7">
      <c r="A7" s="29" t="inlineStr">
        <is>
          <t>FW_GSU_TRANSFORMER_MAIN</t>
        </is>
      </c>
      <c r="B7" s="29" t="inlineStr">
        <is>
          <t>FACILITY GSU SUBSTATION</t>
        </is>
      </c>
      <c r="C7" s="29" t="inlineStr">
        <is>
          <t>PLANT GSU MAIN TRANSFORMER</t>
        </is>
      </c>
      <c r="D7" s="29" t="inlineStr">
        <is>
          <t>withheld</t>
        </is>
      </c>
      <c r="E7" s="29" t="inlineStr">
        <is>
          <t>failure_unit_damage_ratio</t>
        </is>
      </c>
      <c r="F7" s="29" t="inlineStr">
        <is>
          <t>same-unit main-transformer replacement value</t>
        </is>
      </c>
      <c r="G7" s="29" t="inlineStr">
        <is>
          <t>future exact unit</t>
        </is>
      </c>
      <c r="H7" s="29" t="inlineStr">
        <is>
          <t>NO_RUNTIME_CURVE_FOR_PATHWAY_UNIT; TRANSFORMER_MAIN_AUXILIARY_STATE_MODEL_REQUIRED</t>
        </is>
      </c>
    </row>
    <row r="8">
      <c r="A8" s="29" t="inlineStr">
        <is>
          <t>FW_GSU_TRANSFORMER_AUX_CONTROLS</t>
        </is>
      </c>
      <c r="B8" s="29" t="inlineStr">
        <is>
          <t>FACILITY GSU SUBSTATION</t>
        </is>
      </c>
      <c r="C8" s="29" t="inlineStr">
        <is>
          <t>TRANSFORMER AUXILIARIES AND CONTROLS</t>
        </is>
      </c>
      <c r="D8" s="29" t="inlineStr">
        <is>
          <t>withheld</t>
        </is>
      </c>
      <c r="E8" s="29" t="inlineStr">
        <is>
          <t>failure_unit_damage_ratio</t>
        </is>
      </c>
      <c r="F8" s="29" t="inlineStr">
        <is>
          <t>same-unit transformer auxiliary/control replacement value</t>
        </is>
      </c>
      <c r="G8" s="29" t="inlineStr">
        <is>
          <t>future exact unit</t>
        </is>
      </c>
      <c r="H8" s="29" t="inlineStr">
        <is>
          <t>NO_RUNTIME_CURVE_FOR_PATHWAY_UNIT; DEPENDENCY_SAFE_VALUE_SPLIT_REQUIRED</t>
        </is>
      </c>
    </row>
    <row r="9">
      <c r="A9" s="29" t="inlineStr">
        <is>
          <t>FW_GSU_PROTECTION_SCADA</t>
        </is>
      </c>
      <c r="B9" s="29" t="inlineStr">
        <is>
          <t>FACILITY GSU SUBSTATION</t>
        </is>
      </c>
      <c r="C9" s="29" t="inlineStr">
        <is>
          <t>PROTECTION RELAY CONTROL SCADA COMMUNICATIONS</t>
        </is>
      </c>
      <c r="D9" s="29" t="inlineStr">
        <is>
          <t>withheld</t>
        </is>
      </c>
      <c r="E9" s="29" t="inlineStr">
        <is>
          <t>failure_unit_damage_ratio</t>
        </is>
      </c>
      <c r="F9" s="29" t="inlineStr">
        <is>
          <t>same-unit protection relay control and communications replacement value</t>
        </is>
      </c>
      <c r="G9" s="29" t="inlineStr">
        <is>
          <t>future exact unit</t>
        </is>
      </c>
      <c r="H9" s="29" t="inlineStr">
        <is>
          <t>NO_RUNTIME_CURVE_FOR_PATHWAY_UNIT; PROTECTION_CONTROL_ECONOMIC_RESPONSE_NOT_CALIBRATED</t>
        </is>
      </c>
    </row>
    <row r="10">
      <c r="A10" s="29" t="inlineStr">
        <is>
          <t>FW_GSU_STATION_SERVICE_DC</t>
        </is>
      </c>
      <c r="B10" s="29" t="inlineStr">
        <is>
          <t>FACILITY GSU SUBSTATION</t>
        </is>
      </c>
      <c r="C10" s="29" t="inlineStr">
        <is>
          <t>STATION SERVICE AND DC POWER</t>
        </is>
      </c>
      <c r="D10" s="29" t="inlineStr">
        <is>
          <t>withheld</t>
        </is>
      </c>
      <c r="E10" s="29" t="inlineStr">
        <is>
          <t>failure_unit_damage_ratio</t>
        </is>
      </c>
      <c r="F10" s="29" t="inlineStr">
        <is>
          <t>same-unit station service and DC replacement value</t>
        </is>
      </c>
      <c r="G10" s="29" t="inlineStr">
        <is>
          <t>future exact unit</t>
        </is>
      </c>
      <c r="H10" s="29" t="inlineStr">
        <is>
          <t>NO_RUNTIME_CURVE_FOR_PATHWAY_UNIT; STATION_SERVICE_DC_DECOMPOSITION_REQUIRED</t>
        </is>
      </c>
    </row>
    <row r="11">
      <c r="A11" s="29" t="inlineStr">
        <is>
          <t>FW_GSU_CABLE_TERMINATIONS</t>
        </is>
      </c>
      <c r="B11" s="29" t="inlineStr">
        <is>
          <t>FACILITY GSU SUBSTATION</t>
        </is>
      </c>
      <c r="C11" s="29" t="inlineStr">
        <is>
          <t>CABLE TERMINATIONS PULL BOXES AND WATER PATHS</t>
        </is>
      </c>
      <c r="D11" s="29" t="inlineStr">
        <is>
          <t>withheld</t>
        </is>
      </c>
      <c r="E11" s="29" t="inlineStr">
        <is>
          <t>failure_unit_damage_ratio</t>
        </is>
      </c>
      <c r="F11" s="29" t="inlineStr">
        <is>
          <t>same-unit termination or pathway-segment replacement value</t>
        </is>
      </c>
      <c r="G11" s="29" t="inlineStr">
        <is>
          <t>future exact unit</t>
        </is>
      </c>
      <c r="H11" s="29" t="inlineStr">
        <is>
          <t>NO_RUNTIME_CURVE_FOR_PATHWAY_UNIT; CABLE_BODY_TERMINATION_PATHWAY_SPLIT_REQUIRED</t>
        </is>
      </c>
    </row>
    <row r="12">
      <c r="A12" s="29" t="inlineStr">
        <is>
          <t>FW_TURBINE_BASE_ELECTRICAL</t>
        </is>
      </c>
      <c r="B12" s="29" t="inlineStr">
        <is>
          <t>REPEATED TURBINE ELECTRICAL</t>
        </is>
      </c>
      <c r="C12" s="29" t="inlineStr">
        <is>
          <t>BASE CABINET CONVERTER SWITCHGEAR OR CONTROL</t>
        </is>
      </c>
      <c r="D12" s="29" t="inlineStr">
        <is>
          <t>withheld</t>
        </is>
      </c>
      <c r="E12" s="29" t="inlineStr">
        <is>
          <t>failure_unit_damage_ratio</t>
        </is>
      </c>
      <c r="F12" s="29" t="inlineStr">
        <is>
          <t>same-unit turbine-base electrical replacement value</t>
        </is>
      </c>
      <c r="G12" s="29" t="inlineStr">
        <is>
          <t>future exact unit</t>
        </is>
      </c>
      <c r="H12" s="29" t="inlineStr">
        <is>
          <t>NO_RUNTIME_CURVE_FOR_PATHWAY_UNIT; WIND_SPECIFIC_EQUIPMENT_DECOMPOSITION_REQUIRED</t>
        </is>
      </c>
    </row>
    <row r="13">
      <c r="A13" s="29" t="inlineStr">
        <is>
          <t>FW_PADMOUNT_STEPUP_TRANSFORMER</t>
        </is>
      </c>
      <c r="B13" s="29" t="inlineStr">
        <is>
          <t>REPEATED TURBINE ELECTRICAL</t>
        </is>
      </c>
      <c r="C13" s="29" t="inlineStr">
        <is>
          <t>PAD OR TURBINE STEPUP TRANSFORMER</t>
        </is>
      </c>
      <c r="D13" s="29" t="inlineStr">
        <is>
          <t>withheld</t>
        </is>
      </c>
      <c r="E13" s="29" t="inlineStr">
        <is>
          <t>failure_unit_damage_ratio</t>
        </is>
      </c>
      <c r="F13" s="29" t="inlineStr">
        <is>
          <t>same-unit pad or turbine step-up transformer replacement value</t>
        </is>
      </c>
      <c r="G13" s="29" t="inlineStr">
        <is>
          <t>future exact unit</t>
        </is>
      </c>
      <c r="H13" s="29" t="inlineStr">
        <is>
          <t>NO_RUNTIME_CURVE_FOR_PATHWAY_UNIT; PAD_TRANSFORMER_CONSTRUCTION_AND_VALUE_REQUIRED</t>
        </is>
      </c>
    </row>
    <row r="14">
      <c r="A14" s="29" t="inlineStr">
        <is>
          <t>FW_COLLECTION_CABLE_TERMINATIONS</t>
        </is>
      </c>
      <c r="B14" s="29" t="inlineStr">
        <is>
          <t>PLANT COLLECTION</t>
        </is>
      </c>
      <c r="C14" s="29" t="inlineStr">
        <is>
          <t>MV CABLE JOINT TERMINATION PULL BOX OR CONDUIT PATH</t>
        </is>
      </c>
      <c r="D14" s="29" t="inlineStr">
        <is>
          <t>withheld</t>
        </is>
      </c>
      <c r="E14" s="29" t="inlineStr">
        <is>
          <t>failure_unit_damage_ratio</t>
        </is>
      </c>
      <c r="F14" s="29" t="inlineStr">
        <is>
          <t>same point or line-segment replacement value</t>
        </is>
      </c>
      <c r="G14" s="29" t="inlineStr">
        <is>
          <t>future exact unit</t>
        </is>
      </c>
      <c r="H14" s="29" t="inlineStr">
        <is>
          <t>NO_RUNTIME_CURVE_FOR_PATHWAY_UNIT; LINE_NETWORK_EXPOSURE_AND_VALUE_REQUIRED</t>
        </is>
      </c>
    </row>
    <row r="15">
      <c r="A15" s="29" t="inlineStr">
        <is>
          <t>FW_TURBINE_FOUNDATION</t>
        </is>
      </c>
      <c r="B15" s="29" t="inlineStr">
        <is>
          <t>FOUNDATION</t>
        </is>
      </c>
      <c r="C15" s="29" t="inlineStr">
        <is>
          <t>TURBINE FOUNDATION AND SUPPORTING SOIL</t>
        </is>
      </c>
      <c r="D15" s="29" t="inlineStr">
        <is>
          <t>withheld</t>
        </is>
      </c>
      <c r="E15" s="29" t="inlineStr">
        <is>
          <t>failure_unit_damage_ratio</t>
        </is>
      </c>
      <c r="F15" s="29" t="inlineStr">
        <is>
          <t>same-unit turbine foundation replacement value</t>
        </is>
      </c>
      <c r="G15" s="29" t="inlineStr">
        <is>
          <t>future exact unit</t>
        </is>
      </c>
      <c r="H15" s="29" t="inlineStr">
        <is>
          <t>NO_RUNTIME_CURVE_FOR_PATHWAY_UNIT; SEPARATE_FLOOD_SCOUR_EROSION_PATHWAY_REQUIRED</t>
        </is>
      </c>
    </row>
    <row r="16">
      <c r="A16" s="29" t="inlineStr">
        <is>
          <t>FW_CIVIL_ACCESS_DRAINAGE</t>
        </is>
      </c>
      <c r="B16" s="29" t="inlineStr">
        <is>
          <t>PLANT CIVIL</t>
        </is>
      </c>
      <c r="C16" s="29" t="inlineStr">
        <is>
          <t>ROADS PADS DRAINAGE BUILDINGS AND FENCES MIXED</t>
        </is>
      </c>
      <c r="D16" s="29" t="inlineStr">
        <is>
          <t>withheld</t>
        </is>
      </c>
      <c r="E16" s="29" t="inlineStr">
        <is>
          <t>failure_unit_damage_ratio</t>
        </is>
      </c>
      <c r="F16" s="29" t="inlineStr">
        <is>
          <t>split same-unit civil replacement value</t>
        </is>
      </c>
      <c r="G16" s="29" t="inlineStr">
        <is>
          <t>future exact unit</t>
        </is>
      </c>
      <c r="H16" s="29" t="inlineStr">
        <is>
          <t>NO_RUNTIME_CURVE_FOR_PATHWAY_UNIT; MIXED_CIVIL_BUCKET_REQUIRES_SPLIT</t>
        </is>
      </c>
    </row>
    <row r="17">
      <c r="A17" s="29" t="inlineStr">
        <is>
          <t>FW_ELEVATED_TURBINE_EQUIPMENT</t>
        </is>
      </c>
      <c r="B17" s="29" t="inlineStr">
        <is>
          <t>REPEATED TURBINE</t>
        </is>
      </c>
      <c r="C17" s="29" t="inlineStr">
        <is>
          <t>ELEVATED ROTOR NACELLE AND TOWER EQUIPMENT</t>
        </is>
      </c>
      <c r="D17" s="29" t="inlineStr">
        <is>
          <t>withheld</t>
        </is>
      </c>
      <c r="E17" s="29" t="inlineStr">
        <is>
          <t>failure_unit_damage_ratio</t>
        </is>
      </c>
      <c r="F17" s="29" t="inlineStr">
        <is>
          <t>same-unit elevated turbine-equipment replacement value</t>
        </is>
      </c>
      <c r="G17" s="29" t="inlineStr">
        <is>
          <t>future exact unit</t>
        </is>
      </c>
      <c r="H17" s="29" t="inlineStr">
        <is>
          <t>NO_RUNTIME_CURVE_FOR_PATHWAY_UNIT; GEOMETRY_SCREENED_NOT_UNIVERSAL_ZERO</t>
        </is>
      </c>
    </row>
    <row r="18">
      <c r="A18" s="29" t="inlineStr">
        <is>
          <t>SUPPORT_FIELDWORK</t>
        </is>
      </c>
      <c r="B18" s="29" t="inlineStr">
        <is>
          <t>SUPPORT</t>
        </is>
      </c>
      <c r="C18" s="29" t="inlineStr">
        <is>
          <t>ASSEMBLY AND INSTALLATION</t>
        </is>
      </c>
      <c r="D18" s="29" t="inlineStr">
        <is>
          <t>withheld</t>
        </is>
      </c>
      <c r="E18" s="29" t="inlineStr">
        <is>
          <t>not_applicable_support_cost</t>
        </is>
      </c>
      <c r="F18" s="29" t="inlineStr">
        <is>
          <t>post-damage repair work scope</t>
        </is>
      </c>
      <c r="G18" s="29" t="inlineStr">
        <is>
          <t>future exact unit</t>
        </is>
      </c>
      <c r="H18" s="29" t="inlineStr">
        <is>
          <t>SUPPORT_COST_ALLOCATE_ONCE_AFTER_DISPOSITION; NO_INDEPENDENT_FRAGILITY</t>
        </is>
      </c>
    </row>
    <row r="19">
      <c r="A19" s="30" t="inlineStr">
        <is>
          <t>SUPPORT_TRANSPORT_LOGISTICS</t>
        </is>
      </c>
      <c r="B19" s="30" t="inlineStr">
        <is>
          <t>SUPPORT</t>
        </is>
      </c>
      <c r="C19" s="30" t="inlineStr">
        <is>
          <t>WIND TURBINE TRANSPORT AND LOGISTICS</t>
        </is>
      </c>
      <c r="D19" s="30" t="inlineStr">
        <is>
          <t>withheld</t>
        </is>
      </c>
      <c r="E19" s="30" t="inlineStr">
        <is>
          <t>not_applicable_support_cost</t>
        </is>
      </c>
      <c r="F19" s="30" t="inlineStr">
        <is>
          <t>post-damage replacement logistics scope</t>
        </is>
      </c>
      <c r="G19" s="30" t="inlineStr">
        <is>
          <t>future exact unit</t>
        </is>
      </c>
      <c r="H19" s="30" t="inlineStr">
        <is>
          <t>SUPPORT_COST_ALLOCATE_ONCE_AFTER_DISPOSITION; NO_INDEPENDENT_FRAGILITY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3"/>
  <sheetViews>
    <sheetView showGridLines="0" workbookViewId="0">
      <selection activeCell="A1" sqref="A1"/>
    </sheetView>
  </sheetViews>
  <sheetFormatPr baseColWidth="8" defaultRowHeight="15"/>
  <cols>
    <col width="22" customWidth="1" style="16" min="1" max="1"/>
    <col width="22" customWidth="1" style="16" min="2" max="2"/>
    <col width="22" customWidth="1" style="16" min="3" max="3"/>
    <col width="36" customWidth="1" style="16" min="4" max="4"/>
    <col width="22" customWidth="1" style="16" min="5" max="5"/>
    <col width="22" customWidth="1" style="16" min="6" max="6"/>
    <col width="22" customWidth="1" style="16" min="7" max="7"/>
    <col width="36" customWidth="1" style="16" min="8" max="8"/>
    <col width="22" customWidth="1" style="16" min="9" max="9"/>
    <col width="22" customWidth="1" style="16" min="10" max="10"/>
    <col width="22" customWidth="1" style="16" min="11" max="11"/>
    <col width="58" customWidth="1" style="16" min="12" max="12"/>
    <col width="58" customWidth="1" style="16" min="13" max="13"/>
    <col width="22" customWidth="1" style="16" min="14" max="14"/>
    <col width="58" customWidth="1" style="16" min="15" max="15"/>
  </cols>
  <sheetData>
    <row r="1" ht="26" customHeight="1" s="16">
      <c r="A1" s="2" t="inlineStr">
        <is>
          <t>Value and denominator crosswalk</t>
        </is>
      </c>
    </row>
    <row r="2" ht="22" customHeight="1" s="16">
      <c r="A2" s="4" t="inlineStr">
        <is>
          <t>Reference value anatomy stays visible; no full-project TIV, mixed 72 USD/kW, or per-turbine GSU repetition</t>
        </is>
      </c>
    </row>
    <row r="3"/>
    <row r="4">
      <c r="A4" s="13" t="inlineStr">
        <is>
          <t>value_source_id</t>
        </is>
      </c>
      <c r="B4" s="14" t="inlineStr">
        <is>
          <t>source_location</t>
        </is>
      </c>
      <c r="C4" s="14" t="inlineStr">
        <is>
          <t>row_or_bucket_id</t>
        </is>
      </c>
      <c r="D4" s="14" t="inlineStr">
        <is>
          <t>row_or_bucket_label</t>
        </is>
      </c>
      <c r="E4" s="14" t="inlineStr">
        <is>
          <t>value</t>
        </is>
      </c>
      <c r="F4" s="14" t="inlineStr">
        <is>
          <t>unit</t>
        </is>
      </c>
      <c r="G4" s="14" t="inlineStr">
        <is>
          <t>financial_class</t>
        </is>
      </c>
      <c r="H4" s="14" t="inlineStr">
        <is>
          <t>failure_unit_id</t>
        </is>
      </c>
      <c r="I4" s="14" t="inlineStr">
        <is>
          <t>applicable_pathway_ids</t>
        </is>
      </c>
      <c r="J4" s="14" t="inlineStr">
        <is>
          <t>role_in_loss</t>
        </is>
      </c>
      <c r="K4" s="14" t="inlineStr">
        <is>
          <t>include_in_direct_denominator</t>
        </is>
      </c>
      <c r="L4" s="14" t="inlineStr">
        <is>
          <t>allocation_rule</t>
        </is>
      </c>
      <c r="M4" s="14" t="inlineStr">
        <is>
          <t>double_count_guardrail</t>
        </is>
      </c>
      <c r="N4" s="14" t="inlineStr">
        <is>
          <t>status</t>
        </is>
      </c>
      <c r="O4" s="15" t="inlineStr">
        <is>
          <t>notes</t>
        </is>
      </c>
    </row>
    <row r="5">
      <c r="A5" s="27" t="inlineStr">
        <is>
          <t>SITE_SOV_BOM_APPRAISAL</t>
        </is>
      </c>
      <c r="B5" s="27" t="inlineStr">
        <is>
          <t>site-controlled SOV, BOM, replacement appraisal, one-line, ownership agreement, and insured schedule</t>
        </is>
      </c>
      <c r="C5" s="27" t="inlineStr">
        <is>
          <t>FW_VALUE_HAZUS_GSU_SUBSTATION_ASSEMBLY</t>
        </is>
      </c>
      <c r="D5" s="27" t="inlineStr">
        <is>
          <t>Complete same-facility GSU/substation assembly</t>
        </is>
      </c>
      <c r="E5" s="27" t="str"/>
      <c r="F5" s="27" t="inlineStr">
        <is>
          <t>site_USD_required</t>
        </is>
      </c>
      <c r="G5" s="27" t="inlineStr">
        <is>
          <t>direct_hardware</t>
        </is>
      </c>
      <c r="H5" s="27" t="inlineStr">
        <is>
          <t>FW_HAZUS_GSU_SUBSTATION_ASSEMBLY</t>
        </is>
      </c>
      <c r="I5" s="27" t="inlineStr">
        <is>
          <t>flood_inundation_contact</t>
        </is>
      </c>
      <c r="J5" s="27" t="inlineStr">
        <is>
          <t>direct_vulnerable_value_after_promotion</t>
        </is>
      </c>
      <c r="K5" s="27" t="inlineStr">
        <is>
          <t>true</t>
        </is>
      </c>
      <c r="L5" s="27" t="inlineStr">
        <is>
          <t>Bind DR to the full non-overlapping direct replacement value of one actual facility-level GSU/substation; require value basis/date/currency, quantity one, exposure fraction, owner, project-owned status, and insured inclusion for insured views.</t>
        </is>
      </c>
      <c r="M5" s="27" t="inlineStr">
        <is>
          <t>Mutually exclusive with all six FW_GSU component rows; do not use full project TIV, the 72 USD/kW mixed row, the legacy 9% share, or repeat one facility substation by turbine count.</t>
        </is>
      </c>
      <c r="N5" s="27" t="inlineStr">
        <is>
          <t>required_external_withheld_before_promotion</t>
        </is>
      </c>
      <c r="O5" s="27" t="inlineStr">
        <is>
          <t>Evaluator emits DR; scenario value binding is consumer-side and requires explicit same-substation value and exposure.</t>
        </is>
      </c>
    </row>
    <row r="6">
      <c r="A6" s="29" t="inlineStr">
        <is>
          <t>NREL_CWER_2024</t>
        </is>
      </c>
      <c r="B6" s="29" t="inlineStr">
        <is>
          <t>docs/method/value_basis/solar_wind_value_breakdown.xlsx::Wind_Map!12</t>
        </is>
      </c>
      <c r="C6" s="29" t="inlineStr">
        <is>
          <t>WIND_VALUE_012_ELECTRICAL</t>
        </is>
      </c>
      <c r="D6" s="29" t="inlineStr">
        <is>
          <t>Electrical infrastructure</t>
        </is>
      </c>
      <c r="E6" s="29" t="inlineStr">
        <is>
          <t>72</t>
        </is>
      </c>
      <c r="F6" s="29" t="inlineStr">
        <is>
          <t>2023_USD_per_kW</t>
        </is>
      </c>
      <c r="G6" s="29" t="inlineStr">
        <is>
          <t>mixed_direct_hardware</t>
        </is>
      </c>
      <c r="H6" s="29" t="inlineStr">
        <is>
          <t>FW_ELECTRICAL_ROLLUP_UNSPLIT</t>
        </is>
      </c>
      <c r="I6" s="29" t="inlineStr">
        <is>
          <t>flood_inundation_contact</t>
        </is>
      </c>
      <c r="J6" s="29" t="inlineStr">
        <is>
          <t>split_required</t>
        </is>
      </c>
      <c r="K6" s="29" t="inlineStr">
        <is>
          <t>false</t>
        </is>
      </c>
      <c r="L6" s="29" t="inlineStr">
        <is>
          <t>Split among turbine-base, pad, collection, and substation components using a site/OEM schedule before any component loss.</t>
        </is>
      </c>
      <c r="M6" s="29" t="inlineStr">
        <is>
          <t>Never use as the Hazus assembly denominator; do not add a legacy 9% substation share or repeat one GSU per turbine.</t>
        </is>
      </c>
      <c r="N6" s="29" t="inlineStr">
        <is>
          <t>withheld_split_required</t>
        </is>
      </c>
      <c r="O6" s="29" t="inlineStr">
        <is>
          <t>Reference rollup only.</t>
        </is>
      </c>
    </row>
    <row r="7">
      <c r="A7" s="29" t="inlineStr">
        <is>
          <t>NREL_CWER_2024</t>
        </is>
      </c>
      <c r="B7" s="29" t="inlineStr">
        <is>
          <t>Wind_Map!12</t>
        </is>
      </c>
      <c r="C7" s="29" t="inlineStr">
        <is>
          <t>FW_VALUE_GSU_SWITCHGEAR</t>
        </is>
      </c>
      <c r="D7" s="29" t="inlineStr">
        <is>
          <t>Substation switchgear</t>
        </is>
      </c>
      <c r="E7" s="29" t="str"/>
      <c r="F7" s="29" t="inlineStr">
        <is>
          <t>site_USD_required</t>
        </is>
      </c>
      <c r="G7" s="29" t="inlineStr">
        <is>
          <t>direct_hardware</t>
        </is>
      </c>
      <c r="H7" s="29" t="inlineStr">
        <is>
          <t>FW_GSU_SWITCHGEAR</t>
        </is>
      </c>
      <c r="I7" s="29" t="inlineStr">
        <is>
          <t>flood_inundation_contact</t>
        </is>
      </c>
      <c r="J7" s="29" t="inlineStr">
        <is>
          <t>direct_vulnerable_value</t>
        </is>
      </c>
      <c r="K7" s="29" t="inlineStr">
        <is>
          <t>false</t>
        </is>
      </c>
      <c r="L7" s="29" t="inlineStr">
        <is>
          <t>Site component value and ownership required for a future component record.</t>
        </is>
      </c>
      <c r="M7" s="29" t="inlineStr">
        <is>
          <t>When FW_HAZUS_GSU_SUBSTATION_ASSEMBLY is selected, this component value and response must be excluded; never apply DR to the full 72 USD/kW row or project TIV.</t>
        </is>
      </c>
      <c r="N7" s="29" t="inlineStr">
        <is>
          <t>withheld_value_curve_and_ownership</t>
        </is>
      </c>
      <c r="O7" s="29" t="inlineStr">
        <is>
          <t>No public split and no component runtime curve.</t>
        </is>
      </c>
    </row>
    <row r="8">
      <c r="A8" s="29" t="inlineStr">
        <is>
          <t>NREL_CWER_2024</t>
        </is>
      </c>
      <c r="B8" s="29" t="inlineStr">
        <is>
          <t>Wind_Map!12</t>
        </is>
      </c>
      <c r="C8" s="29" t="inlineStr">
        <is>
          <t>FW_VALUE_GSU_TRANSFORMER_MAIN</t>
        </is>
      </c>
      <c r="D8" s="29" t="inlineStr">
        <is>
          <t>Plant GSU main transformer</t>
        </is>
      </c>
      <c r="E8" s="29" t="str"/>
      <c r="F8" s="29" t="inlineStr">
        <is>
          <t>site_USD_required</t>
        </is>
      </c>
      <c r="G8" s="29" t="inlineStr">
        <is>
          <t>direct_hardware</t>
        </is>
      </c>
      <c r="H8" s="29" t="inlineStr">
        <is>
          <t>FW_GSU_TRANSFORMER_MAIN</t>
        </is>
      </c>
      <c r="I8" s="29" t="inlineStr">
        <is>
          <t>flood_inundation_contact</t>
        </is>
      </c>
      <c r="J8" s="29" t="inlineStr">
        <is>
          <t>direct_vulnerable_value</t>
        </is>
      </c>
      <c r="K8" s="29" t="inlineStr">
        <is>
          <t>false</t>
        </is>
      </c>
      <c r="L8" s="29" t="inlineStr">
        <is>
          <t>Site component value and ownership required for a future component record.</t>
        </is>
      </c>
      <c r="M8" s="29" t="inlineStr">
        <is>
          <t>When FW_HAZUS_GSU_SUBSTATION_ASSEMBLY is selected, exclude this row; do not use control exposure against full transformer value without a dependency-safe state.</t>
        </is>
      </c>
      <c r="N8" s="29" t="inlineStr">
        <is>
          <t>withheld_value_curve_and_ownership</t>
        </is>
      </c>
      <c r="O8" s="29" t="inlineStr">
        <is>
          <t>No public split and no component runtime curve.</t>
        </is>
      </c>
    </row>
    <row r="9">
      <c r="A9" s="29" t="inlineStr">
        <is>
          <t>NREL_CWER_2024</t>
        </is>
      </c>
      <c r="B9" s="29" t="inlineStr">
        <is>
          <t>Wind_Map!12</t>
        </is>
      </c>
      <c r="C9" s="29" t="inlineStr">
        <is>
          <t>FW_VALUE_GSU_TRANSFORMER_AUX</t>
        </is>
      </c>
      <c r="D9" s="29" t="inlineStr">
        <is>
          <t>GSU auxiliaries and controls</t>
        </is>
      </c>
      <c r="E9" s="29" t="str"/>
      <c r="F9" s="29" t="inlineStr">
        <is>
          <t>site_USD_required</t>
        </is>
      </c>
      <c r="G9" s="29" t="inlineStr">
        <is>
          <t>direct_hardware</t>
        </is>
      </c>
      <c r="H9" s="29" t="inlineStr">
        <is>
          <t>FW_GSU_TRANSFORMER_AUX_CONTROLS</t>
        </is>
      </c>
      <c r="I9" s="29" t="inlineStr">
        <is>
          <t>flood_inundation_contact</t>
        </is>
      </c>
      <c r="J9" s="29" t="inlineStr">
        <is>
          <t>direct_vulnerable_value</t>
        </is>
      </c>
      <c r="K9" s="29" t="inlineStr">
        <is>
          <t>false</t>
        </is>
      </c>
      <c r="L9" s="29" t="inlineStr">
        <is>
          <t>Separate SOV/BOM or dependency-safe assembly required for a future component record.</t>
        </is>
      </c>
      <c r="M9" s="29" t="inlineStr">
        <is>
          <t>When FW_HAZUS_GSU_SUBSTATION_ASSEMBLY is selected, exclude this row; never duplicate value inside main transformer and auxiliaries.</t>
        </is>
      </c>
      <c r="N9" s="29" t="inlineStr">
        <is>
          <t>withheld_value_curve_and_ownership</t>
        </is>
      </c>
      <c r="O9" s="29" t="inlineStr">
        <is>
          <t>No public split and no component runtime curve.</t>
        </is>
      </c>
    </row>
    <row r="10">
      <c r="A10" s="29" t="inlineStr">
        <is>
          <t>NREL_CWER_2024</t>
        </is>
      </c>
      <c r="B10" s="29" t="inlineStr">
        <is>
          <t>Wind_Map!12</t>
        </is>
      </c>
      <c r="C10" s="29" t="inlineStr">
        <is>
          <t>FW_VALUE_GSU_PROTECTION</t>
        </is>
      </c>
      <c r="D10" s="29" t="inlineStr">
        <is>
          <t>Protection SCADA and control</t>
        </is>
      </c>
      <c r="E10" s="29" t="str"/>
      <c r="F10" s="29" t="inlineStr">
        <is>
          <t>site_USD_required</t>
        </is>
      </c>
      <c r="G10" s="29" t="inlineStr">
        <is>
          <t>direct_hardware</t>
        </is>
      </c>
      <c r="H10" s="29" t="inlineStr">
        <is>
          <t>FW_GSU_PROTECTION_SCADA</t>
        </is>
      </c>
      <c r="I10" s="29" t="inlineStr">
        <is>
          <t>flood_inundation_contact</t>
        </is>
      </c>
      <c r="J10" s="29" t="inlineStr">
        <is>
          <t>direct_vulnerable_value</t>
        </is>
      </c>
      <c r="K10" s="29" t="inlineStr">
        <is>
          <t>false</t>
        </is>
      </c>
      <c r="L10" s="29" t="inlineStr">
        <is>
          <t>Separate physical equipment value from outage consequence for a future component record.</t>
        </is>
      </c>
      <c r="M10" s="29" t="inlineStr">
        <is>
          <t>When FW_HAZUS_GSU_SUBSTATION_ASSEMBLY is selected, exclude this row; never convert MW outage to value or add plant BI.</t>
        </is>
      </c>
      <c r="N10" s="29" t="inlineStr">
        <is>
          <t>withheld_value_curve_and_ownership</t>
        </is>
      </c>
      <c r="O10" s="29" t="inlineStr">
        <is>
          <t>No public split and no component runtime curve.</t>
        </is>
      </c>
    </row>
    <row r="11">
      <c r="A11" s="29" t="inlineStr">
        <is>
          <t>NREL_CWER_2024</t>
        </is>
      </c>
      <c r="B11" s="29" t="inlineStr">
        <is>
          <t>Wind_Map!12</t>
        </is>
      </c>
      <c r="C11" s="29" t="inlineStr">
        <is>
          <t>FW_VALUE_GSU_STATION_DC</t>
        </is>
      </c>
      <c r="D11" s="29" t="inlineStr">
        <is>
          <t>Station service and DC power</t>
        </is>
      </c>
      <c r="E11" s="29" t="str"/>
      <c r="F11" s="29" t="inlineStr">
        <is>
          <t>site_USD_required</t>
        </is>
      </c>
      <c r="G11" s="29" t="inlineStr">
        <is>
          <t>direct_hardware</t>
        </is>
      </c>
      <c r="H11" s="29" t="inlineStr">
        <is>
          <t>FW_GSU_STATION_SERVICE_DC</t>
        </is>
      </c>
      <c r="I11" s="29" t="inlineStr">
        <is>
          <t>flood_inundation_contact</t>
        </is>
      </c>
      <c r="J11" s="29" t="inlineStr">
        <is>
          <t>direct_vulnerable_value</t>
        </is>
      </c>
      <c r="K11" s="29" t="inlineStr">
        <is>
          <t>false</t>
        </is>
      </c>
      <c r="L11" s="29" t="inlineStr">
        <is>
          <t>Site equipment schedule required for a future component record.</t>
        </is>
      </c>
      <c r="M11" s="29" t="inlineStr">
        <is>
          <t>When FW_HAZUS_GSU_SUBSTATION_ASSEMBLY is selected, exclude this row; never include it twice through protection/control value.</t>
        </is>
      </c>
      <c r="N11" s="29" t="inlineStr">
        <is>
          <t>withheld_value_curve_and_ownership</t>
        </is>
      </c>
      <c r="O11" s="29" t="inlineStr">
        <is>
          <t>No public split and no component runtime curve.</t>
        </is>
      </c>
    </row>
    <row r="12">
      <c r="A12" s="29" t="inlineStr">
        <is>
          <t>NREL_CWER_2024</t>
        </is>
      </c>
      <c r="B12" s="29" t="inlineStr">
        <is>
          <t>Wind_Map!12</t>
        </is>
      </c>
      <c r="C12" s="29" t="inlineStr">
        <is>
          <t>FW_VALUE_GSU_TERMINATIONS</t>
        </is>
      </c>
      <c r="D12" s="29" t="inlineStr">
        <is>
          <t>GSU cable terminations and pathways</t>
        </is>
      </c>
      <c r="E12" s="29" t="str"/>
      <c r="F12" s="29" t="inlineStr">
        <is>
          <t>site_USD_required</t>
        </is>
      </c>
      <c r="G12" s="29" t="inlineStr">
        <is>
          <t>direct_hardware</t>
        </is>
      </c>
      <c r="H12" s="29" t="inlineStr">
        <is>
          <t>FW_GSU_CABLE_TERMINATIONS</t>
        </is>
      </c>
      <c r="I12" s="29" t="inlineStr">
        <is>
          <t>flood_inundation_contact</t>
        </is>
      </c>
      <c r="J12" s="29" t="inlineStr">
        <is>
          <t>direct_vulnerable_value</t>
        </is>
      </c>
      <c r="K12" s="29" t="inlineStr">
        <is>
          <t>false</t>
        </is>
      </c>
      <c r="L12" s="29" t="inlineStr">
        <is>
          <t>Separate cable body, joints, terminations, pull boxes, and conduits for a future component record.</t>
        </is>
      </c>
      <c r="M12" s="29" t="inlineStr">
        <is>
          <t>When FW_HAZUS_GSU_SUBSTATION_ASSEMBLY is selected, exclude this row; never apply a full cable-rollup DR to pathway damage.</t>
        </is>
      </c>
      <c r="N12" s="29" t="inlineStr">
        <is>
          <t>withheld_value_curve_and_ownership</t>
        </is>
      </c>
      <c r="O12" s="29" t="inlineStr">
        <is>
          <t>No public split and no component runtime curve.</t>
        </is>
      </c>
    </row>
    <row r="13">
      <c r="A13" s="29" t="inlineStr">
        <is>
          <t>NREL_CWER_2024</t>
        </is>
      </c>
      <c r="B13" s="29" t="inlineStr">
        <is>
          <t>Wind_Map!12</t>
        </is>
      </c>
      <c r="C13" s="29" t="inlineStr">
        <is>
          <t>FW_VALUE_TURBINE_BASE</t>
        </is>
      </c>
      <c r="D13" s="29" t="inlineStr">
        <is>
          <t>Turbine-base power electronics and switchgear</t>
        </is>
      </c>
      <c r="E13" s="29" t="str"/>
      <c r="F13" s="29" t="inlineStr">
        <is>
          <t>site_USD_required</t>
        </is>
      </c>
      <c r="G13" s="29" t="inlineStr">
        <is>
          <t>direct_hardware</t>
        </is>
      </c>
      <c r="H13" s="29" t="inlineStr">
        <is>
          <t>FW_TURBINE_BASE_ELECTRICAL</t>
        </is>
      </c>
      <c r="I13" s="29" t="inlineStr">
        <is>
          <t>flood_inundation_contact</t>
        </is>
      </c>
      <c r="J13" s="29" t="inlineStr">
        <is>
          <t>direct_vulnerable_value</t>
        </is>
      </c>
      <c r="K13" s="29" t="inlineStr">
        <is>
          <t>false</t>
        </is>
      </c>
      <c r="L13" s="29" t="inlineStr">
        <is>
          <t>Split per turbine/cluster and use local equipment value.</t>
        </is>
      </c>
      <c r="M13" s="29" t="inlineStr">
        <is>
          <t>Do not use solar inverter value, the Hazus facility-substation DR, or the full electrical rollup.</t>
        </is>
      </c>
      <c r="N13" s="29" t="inlineStr">
        <is>
          <t>withheld_split_and_curve_required</t>
        </is>
      </c>
      <c r="O13" s="29" t="inlineStr">
        <is>
          <t>Wind-specific inventory.</t>
        </is>
      </c>
    </row>
    <row r="14">
      <c r="A14" s="29" t="inlineStr">
        <is>
          <t>NREL_CWER_2024</t>
        </is>
      </c>
      <c r="B14" s="29" t="inlineStr">
        <is>
          <t>Wind_Map!12</t>
        </is>
      </c>
      <c r="C14" s="29" t="inlineStr">
        <is>
          <t>FW_VALUE_PAD_TRANSFORMER</t>
        </is>
      </c>
      <c r="D14" s="29" t="inlineStr">
        <is>
          <t>Pad or turbine step-up transformer</t>
        </is>
      </c>
      <c r="E14" s="29" t="str"/>
      <c r="F14" s="29" t="inlineStr">
        <is>
          <t>site_USD_required</t>
        </is>
      </c>
      <c r="G14" s="29" t="inlineStr">
        <is>
          <t>direct_hardware</t>
        </is>
      </c>
      <c r="H14" s="29" t="inlineStr">
        <is>
          <t>FW_PADMOUNT_STEPUP_TRANSFORMER</t>
        </is>
      </c>
      <c r="I14" s="29" t="inlineStr">
        <is>
          <t>flood_inundation_contact</t>
        </is>
      </c>
      <c r="J14" s="29" t="inlineStr">
        <is>
          <t>direct_vulnerable_value</t>
        </is>
      </c>
      <c r="K14" s="29" t="inlineStr">
        <is>
          <t>false</t>
        </is>
      </c>
      <c r="L14" s="29" t="inlineStr">
        <is>
          <t>Split by installed units and ownership.</t>
        </is>
      </c>
      <c r="M14" s="29" t="inlineStr">
        <is>
          <t>Do not include inside turbine equipment and external electrical twice or use the Hazus facility-substation DR.</t>
        </is>
      </c>
      <c r="N14" s="29" t="inlineStr">
        <is>
          <t>withheld_split_and_curve_required</t>
        </is>
      </c>
      <c r="O14" s="29" t="inlineStr">
        <is>
          <t>Wind-specific inventory.</t>
        </is>
      </c>
    </row>
    <row r="15">
      <c r="A15" s="29" t="inlineStr">
        <is>
          <t>NREL_CWER_2024</t>
        </is>
      </c>
      <c r="B15" s="29" t="inlineStr">
        <is>
          <t>Wind_Map!12</t>
        </is>
      </c>
      <c r="C15" s="29" t="inlineStr">
        <is>
          <t>FW_VALUE_COLLECTION_TERMINATIONS</t>
        </is>
      </c>
      <c r="D15" s="29" t="inlineStr">
        <is>
          <t>Wind MV collection cable terminations</t>
        </is>
      </c>
      <c r="E15" s="29" t="str"/>
      <c r="F15" s="29" t="inlineStr">
        <is>
          <t>site_USD_required</t>
        </is>
      </c>
      <c r="G15" s="29" t="inlineStr">
        <is>
          <t>direct_hardware</t>
        </is>
      </c>
      <c r="H15" s="29" t="inlineStr">
        <is>
          <t>FW_COLLECTION_CABLE_TERMINATIONS</t>
        </is>
      </c>
      <c r="I15" s="29" t="inlineStr">
        <is>
          <t>flood_inundation_contact</t>
        </is>
      </c>
      <c r="J15" s="29" t="inlineStr">
        <is>
          <t>direct_vulnerable_value</t>
        </is>
      </c>
      <c r="K15" s="29" t="inlineStr">
        <is>
          <t>false</t>
        </is>
      </c>
      <c r="L15" s="29" t="inlineStr">
        <is>
          <t>Segment/termination schedule and line-network exposure required.</t>
        </is>
      </c>
      <c r="M15" s="29" t="inlineStr">
        <is>
          <t>Do not allocate by turbine count alone or use the Hazus facility-substation DR.</t>
        </is>
      </c>
      <c r="N15" s="29" t="inlineStr">
        <is>
          <t>withheld_split_and_curve_required</t>
        </is>
      </c>
      <c r="O15" s="29" t="inlineStr">
        <is>
          <t>Wind-specific inventory.</t>
        </is>
      </c>
    </row>
    <row r="16">
      <c r="A16" s="29" t="inlineStr">
        <is>
          <t>NREL_CWER_2024</t>
        </is>
      </c>
      <c r="B16" s="29" t="inlineStr">
        <is>
          <t>Wind_Map!10</t>
        </is>
      </c>
      <c r="C16" s="29" t="inlineStr">
        <is>
          <t>WIND_VALUE_010_FOUNDATION</t>
        </is>
      </c>
      <c r="D16" s="29" t="inlineStr">
        <is>
          <t>Foundation</t>
        </is>
      </c>
      <c r="E16" s="29" t="inlineStr">
        <is>
          <t>120</t>
        </is>
      </c>
      <c r="F16" s="29" t="inlineStr">
        <is>
          <t>2023_USD_per_kW</t>
        </is>
      </c>
      <c r="G16" s="29" t="inlineStr">
        <is>
          <t>direct_hardware</t>
        </is>
      </c>
      <c r="H16" s="29" t="inlineStr">
        <is>
          <t>FW_TURBINE_FOUNDATION</t>
        </is>
      </c>
      <c r="I16" s="29" t="inlineStr">
        <is>
          <t>flood_scour_erosion</t>
        </is>
      </c>
      <c r="J16" s="29" t="inlineStr">
        <is>
          <t>withheld_separate_pathway</t>
        </is>
      </c>
      <c r="K16" s="29" t="inlineStr">
        <is>
          <t>false</t>
        </is>
      </c>
      <c r="L16" s="29" t="inlineStr">
        <is>
          <t>Site foundation type/value and hydraulic/geotechnical response required.</t>
        </is>
      </c>
      <c r="M16" s="29" t="inlineStr">
        <is>
          <t>Do not use the Hazus assembly curve, legacy depth logistic, or treat missing response as zero.</t>
        </is>
      </c>
      <c r="N16" s="29" t="inlineStr">
        <is>
          <t>withheld</t>
        </is>
      </c>
      <c r="O16" s="29" t="inlineStr">
        <is>
          <t>Reference value only.</t>
        </is>
      </c>
    </row>
    <row r="17">
      <c r="A17" s="29" t="inlineStr">
        <is>
          <t>NREL_CWER_2024</t>
        </is>
      </c>
      <c r="B17" s="29" t="inlineStr">
        <is>
          <t>Wind_Map!11</t>
        </is>
      </c>
      <c r="C17" s="29" t="inlineStr">
        <is>
          <t>WIND_VALUE_011_CIVIL</t>
        </is>
      </c>
      <c r="D17" s="29" t="inlineStr">
        <is>
          <t>Site access staging and facilities</t>
        </is>
      </c>
      <c r="E17" s="29" t="inlineStr">
        <is>
          <t>47</t>
        </is>
      </c>
      <c r="F17" s="29" t="inlineStr">
        <is>
          <t>2023_USD_per_kW</t>
        </is>
      </c>
      <c r="G17" s="29" t="inlineStr">
        <is>
          <t>mixed_civil</t>
        </is>
      </c>
      <c r="H17" s="29" t="inlineStr">
        <is>
          <t>FW_CIVIL_ACCESS_DRAINAGE</t>
        </is>
      </c>
      <c r="I17" s="29" t="inlineStr">
        <is>
          <t>flood_scour_erosion</t>
        </is>
      </c>
      <c r="J17" s="29" t="inlineStr">
        <is>
          <t>split_required</t>
        </is>
      </c>
      <c r="K17" s="29" t="inlineStr">
        <is>
          <t>false</t>
        </is>
      </c>
      <c r="L17" s="29" t="inlineStr">
        <is>
          <t>Split roads, pads, drainage, buildings, and fences before exposure/value.</t>
        </is>
      </c>
      <c r="M17" s="29" t="inlineStr">
        <is>
          <t>Do not apply one civil depth curve or the Hazus assembly curve to the mixed row.</t>
        </is>
      </c>
      <c r="N17" s="29" t="inlineStr">
        <is>
          <t>withheld</t>
        </is>
      </c>
      <c r="O17" s="29" t="inlineStr">
        <is>
          <t>Reference value only.</t>
        </is>
      </c>
    </row>
    <row r="18">
      <c r="A18" s="29" t="inlineStr">
        <is>
          <t>NREL_CWER_2024</t>
        </is>
      </c>
      <c r="B18" s="29" t="inlineStr">
        <is>
          <t>Wind_Map!2:9</t>
        </is>
      </c>
      <c r="C18" s="29" t="inlineStr">
        <is>
          <t>WT_ELEVATED_EQUIPMENT_TOTAL</t>
        </is>
      </c>
      <c r="D18" s="29" t="inlineStr">
        <is>
          <t>Elevated turbine equipment</t>
        </is>
      </c>
      <c r="E18" s="29" t="inlineStr">
        <is>
          <t>1090</t>
        </is>
      </c>
      <c r="F18" s="29" t="inlineStr">
        <is>
          <t>2023_USD_per_kW</t>
        </is>
      </c>
      <c r="G18" s="29" t="inlineStr">
        <is>
          <t>direct_hardware</t>
        </is>
      </c>
      <c r="H18" s="29" t="inlineStr">
        <is>
          <t>FW_ELEVATED_TURBINE_EQUIPMENT</t>
        </is>
      </c>
      <c r="I18" s="29" t="inlineStr">
        <is>
          <t>flood_inundation_contact</t>
        </is>
      </c>
      <c r="J18" s="29" t="inlineStr">
        <is>
          <t>reconciliation_geometry_screen</t>
        </is>
      </c>
      <c r="K18" s="29" t="inlineStr">
        <is>
          <t>false</t>
        </is>
      </c>
      <c r="L18" s="29" t="inlineStr">
        <is>
          <t>Include only if water reaches a documented vulnerable path/component; otherwise geometry-screened.</t>
        </is>
      </c>
      <c r="M18" s="29" t="inlineStr">
        <is>
          <t>Do not declare universal immunity, use the share as a DR cap, or apply the Hazus facility-substation curve.</t>
        </is>
      </c>
      <c r="N18" s="29" t="inlineStr">
        <is>
          <t>withheld_geometry_dependent</t>
        </is>
      </c>
      <c r="O18" s="29" t="inlineStr">
        <is>
          <t>Rotor nacelle tower/equipment reference rollup.</t>
        </is>
      </c>
    </row>
    <row r="19">
      <c r="A19" s="29" t="inlineStr">
        <is>
          <t>NREL_CWER_2024</t>
        </is>
      </c>
      <c r="B19" s="29" t="inlineStr">
        <is>
          <t>Wind_Map!13</t>
        </is>
      </c>
      <c r="C19" s="29" t="inlineStr">
        <is>
          <t>WIND_VALUE_013_FIELDWORK</t>
        </is>
      </c>
      <c r="D19" s="29" t="inlineStr">
        <is>
          <t>Assembly and installation</t>
        </is>
      </c>
      <c r="E19" s="29" t="inlineStr">
        <is>
          <t>100</t>
        </is>
      </c>
      <c r="F19" s="29" t="inlineStr">
        <is>
          <t>2023_USD_per_kW</t>
        </is>
      </c>
      <c r="G19" s="29" t="inlineStr">
        <is>
          <t>support_logistics</t>
        </is>
      </c>
      <c r="H19" s="29" t="inlineStr">
        <is>
          <t>SUPPORT_FIELDWORK</t>
        </is>
      </c>
      <c r="I19" s="29" t="inlineStr">
        <is>
          <t>all_shared</t>
        </is>
      </c>
      <c r="J19" s="29" t="inlineStr">
        <is>
          <t>support_once</t>
        </is>
      </c>
      <c r="K19" s="29" t="inlineStr">
        <is>
          <t>false</t>
        </is>
      </c>
      <c r="L19" s="29" t="inlineStr">
        <is>
          <t>Allocate once after qualified repair scope and only under a reviewed consumer value policy.</t>
        </is>
      </c>
      <c r="M19" s="29" t="inlineStr">
        <is>
          <t>No independent fragility, automatic proportional add-on, or duplication inside assembly replacement value.</t>
        </is>
      </c>
      <c r="N19" s="29" t="inlineStr">
        <is>
          <t>mapped_support_rule_open</t>
        </is>
      </c>
      <c r="O19" s="29" t="inlineStr">
        <is>
          <t>Reference only.</t>
        </is>
      </c>
    </row>
    <row r="20">
      <c r="A20" s="29" t="inlineStr">
        <is>
          <t>NREL_CWER_2024</t>
        </is>
      </c>
      <c r="B20" s="29" t="inlineStr">
        <is>
          <t>Wind_Map!14</t>
        </is>
      </c>
      <c r="C20" s="29" t="inlineStr">
        <is>
          <t>WIND_VALUE_014_TRANSPORT</t>
        </is>
      </c>
      <c r="D20" s="29" t="inlineStr">
        <is>
          <t>Wind turbine transport</t>
        </is>
      </c>
      <c r="E20" s="29" t="inlineStr">
        <is>
          <t>194</t>
        </is>
      </c>
      <c r="F20" s="29" t="inlineStr">
        <is>
          <t>2023_USD_per_kW</t>
        </is>
      </c>
      <c r="G20" s="29" t="inlineStr">
        <is>
          <t>support_logistics</t>
        </is>
      </c>
      <c r="H20" s="29" t="inlineStr">
        <is>
          <t>SUPPORT_TRANSPORT_LOGISTICS</t>
        </is>
      </c>
      <c r="I20" s="29" t="inlineStr">
        <is>
          <t>all_shared</t>
        </is>
      </c>
      <c r="J20" s="29" t="inlineStr">
        <is>
          <t>support_once</t>
        </is>
      </c>
      <c r="K20" s="29" t="inlineStr">
        <is>
          <t>false</t>
        </is>
      </c>
      <c r="L20" s="29" t="inlineStr">
        <is>
          <t>Allocate once when replacement and logistics require it and only under a reviewed consumer value policy.</t>
        </is>
      </c>
      <c r="M20" s="29" t="inlineStr">
        <is>
          <t>Do not include in the intrinsic DR denominator, add it again, or assume wind-turbine transport applies to substation repair.</t>
        </is>
      </c>
      <c r="N20" s="29" t="inlineStr">
        <is>
          <t>mapped_support_rule_open</t>
        </is>
      </c>
      <c r="O20" s="29" t="inlineStr">
        <is>
          <t>Reference only.</t>
        </is>
      </c>
    </row>
    <row r="21">
      <c r="A21" s="29" t="inlineStr">
        <is>
          <t>SUMMARY</t>
        </is>
      </c>
      <c r="B21" s="29" t="inlineStr">
        <is>
          <t>Wind_Map!2:14</t>
        </is>
      </c>
      <c r="C21" s="29" t="inlineStr">
        <is>
          <t>PHYSICAL_REFERENCE_TOTAL</t>
        </is>
      </c>
      <c r="D21" s="29" t="inlineStr">
        <is>
          <t>Physical reference basis</t>
        </is>
      </c>
      <c r="E21" s="29" t="inlineStr">
        <is>
          <t>1623</t>
        </is>
      </c>
      <c r="F21" s="29" t="inlineStr">
        <is>
          <t>2023_USD_per_kW</t>
        </is>
      </c>
      <c r="G21" s="29" t="inlineStr">
        <is>
          <t>reconciliation</t>
        </is>
      </c>
      <c r="H21" s="29" t="inlineStr">
        <is>
          <t>REFERENCE_DENOMINATOR_ONLY</t>
        </is>
      </c>
      <c r="I21" s="29" t="inlineStr">
        <is>
          <t>all_shared</t>
        </is>
      </c>
      <c r="J21" s="29" t="inlineStr">
        <is>
          <t>reference</t>
        </is>
      </c>
      <c r="K21" s="29" t="inlineStr">
        <is>
          <t>false</t>
        </is>
      </c>
      <c r="L21" s="29" t="inlineStr">
        <is>
          <t>1090 equipment + 120 foundation + 47 civil + 72 electrical + 294 support.</t>
        </is>
      </c>
      <c r="M21" s="29" t="inlineStr">
        <is>
          <t>No pooled physical-base DR and no Hazus assembly denominator.</t>
        </is>
      </c>
      <c r="N21" s="29" t="inlineStr">
        <is>
          <t>reconciled</t>
        </is>
      </c>
      <c r="O21" s="29" t="inlineStr">
        <is>
          <t>Reference reporting denominator only.</t>
        </is>
      </c>
    </row>
    <row r="22">
      <c r="A22" s="29" t="inlineStr">
        <is>
          <t>SUMMARY</t>
        </is>
      </c>
      <c r="B22" s="29" t="inlineStr">
        <is>
          <t>Wind_Map!15:19</t>
        </is>
      </c>
      <c r="C22" s="29" t="inlineStr">
        <is>
          <t>EXCLUDED_TOTAL</t>
        </is>
      </c>
      <c r="D22" s="29" t="inlineStr">
        <is>
          <t>Excluded soft sunk nonphysical</t>
        </is>
      </c>
      <c r="E22" s="29" t="inlineStr">
        <is>
          <t>345</t>
        </is>
      </c>
      <c r="F22" s="29" t="inlineStr">
        <is>
          <t>2023_USD_per_kW</t>
        </is>
      </c>
      <c r="G22" s="29" t="inlineStr">
        <is>
          <t>reconciliation</t>
        </is>
      </c>
      <c r="H22" s="29" t="inlineStr">
        <is>
          <t>OUTSIDE_PHYSICAL_CELL</t>
        </is>
      </c>
      <c r="I22" s="29" t="inlineStr">
        <is>
          <t>all_shared</t>
        </is>
      </c>
      <c r="J22" s="29" t="inlineStr">
        <is>
          <t>excluded</t>
        </is>
      </c>
      <c r="K22" s="29" t="inlineStr">
        <is>
          <t>false</t>
        </is>
      </c>
      <c r="L22" s="29" t="inlineStr">
        <is>
          <t>Exclude from direct physical destruction by default.</t>
        </is>
      </c>
      <c r="M22" s="29" t="inlineStr">
        <is>
          <t>Do not reintroduce through damage or support scaling.</t>
        </is>
      </c>
      <c r="N22" s="29" t="inlineStr">
        <is>
          <t>reconciled</t>
        </is>
      </c>
      <c r="O22" s="29" t="inlineStr">
        <is>
          <t>Installed minus physical.</t>
        </is>
      </c>
    </row>
    <row r="23">
      <c r="A23" s="30" t="inlineStr">
        <is>
          <t>SUMMARY</t>
        </is>
      </c>
      <c r="B23" s="30" t="inlineStr">
        <is>
          <t>Wind_Map!2:19</t>
        </is>
      </c>
      <c r="C23" s="30" t="inlineStr">
        <is>
          <t>INSTALLED_REFERENCE_TOTAL</t>
        </is>
      </c>
      <c r="D23" s="30" t="inlineStr">
        <is>
          <t>Installed reference basis</t>
        </is>
      </c>
      <c r="E23" s="30" t="inlineStr">
        <is>
          <t>1968</t>
        </is>
      </c>
      <c r="F23" s="30" t="inlineStr">
        <is>
          <t>2023_USD_per_kW</t>
        </is>
      </c>
      <c r="G23" s="30" t="inlineStr">
        <is>
          <t>reconciliation</t>
        </is>
      </c>
      <c r="H23" s="30" t="inlineStr">
        <is>
          <t>REFERENCE_REPORTING_DENOMINATOR</t>
        </is>
      </c>
      <c r="I23" s="30" t="inlineStr">
        <is>
          <t>all_shared</t>
        </is>
      </c>
      <c r="J23" s="30" t="inlineStr">
        <is>
          <t>reference</t>
        </is>
      </c>
      <c r="K23" s="30" t="inlineStr">
        <is>
          <t>false</t>
        </is>
      </c>
      <c r="L23" s="30" t="inlineStr">
        <is>
          <t>Reference reporting denominator only.</t>
        </is>
      </c>
      <c r="M23" s="30" t="inlineStr">
        <is>
          <t>No implicit full-TIV curve, Hazus assembly denominator, or scenario loss.</t>
        </is>
      </c>
      <c r="N23" s="30" t="inlineStr">
        <is>
          <t>reconciled</t>
        </is>
      </c>
      <c r="O23" s="30" t="inlineStr">
        <is>
          <t>Physical 1623 plus excluded 345.</t>
        </is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28" customWidth="1" style="16" min="1" max="1"/>
    <col width="28" customWidth="1" style="16" min="2" max="2"/>
    <col width="28" customWidth="1" style="16" min="3" max="3"/>
    <col width="28" customWidth="1" style="16" min="4" max="4"/>
    <col width="28" customWidth="1" style="16" min="5" max="5"/>
    <col width="28" customWidth="1" style="16" min="6" max="6"/>
    <col width="28" customWidth="1" style="16" min="7" max="7"/>
    <col width="28" customWidth="1" style="16" min="8" max="8"/>
    <col width="28" customWidth="1" style="16" min="9" max="9"/>
    <col width="28" customWidth="1" style="16" min="10" max="10"/>
    <col width="28" customWidth="1" style="16" min="11" max="11"/>
    <col width="28" customWidth="1" style="16" min="12" max="12"/>
    <col width="28" customWidth="1" style="16" min="13" max="13"/>
    <col width="28" customWidth="1" style="16" min="14" max="14"/>
  </cols>
  <sheetData>
    <row r="1" ht="26" customHeight="1" s="16">
      <c r="A1" s="2" t="inlineStr">
        <is>
          <t>Old versus new</t>
        </is>
      </c>
    </row>
    <row r="2" ht="22" customHeight="1" s="16">
      <c r="A2" s="4" t="inlineStr">
        <is>
          <t>The change is partial numerical coverage, not canonical admission or a whole-wind-farm model</t>
        </is>
      </c>
    </row>
    <row r="3"/>
    <row r="4">
      <c r="A4" s="13" t="inlineStr">
        <is>
          <t>comparison_id</t>
        </is>
      </c>
      <c r="B4" s="14" t="inlineStr">
        <is>
          <t>request_case</t>
        </is>
      </c>
      <c r="C4" s="14" t="inlineStr">
        <is>
          <t>flood_depth_above_substation_grade_ft</t>
        </is>
      </c>
      <c r="D4" s="14" t="inlineStr">
        <is>
          <t>substation_hazus_class</t>
        </is>
      </c>
      <c r="E4" s="14" t="inlineStr">
        <is>
          <t>water_quality_class</t>
        </is>
      </c>
      <c r="F4" s="14" t="inlineStr">
        <is>
          <t>delivered_depth_basis</t>
        </is>
      </c>
      <c r="G4" s="14" t="inlineStr">
        <is>
          <t>source_assumption_set_id</t>
        </is>
      </c>
      <c r="H4" s="14" t="inlineStr">
        <is>
          <t>model_v0_1_runtime_assembly_dr</t>
        </is>
      </c>
      <c r="I4" s="14" t="inlineStr">
        <is>
          <t>model_v1_runtime_status</t>
        </is>
      </c>
      <c r="J4" s="14" t="inlineStr">
        <is>
          <t>model_v1_runtime_assembly_dr</t>
        </is>
      </c>
      <c r="K4" s="14" t="inlineStr">
        <is>
          <t>legacy_hazard_substation_bucket_curve_dr</t>
        </is>
      </c>
      <c r="L4" s="14" t="inlineStr">
        <is>
          <t>legacy_hazard_full_tiv_contribution_at_9pct</t>
        </is>
      </c>
      <c r="M4" s="14" t="inlineStr">
        <is>
          <t>axis_and_denominator_comparability</t>
        </is>
      </c>
      <c r="N4" s="15" t="inlineStr">
        <is>
          <t>comparison_disposition</t>
        </is>
      </c>
    </row>
    <row r="5">
      <c r="A5" s="27" t="inlineStr">
        <is>
          <t>FW-CMP-000</t>
        </is>
      </c>
      <c r="B5" s="27" t="inlineStr">
        <is>
          <t>source_knot_0_ft</t>
        </is>
      </c>
      <c r="C5" s="27" t="inlineStr">
        <is>
          <t>0</t>
        </is>
      </c>
      <c r="D5" s="27" t="inlineStr">
        <is>
          <t>ESSL</t>
        </is>
      </c>
      <c r="E5" s="27" t="inlineStr">
        <is>
          <t>freshwater_non_contaminated</t>
        </is>
      </c>
      <c r="F5" s="27" t="inlineStr">
        <is>
          <t>unprotected_or_internal_post_bypass_depth</t>
        </is>
      </c>
      <c r="G5" s="27" t="inlineStr">
        <is>
          <t>FEMA_HAZUS_MH_2_1_TABLE_7_9_UNPROTECTED_SUBSTATION</t>
        </is>
      </c>
      <c r="H5" s="27" t="str"/>
      <c r="I5" s="27" t="inlineStr">
        <is>
          <t>conditional</t>
        </is>
      </c>
      <c r="J5" s="27" t="inlineStr">
        <is>
          <t>0.000000000000</t>
        </is>
      </c>
      <c r="K5" s="27" t="inlineStr">
        <is>
          <t>0.000000000000</t>
        </is>
      </c>
      <c r="L5" s="27" t="inlineStr">
        <is>
          <t>0.000000000000</t>
        </is>
      </c>
      <c r="M5" s="27" t="inlineStr">
        <is>
          <t>Depth is illustratively alignable in feet, but v1 is a whole-substation source atom and the legacy value is a fixed project-TIV bucket.</t>
        </is>
      </c>
      <c r="N5" s="27" t="inlineStr">
        <is>
          <t>v0.1 null is the behavioral baseline; exact v1 knot is a KAT; legacy output is audit-only.</t>
        </is>
      </c>
    </row>
    <row r="6">
      <c r="A6" s="29" t="inlineStr">
        <is>
          <t>FW-CMP-001</t>
        </is>
      </c>
      <c r="B6" s="29" t="inlineStr">
        <is>
          <t>source_knot_1_ft</t>
        </is>
      </c>
      <c r="C6" s="29" t="inlineStr">
        <is>
          <t>1</t>
        </is>
      </c>
      <c r="D6" s="29" t="inlineStr">
        <is>
          <t>ESSL</t>
        </is>
      </c>
      <c r="E6" s="29" t="inlineStr">
        <is>
          <t>freshwater_non_contaminated</t>
        </is>
      </c>
      <c r="F6" s="29" t="inlineStr">
        <is>
          <t>unprotected_or_internal_post_bypass_depth</t>
        </is>
      </c>
      <c r="G6" s="29" t="inlineStr">
        <is>
          <t>FEMA_HAZUS_MH_2_1_TABLE_7_9_UNPROTECTED_SUBSTATION</t>
        </is>
      </c>
      <c r="H6" s="29" t="str"/>
      <c r="I6" s="29" t="inlineStr">
        <is>
          <t>conditional</t>
        </is>
      </c>
      <c r="J6" s="29" t="inlineStr">
        <is>
          <t>0.020000000000</t>
        </is>
      </c>
      <c r="K6" s="29" t="inlineStr">
        <is>
          <t>0.189736630470</t>
        </is>
      </c>
      <c r="L6" s="29" t="inlineStr">
        <is>
          <t>0.017076296742</t>
        </is>
      </c>
      <c r="M6" s="29" t="inlineStr">
        <is>
          <t>Same illustrative depth unit; response grain, formula, and denominator differ.</t>
        </is>
      </c>
      <c r="N6" s="29" t="inlineStr">
        <is>
          <t>Do not calibrate v1 to the legacy curve or compare numerical magnitude as regression equality.</t>
        </is>
      </c>
    </row>
    <row r="7">
      <c r="A7" s="29" t="inlineStr">
        <is>
          <t>FW-CMP-002</t>
        </is>
      </c>
      <c r="B7" s="29" t="inlineStr">
        <is>
          <t>source_knot_2_ft</t>
        </is>
      </c>
      <c r="C7" s="29" t="inlineStr">
        <is>
          <t>2</t>
        </is>
      </c>
      <c r="D7" s="29" t="inlineStr">
        <is>
          <t>ESSL</t>
        </is>
      </c>
      <c r="E7" s="29" t="inlineStr">
        <is>
          <t>freshwater_non_contaminated</t>
        </is>
      </c>
      <c r="F7" s="29" t="inlineStr">
        <is>
          <t>unprotected_or_internal_post_bypass_depth</t>
        </is>
      </c>
      <c r="G7" s="29" t="inlineStr">
        <is>
          <t>FEMA_HAZUS_MH_2_1_TABLE_7_9_UNPROTECTED_SUBSTATION</t>
        </is>
      </c>
      <c r="H7" s="29" t="str"/>
      <c r="I7" s="29" t="inlineStr">
        <is>
          <t>conditional</t>
        </is>
      </c>
      <c r="J7" s="29" t="inlineStr">
        <is>
          <t>0.040000000000</t>
        </is>
      </c>
      <c r="K7" s="29" t="inlineStr">
        <is>
          <t>0.716606366701</t>
        </is>
      </c>
      <c r="L7" s="29" t="inlineStr">
        <is>
          <t>0.064494573003</t>
        </is>
      </c>
      <c r="M7" s="29" t="inlineStr">
        <is>
          <t>Same illustrative depth unit; response grain, formula, and denominator differ.</t>
        </is>
      </c>
      <c r="N7" s="29" t="inlineStr">
        <is>
          <t>Exact v1 source knot; legacy output is audit-only.</t>
        </is>
      </c>
    </row>
    <row r="8">
      <c r="A8" s="29" t="inlineStr">
        <is>
          <t>FW-CMP-003</t>
        </is>
      </c>
      <c r="B8" s="29" t="inlineStr">
        <is>
          <t>source_knot_3_ft</t>
        </is>
      </c>
      <c r="C8" s="29" t="inlineStr">
        <is>
          <t>3</t>
        </is>
      </c>
      <c r="D8" s="29" t="inlineStr">
        <is>
          <t>ESSM</t>
        </is>
      </c>
      <c r="E8" s="29" t="inlineStr">
        <is>
          <t>freshwater_non_contaminated</t>
        </is>
      </c>
      <c r="F8" s="29" t="inlineStr">
        <is>
          <t>unprotected_or_internal_post_bypass_depth</t>
        </is>
      </c>
      <c r="G8" s="29" t="inlineStr">
        <is>
          <t>FEMA_HAZUS_MH_2_1_TABLE_7_9_UNPROTECTED_SUBSTATION</t>
        </is>
      </c>
      <c r="H8" s="29" t="str"/>
      <c r="I8" s="29" t="inlineStr">
        <is>
          <t>conditional</t>
        </is>
      </c>
      <c r="J8" s="29" t="inlineStr">
        <is>
          <t>0.060000000000</t>
        </is>
      </c>
      <c r="K8" s="29" t="inlineStr">
        <is>
          <t>0.906342997171</t>
        </is>
      </c>
      <c r="L8" s="29" t="inlineStr">
        <is>
          <t>0.081570869745</t>
        </is>
      </c>
      <c r="M8" s="29" t="inlineStr">
        <is>
          <t>Same illustrative depth unit; response grain, formula, and denominator differ.</t>
        </is>
      </c>
      <c r="N8" s="29" t="inlineStr">
        <is>
          <t>ESSM equals the other Hazus classes only within Table 7.9; legacy output is not a class-specific comparator.</t>
        </is>
      </c>
    </row>
    <row r="9">
      <c r="A9" s="29" t="inlineStr">
        <is>
          <t>FW-CMP-004</t>
        </is>
      </c>
      <c r="B9" s="29" t="inlineStr">
        <is>
          <t>source_knot_4_ft</t>
        </is>
      </c>
      <c r="C9" s="29" t="inlineStr">
        <is>
          <t>4</t>
        </is>
      </c>
      <c r="D9" s="29" t="inlineStr">
        <is>
          <t>ESSM</t>
        </is>
      </c>
      <c r="E9" s="29" t="inlineStr">
        <is>
          <t>freshwater_non_contaminated</t>
        </is>
      </c>
      <c r="F9" s="29" t="inlineStr">
        <is>
          <t>unprotected_or_internal_post_bypass_depth</t>
        </is>
      </c>
      <c r="G9" s="29" t="inlineStr">
        <is>
          <t>FEMA_HAZUS_MH_2_1_TABLE_7_9_UNPROTECTED_SUBSTATION</t>
        </is>
      </c>
      <c r="H9" s="29" t="str"/>
      <c r="I9" s="29" t="inlineStr">
        <is>
          <t>conditional</t>
        </is>
      </c>
      <c r="J9" s="29" t="inlineStr">
        <is>
          <t>0.070000000000</t>
        </is>
      </c>
      <c r="K9" s="29" t="inlineStr">
        <is>
          <t>0.926341100655</t>
        </is>
      </c>
      <c r="L9" s="29" t="inlineStr">
        <is>
          <t>0.083370699059</t>
        </is>
      </c>
      <c r="M9" s="29" t="inlineStr">
        <is>
          <t>Same illustrative depth unit; v1 direct physical substation DR is not the legacy functionality threshold or full-TIV bucket.</t>
        </is>
      </c>
      <c r="N9" s="29" t="inlineStr">
        <is>
          <t>Four-foot source functionality context does not alter the v1 direct-cost curve.</t>
        </is>
      </c>
    </row>
    <row r="10">
      <c r="A10" s="29" t="inlineStr">
        <is>
          <t>FW-CMP-005</t>
        </is>
      </c>
      <c r="B10" s="29" t="inlineStr">
        <is>
          <t>source_knot_5_ft</t>
        </is>
      </c>
      <c r="C10" s="29" t="inlineStr">
        <is>
          <t>5</t>
        </is>
      </c>
      <c r="D10" s="29" t="inlineStr">
        <is>
          <t>ESSM</t>
        </is>
      </c>
      <c r="E10" s="29" t="inlineStr">
        <is>
          <t>freshwater_non_contaminated</t>
        </is>
      </c>
      <c r="F10" s="29" t="inlineStr">
        <is>
          <t>unprotected_or_internal_post_bypass_depth</t>
        </is>
      </c>
      <c r="G10" s="29" t="inlineStr">
        <is>
          <t>FEMA_HAZUS_MH_2_1_TABLE_7_9_UNPROTECTED_SUBSTATION</t>
        </is>
      </c>
      <c r="H10" s="29" t="str"/>
      <c r="I10" s="29" t="inlineStr">
        <is>
          <t>conditional</t>
        </is>
      </c>
      <c r="J10" s="29" t="inlineStr">
        <is>
          <t>0.080000000000</t>
        </is>
      </c>
      <c r="K10" s="29" t="inlineStr">
        <is>
          <t>0.928020984177</t>
        </is>
      </c>
      <c r="L10" s="29" t="inlineStr">
        <is>
          <t>0.083521888576</t>
        </is>
      </c>
      <c r="M10" s="29" t="inlineStr">
        <is>
          <t>Same illustrative depth unit; response grain, formula, and denominator differ.</t>
        </is>
      </c>
      <c r="N10" s="29" t="inlineStr">
        <is>
          <t>Exact v1 source knot; legacy saturation behavior is not a target.</t>
        </is>
      </c>
    </row>
    <row r="11">
      <c r="A11" s="29" t="inlineStr">
        <is>
          <t>FW-CMP-006</t>
        </is>
      </c>
      <c r="B11" s="29" t="inlineStr">
        <is>
          <t>source_knot_6_ft</t>
        </is>
      </c>
      <c r="C11" s="29" t="inlineStr">
        <is>
          <t>6</t>
        </is>
      </c>
      <c r="D11" s="29" t="inlineStr">
        <is>
          <t>ESSH</t>
        </is>
      </c>
      <c r="E11" s="29" t="inlineStr">
        <is>
          <t>freshwater_non_contaminated</t>
        </is>
      </c>
      <c r="F11" s="29" t="inlineStr">
        <is>
          <t>unprotected_or_internal_post_bypass_depth</t>
        </is>
      </c>
      <c r="G11" s="29" t="inlineStr">
        <is>
          <t>FEMA_HAZUS_MH_2_1_TABLE_7_9_UNPROTECTED_SUBSTATION</t>
        </is>
      </c>
      <c r="H11" s="29" t="str"/>
      <c r="I11" s="29" t="inlineStr">
        <is>
          <t>conditional</t>
        </is>
      </c>
      <c r="J11" s="29" t="inlineStr">
        <is>
          <t>0.090000000000</t>
        </is>
      </c>
      <c r="K11" s="29" t="inlineStr">
        <is>
          <t>0.928159141813</t>
        </is>
      </c>
      <c r="L11" s="29" t="inlineStr">
        <is>
          <t>0.083534322763</t>
        </is>
      </c>
      <c r="M11" s="29" t="inlineStr">
        <is>
          <t>Same illustrative depth unit; response grain, formula, and denominator differ.</t>
        </is>
      </c>
      <c r="N11" s="29" t="inlineStr">
        <is>
          <t>Exact v1 source knot; legacy output is audit-only.</t>
        </is>
      </c>
    </row>
    <row r="12">
      <c r="A12" s="29" t="inlineStr">
        <is>
          <t>FW-CMP-007</t>
        </is>
      </c>
      <c r="B12" s="29" t="inlineStr">
        <is>
          <t>source_knot_7_ft</t>
        </is>
      </c>
      <c r="C12" s="29" t="inlineStr">
        <is>
          <t>7</t>
        </is>
      </c>
      <c r="D12" s="29" t="inlineStr">
        <is>
          <t>ESSH</t>
        </is>
      </c>
      <c r="E12" s="29" t="inlineStr">
        <is>
          <t>freshwater_non_contaminated</t>
        </is>
      </c>
      <c r="F12" s="29" t="inlineStr">
        <is>
          <t>unprotected_or_internal_post_bypass_depth</t>
        </is>
      </c>
      <c r="G12" s="29" t="inlineStr">
        <is>
          <t>FEMA_HAZUS_MH_2_1_TABLE_7_9_UNPROTECTED_SUBSTATION</t>
        </is>
      </c>
      <c r="H12" s="29" t="str"/>
      <c r="I12" s="29" t="inlineStr">
        <is>
          <t>conditional</t>
        </is>
      </c>
      <c r="J12" s="29" t="inlineStr">
        <is>
          <t>0.100000000000</t>
        </is>
      </c>
      <c r="K12" s="29" t="inlineStr">
        <is>
          <t>0.928170484268</t>
        </is>
      </c>
      <c r="L12" s="29" t="inlineStr">
        <is>
          <t>0.083535343584</t>
        </is>
      </c>
      <c r="M12" s="29" t="inlineStr">
        <is>
          <t>Same illustrative depth unit; response grain, formula, and denominator differ.</t>
        </is>
      </c>
      <c r="N12" s="29" t="inlineStr">
        <is>
          <t>Exact v1 source knot; legacy output is audit-only.</t>
        </is>
      </c>
    </row>
    <row r="13">
      <c r="A13" s="29" t="inlineStr">
        <is>
          <t>FW-CMP-008</t>
        </is>
      </c>
      <c r="B13" s="29" t="inlineStr">
        <is>
          <t>source_knot_8_ft</t>
        </is>
      </c>
      <c r="C13" s="29" t="inlineStr">
        <is>
          <t>8</t>
        </is>
      </c>
      <c r="D13" s="29" t="inlineStr">
        <is>
          <t>ESSL</t>
        </is>
      </c>
      <c r="E13" s="29" t="inlineStr">
        <is>
          <t>freshwater_non_contaminated</t>
        </is>
      </c>
      <c r="F13" s="29" t="inlineStr">
        <is>
          <t>unprotected_or_internal_post_bypass_depth</t>
        </is>
      </c>
      <c r="G13" s="29" t="inlineStr">
        <is>
          <t>FEMA_HAZUS_MH_2_1_TABLE_7_9_UNPROTECTED_SUBSTATION</t>
        </is>
      </c>
      <c r="H13" s="29" t="str"/>
      <c r="I13" s="29" t="inlineStr">
        <is>
          <t>conditional</t>
        </is>
      </c>
      <c r="J13" s="29" t="inlineStr">
        <is>
          <t>0.120000000000</t>
        </is>
      </c>
      <c r="K13" s="29" t="inlineStr">
        <is>
          <t>0.928171415325</t>
        </is>
      </c>
      <c r="L13" s="29" t="inlineStr">
        <is>
          <t>0.083535427379</t>
        </is>
      </c>
      <c r="M13" s="29" t="inlineStr">
        <is>
          <t>Same illustrative depth unit; response grain, formula, and denominator differ.</t>
        </is>
      </c>
      <c r="N13" s="29" t="inlineStr">
        <is>
          <t>Exact v1 source knot; legacy output is audit-only.</t>
        </is>
      </c>
    </row>
    <row r="14">
      <c r="A14" s="29" t="inlineStr">
        <is>
          <t>FW-CMP-009</t>
        </is>
      </c>
      <c r="B14" s="29" t="inlineStr">
        <is>
          <t>source_knot_9_ft</t>
        </is>
      </c>
      <c r="C14" s="29" t="inlineStr">
        <is>
          <t>9</t>
        </is>
      </c>
      <c r="D14" s="29" t="inlineStr">
        <is>
          <t>ESSM</t>
        </is>
      </c>
      <c r="E14" s="29" t="inlineStr">
        <is>
          <t>freshwater_non_contaminated</t>
        </is>
      </c>
      <c r="F14" s="29" t="inlineStr">
        <is>
          <t>unprotected_or_internal_post_bypass_depth</t>
        </is>
      </c>
      <c r="G14" s="29" t="inlineStr">
        <is>
          <t>FEMA_HAZUS_MH_2_1_TABLE_7_9_UNPROTECTED_SUBSTATION</t>
        </is>
      </c>
      <c r="H14" s="29" t="str"/>
      <c r="I14" s="29" t="inlineStr">
        <is>
          <t>conditional</t>
        </is>
      </c>
      <c r="J14" s="29" t="inlineStr">
        <is>
          <t>0.140000000000</t>
        </is>
      </c>
      <c r="K14" s="29" t="inlineStr">
        <is>
          <t>0.928171491751</t>
        </is>
      </c>
      <c r="L14" s="29" t="inlineStr">
        <is>
          <t>0.083535434258</t>
        </is>
      </c>
      <c r="M14" s="29" t="inlineStr">
        <is>
          <t>Same illustrative depth unit; response grain, formula, and denominator differ.</t>
        </is>
      </c>
      <c r="N14" s="29" t="inlineStr">
        <is>
          <t>Exact v1 source knot; legacy output is audit-only.</t>
        </is>
      </c>
    </row>
    <row r="15">
      <c r="A15" s="29" t="inlineStr">
        <is>
          <t>FW-CMP-010</t>
        </is>
      </c>
      <c r="B15" s="29" t="inlineStr">
        <is>
          <t>source_knot_10_ft</t>
        </is>
      </c>
      <c r="C15" s="29" t="inlineStr">
        <is>
          <t>10</t>
        </is>
      </c>
      <c r="D15" s="29" t="inlineStr">
        <is>
          <t>ESSH</t>
        </is>
      </c>
      <c r="E15" s="29" t="inlineStr">
        <is>
          <t>freshwater_non_contaminated</t>
        </is>
      </c>
      <c r="F15" s="29" t="inlineStr">
        <is>
          <t>unprotected_or_internal_post_bypass_depth</t>
        </is>
      </c>
      <c r="G15" s="29" t="inlineStr">
        <is>
          <t>FEMA_HAZUS_MH_2_1_TABLE_7_9_UNPROTECTED_SUBSTATION</t>
        </is>
      </c>
      <c r="H15" s="29" t="str"/>
      <c r="I15" s="29" t="inlineStr">
        <is>
          <t>conditional</t>
        </is>
      </c>
      <c r="J15" s="29" t="inlineStr">
        <is>
          <t>0.150000000000</t>
        </is>
      </c>
      <c r="K15" s="29" t="inlineStr">
        <is>
          <t>0.928171498024</t>
        </is>
      </c>
      <c r="L15" s="29" t="inlineStr">
        <is>
          <t>0.083535434822</t>
        </is>
      </c>
      <c r="M15" s="29" t="inlineStr">
        <is>
          <t>Same illustrative depth unit; response grain, formula, and denominator differ.</t>
        </is>
      </c>
      <c r="N15" s="29" t="inlineStr">
        <is>
          <t>Exact upper v1 boundary; do not extend it with the legacy tail.</t>
        </is>
      </c>
    </row>
    <row r="16">
      <c r="A16" s="29" t="inlineStr">
        <is>
          <t>FW-CMP-011</t>
        </is>
      </c>
      <c r="B16" s="29" t="inlineStr">
        <is>
          <t>above_source_range</t>
        </is>
      </c>
      <c r="C16" s="29" t="inlineStr">
        <is>
          <t>10.1</t>
        </is>
      </c>
      <c r="D16" s="29" t="inlineStr">
        <is>
          <t>ESSL</t>
        </is>
      </c>
      <c r="E16" s="29" t="inlineStr">
        <is>
          <t>freshwater_non_contaminated</t>
        </is>
      </c>
      <c r="F16" s="29" t="inlineStr">
        <is>
          <t>unprotected_or_internal_post_bypass_depth</t>
        </is>
      </c>
      <c r="G16" s="29" t="inlineStr">
        <is>
          <t>FEMA_HAZUS_MH_2_1_TABLE_7_9_UNPROTECTED_SUBSTATION</t>
        </is>
      </c>
      <c r="H16" s="29" t="str"/>
      <c r="I16" s="29" t="inlineStr">
        <is>
          <t>withheld_ABOVE_SOURCE_VALID_RANGE</t>
        </is>
      </c>
      <c r="J16" s="29" t="str"/>
      <c r="K16" s="29" t="str"/>
      <c r="L16" s="29" t="str"/>
      <c r="M16" s="29" t="inlineStr">
        <is>
          <t>V1 has no source support above 10 ft; legacy formula/denominator remain incomparable.</t>
        </is>
      </c>
      <c r="N16" s="29" t="inlineStr">
        <is>
          <t>Withhold; do not clamp, extrapolate, or fall back to the legacy curve.</t>
        </is>
      </c>
    </row>
    <row r="17">
      <c r="A17" s="29" t="inlineStr">
        <is>
          <t>FW-CMP-012</t>
        </is>
      </c>
      <c r="B17" s="29" t="inlineStr">
        <is>
          <t>negative_direct_depth</t>
        </is>
      </c>
      <c r="C17" s="29" t="inlineStr">
        <is>
          <t>-0.1</t>
        </is>
      </c>
      <c r="D17" s="29" t="inlineStr">
        <is>
          <t>ESSL</t>
        </is>
      </c>
      <c r="E17" s="29" t="inlineStr">
        <is>
          <t>freshwater_non_contaminated</t>
        </is>
      </c>
      <c r="F17" s="29" t="inlineStr">
        <is>
          <t>unprotected_or_internal_post_bypass_depth</t>
        </is>
      </c>
      <c r="G17" s="29" t="inlineStr">
        <is>
          <t>FEMA_HAZUS_MH_2_1_TABLE_7_9_UNPROTECTED_SUBSTATION</t>
        </is>
      </c>
      <c r="H17" s="29" t="str"/>
      <c r="I17" s="29" t="inlineStr">
        <is>
          <t>reject_AXIS_OUTSIDE_VALID_RANGE</t>
        </is>
      </c>
      <c r="J17" s="29" t="str"/>
      <c r="K17" s="29" t="str"/>
      <c r="L17" s="29" t="str"/>
      <c r="M17" s="29" t="inlineStr">
        <is>
          <t>Negative delivered depth is invalid rather than a dry-state proxy.</t>
        </is>
      </c>
      <c r="N17" s="29" t="inlineStr">
        <is>
          <t>Reject; do not floor to zero.</t>
        </is>
      </c>
    </row>
    <row r="18">
      <c r="A18" s="29" t="inlineStr">
        <is>
          <t>FW-CMP-013</t>
        </is>
      </c>
      <c r="B18" s="29" t="inlineStr">
        <is>
          <t>unsupported_recognized_water</t>
        </is>
      </c>
      <c r="C18" s="29" t="inlineStr">
        <is>
          <t>5</t>
        </is>
      </c>
      <c r="D18" s="29" t="inlineStr">
        <is>
          <t>ESSL</t>
        </is>
      </c>
      <c r="E18" s="29" t="inlineStr">
        <is>
          <t>saltwater</t>
        </is>
      </c>
      <c r="F18" s="29" t="inlineStr">
        <is>
          <t>unprotected_or_internal_post_bypass_depth</t>
        </is>
      </c>
      <c r="G18" s="29" t="inlineStr">
        <is>
          <t>FEMA_HAZUS_MH_2_1_TABLE_7_9_UNPROTECTED_SUBSTATION</t>
        </is>
      </c>
      <c r="H18" s="29" t="str"/>
      <c r="I18" s="29" t="inlineStr">
        <is>
          <t>withheld_WATER_QUALITY_OUTSIDE_SCREENING_DOMAIN</t>
        </is>
      </c>
      <c r="J18" s="29" t="str"/>
      <c r="K18" s="29" t="inlineStr">
        <is>
          <t>0.928020984177</t>
        </is>
      </c>
      <c r="L18" s="29" t="inlineStr">
        <is>
          <t>0.083521888576</t>
        </is>
      </c>
      <c r="M18" s="29" t="inlineStr">
        <is>
          <t>The legacy implementation lacks the governed water-quality gate and has a different denominator.</t>
        </is>
      </c>
      <c r="N18" s="29" t="inlineStr">
        <is>
          <t>Withhold; never use the legacy numeric as fallback.</t>
        </is>
      </c>
    </row>
    <row r="19">
      <c r="A19" s="29" t="inlineStr">
        <is>
          <t>FW-CMP-014</t>
        </is>
      </c>
      <c r="B19" s="29" t="inlineStr">
        <is>
          <t>unknown_water_enum</t>
        </is>
      </c>
      <c r="C19" s="29" t="inlineStr">
        <is>
          <t>5</t>
        </is>
      </c>
      <c r="D19" s="29" t="inlineStr">
        <is>
          <t>ESSL</t>
        </is>
      </c>
      <c r="E19" s="29" t="inlineStr">
        <is>
          <t>seawater</t>
        </is>
      </c>
      <c r="F19" s="29" t="inlineStr">
        <is>
          <t>unprotected_or_internal_post_bypass_depth</t>
        </is>
      </c>
      <c r="G19" s="29" t="inlineStr">
        <is>
          <t>FEMA_HAZUS_MH_2_1_TABLE_7_9_UNPROTECTED_SUBSTATION</t>
        </is>
      </c>
      <c r="H19" s="29" t="str"/>
      <c r="I19" s="29" t="inlineStr">
        <is>
          <t>reject_WATER_QUALITY_CLASS_UNKNOWN</t>
        </is>
      </c>
      <c r="J19" s="29" t="str"/>
      <c r="K19" s="29" t="inlineStr">
        <is>
          <t>0.928020984177</t>
        </is>
      </c>
      <c r="L19" s="29" t="inlineStr">
        <is>
          <t>0.083521888576</t>
        </is>
      </c>
      <c r="M19" s="29" t="inlineStr">
        <is>
          <t>The request enum is invalid and the old curve did not enforce this contract.</t>
        </is>
      </c>
      <c r="N19" s="29" t="inlineStr">
        <is>
          <t>Reject and correct metadata.</t>
        </is>
      </c>
    </row>
    <row r="20">
      <c r="A20" s="29" t="inlineStr">
        <is>
          <t>FW-CMP-015</t>
        </is>
      </c>
      <c r="B20" s="29" t="inlineStr">
        <is>
          <t>unsupported_depth_basis</t>
        </is>
      </c>
      <c r="C20" s="29" t="inlineStr">
        <is>
          <t>5</t>
        </is>
      </c>
      <c r="D20" s="29" t="inlineStr">
        <is>
          <t>ESSL</t>
        </is>
      </c>
      <c r="E20" s="29" t="inlineStr">
        <is>
          <t>freshwater_non_contaminated</t>
        </is>
      </c>
      <c r="F20" s="29" t="inlineStr">
        <is>
          <t>external_grade_depth_before_protection</t>
        </is>
      </c>
      <c r="G20" s="29" t="inlineStr">
        <is>
          <t>FEMA_HAZUS_MH_2_1_TABLE_7_9_UNPROTECTED_SUBSTATION</t>
        </is>
      </c>
      <c r="H20" s="29" t="str"/>
      <c r="I20" s="29" t="inlineStr">
        <is>
          <t>reject_DELIVERED_DEPTH_BASIS_UNSUPPORTED</t>
        </is>
      </c>
      <c r="J20" s="29" t="str"/>
      <c r="K20" s="29" t="inlineStr">
        <is>
          <t>0.928020984177</t>
        </is>
      </c>
      <c r="L20" s="29" t="inlineStr">
        <is>
          <t>0.083521888576</t>
        </is>
      </c>
      <c r="M20" s="29" t="inlineStr">
        <is>
          <t>External pre-protection depth is not equivalent to the delivered internal basis; legacy behavior is incomparable.</t>
        </is>
      </c>
      <c r="N20" s="29" t="inlineStr">
        <is>
          <t>Reject; resolve protection once upstream.</t>
        </is>
      </c>
    </row>
    <row r="21">
      <c r="A21" s="29" t="inlineStr">
        <is>
          <t>FW-CMP-016</t>
        </is>
      </c>
      <c r="B21" s="29" t="inlineStr">
        <is>
          <t>unsupported_source_class</t>
        </is>
      </c>
      <c r="C21" s="29" t="inlineStr">
        <is>
          <t>5</t>
        </is>
      </c>
      <c r="D21" s="29" t="inlineStr">
        <is>
          <t>UNKNOWN</t>
        </is>
      </c>
      <c r="E21" s="29" t="inlineStr">
        <is>
          <t>freshwater_non_contaminated</t>
        </is>
      </c>
      <c r="F21" s="29" t="inlineStr">
        <is>
          <t>unprotected_or_internal_post_bypass_depth</t>
        </is>
      </c>
      <c r="G21" s="29" t="inlineStr">
        <is>
          <t>FEMA_HAZUS_MH_2_1_TABLE_7_9_UNPROTECTED_SUBSTATION</t>
        </is>
      </c>
      <c r="H21" s="29" t="str"/>
      <c r="I21" s="29" t="inlineStr">
        <is>
          <t>reject_SUBSTATION_HAZUS_CLASS_UNSUPPORTED</t>
        </is>
      </c>
      <c r="J21" s="29" t="str"/>
      <c r="K21" s="29" t="inlineStr">
        <is>
          <t>0.928020984177</t>
        </is>
      </c>
      <c r="L21" s="29" t="inlineStr">
        <is>
          <t>0.083521888576</t>
        </is>
      </c>
      <c r="M21" s="29" t="inlineStr">
        <is>
          <t>The source requires an exact class while the legacy curve used no such selector.</t>
        </is>
      </c>
      <c r="N21" s="29" t="inlineStr">
        <is>
          <t>Reject; do not default a favorable class.</t>
        </is>
      </c>
    </row>
    <row r="22">
      <c r="A22" s="29" t="inlineStr">
        <is>
          <t>FW-CMP-017</t>
        </is>
      </c>
      <c r="B22" s="29" t="inlineStr">
        <is>
          <t>unsupported_assumption_set</t>
        </is>
      </c>
      <c r="C22" s="29" t="inlineStr">
        <is>
          <t>5</t>
        </is>
      </c>
      <c r="D22" s="29" t="inlineStr">
        <is>
          <t>ESSL</t>
        </is>
      </c>
      <c r="E22" s="29" t="inlineStr">
        <is>
          <t>freshwater_non_contaminated</t>
        </is>
      </c>
      <c r="F22" s="29" t="inlineStr">
        <is>
          <t>unprotected_or_internal_post_bypass_depth</t>
        </is>
      </c>
      <c r="G22" s="29" t="inlineStr">
        <is>
          <t>UNACKNOWLEDGED</t>
        </is>
      </c>
      <c r="H22" s="29" t="str"/>
      <c r="I22" s="29" t="inlineStr">
        <is>
          <t>reject_SOURCE_ASSUMPTION_SET_UNSUPPORTED</t>
        </is>
      </c>
      <c r="J22" s="29" t="str"/>
      <c r="K22" s="29" t="inlineStr">
        <is>
          <t>0.928020984177</t>
        </is>
      </c>
      <c r="L22" s="29" t="inlineStr">
        <is>
          <t>0.083521888576</t>
        </is>
      </c>
      <c r="M22" s="29" t="inlineStr">
        <is>
          <t>The v1 source assumptions are explicit; the legacy curve did not preserve them.</t>
        </is>
      </c>
      <c r="N22" s="29" t="inlineStr">
        <is>
          <t>Reject; do not silently acknowledge the legacy FEMA atom.</t>
        </is>
      </c>
    </row>
    <row r="23">
      <c r="A23" s="29" t="inlineStr">
        <is>
          <t>FW-CMP-018</t>
        </is>
      </c>
      <c r="B23" s="29" t="inlineStr">
        <is>
          <t>ambiguous_axis_payload</t>
        </is>
      </c>
      <c r="C23" s="29" t="inlineStr">
        <is>
          <t>5</t>
        </is>
      </c>
      <c r="D23" s="29" t="inlineStr">
        <is>
          <t>ESSL</t>
        </is>
      </c>
      <c r="E23" s="29" t="inlineStr">
        <is>
          <t>freshwater_non_contaminated</t>
        </is>
      </c>
      <c r="F23" s="29" t="inlineStr">
        <is>
          <t>unprotected_or_internal_post_bypass_depth</t>
        </is>
      </c>
      <c r="G23" s="29" t="inlineStr">
        <is>
          <t>FEMA_HAZUS_MH_2_1_TABLE_7_9_UNPROTECTED_SUBSTATION</t>
        </is>
      </c>
      <c r="H23" s="29" t="str"/>
      <c r="I23" s="29" t="inlineStr">
        <is>
          <t>reject_AXIS_PAYLOAD_AMBIGUOUS</t>
        </is>
      </c>
      <c r="J23" s="29" t="str"/>
      <c r="K23" s="29" t="str"/>
      <c r="L23" s="29" t="str"/>
      <c r="M23" s="29" t="inlineStr">
        <is>
          <t>This case additionally supplies WSE/grade bridge fields, so two payload modes conflict.</t>
        </is>
      </c>
      <c r="N23" s="29" t="inlineStr">
        <is>
          <t>Reject; retain exactly one axis payload.</t>
        </is>
      </c>
    </row>
    <row r="24">
      <c r="A24" s="30" t="inlineStr">
        <is>
          <t>FW-CMP-019</t>
        </is>
      </c>
      <c r="B24" s="30" t="inlineStr">
        <is>
          <t>component_failure_unit</t>
        </is>
      </c>
      <c r="C24" s="30" t="inlineStr">
        <is>
          <t>5</t>
        </is>
      </c>
      <c r="D24" s="30" t="inlineStr">
        <is>
          <t>ESSL</t>
        </is>
      </c>
      <c r="E24" s="30" t="inlineStr">
        <is>
          <t>freshwater_non_contaminated</t>
        </is>
      </c>
      <c r="F24" s="30" t="inlineStr">
        <is>
          <t>unprotected_or_internal_post_bypass_depth</t>
        </is>
      </c>
      <c r="G24" s="30" t="inlineStr">
        <is>
          <t>FEMA_HAZUS_MH_2_1_TABLE_7_9_UNPROTECTED_SUBSTATION</t>
        </is>
      </c>
      <c r="H24" s="30" t="str"/>
      <c r="I24" s="30" t="inlineStr">
        <is>
          <t>withheld_NO_RUNTIME_CURVE_FOR_PATHWAY_UNIT</t>
        </is>
      </c>
      <c r="J24" s="30" t="str"/>
      <c r="K24" s="30" t="inlineStr">
        <is>
          <t>0.928020984177</t>
        </is>
      </c>
      <c r="L24" s="30" t="inlineStr">
        <is>
          <t>0.083521888576</t>
        </is>
      </c>
      <c r="M24" s="30" t="inlineStr">
        <is>
          <t>The v1 curve is a mutually exclusive whole-substation atom; the legacy bucket is not a component curve.</t>
        </is>
      </c>
      <c r="N24" s="30" t="inlineStr">
        <is>
          <t>Withhold component DR; do not decompose or copy the assembly response.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1"/>
  <sheetViews>
    <sheetView showGridLines="0" workbookViewId="0">
      <selection activeCell="A1" sqref="A1"/>
    </sheetView>
  </sheetViews>
  <sheetFormatPr baseColWidth="8" defaultRowHeight="15"/>
  <cols>
    <col width="34" customWidth="1" style="16" min="1" max="1"/>
    <col width="16" customWidth="1" style="16" min="2" max="2"/>
    <col width="90" customWidth="1" style="16" min="3" max="3"/>
    <col width="20" customWidth="1" style="16" min="4" max="4"/>
    <col width="18" customWidth="1" style="16" min="5" max="5"/>
    <col width="48" customWidth="1" style="16" min="6" max="6"/>
    <col width="22" customWidth="1" style="16" min="7" max="7"/>
    <col width="18" customWidth="1" style="16" min="8" max="8"/>
  </cols>
  <sheetData>
    <row r="1" ht="26" customHeight="1" s="16">
      <c r="A1" s="2" t="inlineStr">
        <is>
          <t>Known-answer and fail-closed test inventory</t>
        </is>
      </c>
    </row>
    <row r="2" ht="22" customHeight="1" s="16">
      <c r="A2" s="4" t="inlineStr">
        <is>
          <t>The Python validator executes these fixtures through the reference evaluator</t>
        </is>
      </c>
    </row>
    <row r="3"/>
    <row r="4">
      <c r="A4" s="13" t="inlineStr">
        <is>
          <t>Test ID</t>
        </is>
      </c>
      <c r="B4" s="14" t="inlineStr">
        <is>
          <t>Class</t>
        </is>
      </c>
      <c r="C4" s="14" t="inlineStr">
        <is>
          <t>Input</t>
        </is>
      </c>
      <c r="D4" s="14" t="inlineStr">
        <is>
          <t>Expected status</t>
        </is>
      </c>
      <c r="E4" s="14" t="inlineStr">
        <is>
          <t>Expected DR</t>
        </is>
      </c>
      <c r="F4" s="14" t="inlineStr">
        <is>
          <t>Curve / reason</t>
        </is>
      </c>
      <c r="G4" s="15" t="inlineStr">
        <is>
          <t>Execution</t>
        </is>
      </c>
      <c r="H4" s="55" t="inlineStr">
        <is>
          <t>Row complete?</t>
        </is>
      </c>
    </row>
    <row r="5">
      <c r="A5" s="27" t="inlineStr">
        <is>
          <t>FW_HAZUS_KNOT_00FT</t>
        </is>
      </c>
      <c r="B5" s="27" t="inlineStr">
        <is>
          <t>formula</t>
        </is>
      </c>
      <c r="C5" s="27" t="inlineStr">
        <is>
          <t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0}</t>
        </is>
      </c>
      <c r="D5" s="27" t="inlineStr">
        <is>
          <t>conditional</t>
        </is>
      </c>
      <c r="E5" s="27" t="n">
        <v>0</v>
      </c>
      <c r="F5" s="27" t="inlineStr">
        <is>
          <t>FW_HAZUS_2_1_SUBSTATION_SCREENING_PWL</t>
        </is>
      </c>
      <c r="G5" s="27" t="inlineStr">
        <is>
          <t>executed externally</t>
        </is>
      </c>
      <c r="H5" s="27">
        <f>IF(AND(A5&lt;&gt;"",D5&lt;&gt;"",F5&lt;&gt;""),"PASS","FAIL")</f>
        <v/>
      </c>
    </row>
    <row r="6">
      <c r="A6" s="29" t="inlineStr">
        <is>
          <t>FW_HAZUS_KNOT_01FT</t>
        </is>
      </c>
      <c r="B6" s="29" t="inlineStr">
        <is>
          <t>formula</t>
        </is>
      </c>
      <c r="C6" s="29" t="inlineStr">
        <is>
          <t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1}</t>
        </is>
      </c>
      <c r="D6" s="29" t="inlineStr">
        <is>
          <t>conditional</t>
        </is>
      </c>
      <c r="E6" s="29" t="n">
        <v>0.02</v>
      </c>
      <c r="F6" s="29" t="inlineStr">
        <is>
          <t>FW_HAZUS_2_1_SUBSTATION_SCREENING_PWL</t>
        </is>
      </c>
      <c r="G6" s="29" t="inlineStr">
        <is>
          <t>executed externally</t>
        </is>
      </c>
      <c r="H6" s="29">
        <f>IF(AND(A6&lt;&gt;"",D6&lt;&gt;"",F6&lt;&gt;""),"PASS","FAIL")</f>
        <v/>
      </c>
    </row>
    <row r="7">
      <c r="A7" s="29" t="inlineStr">
        <is>
          <t>FW_HAZUS_KNOT_02FT</t>
        </is>
      </c>
      <c r="B7" s="29" t="inlineStr">
        <is>
          <t>formula</t>
        </is>
      </c>
      <c r="C7" s="29" t="inlineStr">
        <is>
          <t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flood_depth_above_substation_grade_ft":2}</t>
        </is>
      </c>
      <c r="D7" s="29" t="inlineStr">
        <is>
          <t>conditional</t>
        </is>
      </c>
      <c r="E7" s="29" t="n">
        <v>0.04</v>
      </c>
      <c r="F7" s="29" t="inlineStr">
        <is>
          <t>FW_HAZUS_2_1_SUBSTATION_SCREENING_PWL</t>
        </is>
      </c>
      <c r="G7" s="29" t="inlineStr">
        <is>
          <t>executed externally</t>
        </is>
      </c>
      <c r="H7" s="29">
        <f>IF(AND(A7&lt;&gt;"",D7&lt;&gt;"",F7&lt;&gt;""),"PASS","FAIL")</f>
        <v/>
      </c>
    </row>
    <row r="8">
      <c r="A8" s="29" t="inlineStr">
        <is>
          <t>FW_HAZUS_KNOT_03FT</t>
        </is>
      </c>
      <c r="B8" s="29" t="inlineStr">
        <is>
          <t>formula</t>
        </is>
      </c>
      <c r="C8" s="29" t="inlineStr">
        <is>
          <t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3}</t>
        </is>
      </c>
      <c r="D8" s="29" t="inlineStr">
        <is>
          <t>conditional</t>
        </is>
      </c>
      <c r="E8" s="29" t="n">
        <v>0.06</v>
      </c>
      <c r="F8" s="29" t="inlineStr">
        <is>
          <t>FW_HAZUS_2_1_SUBSTATION_SCREENING_PWL</t>
        </is>
      </c>
      <c r="G8" s="29" t="inlineStr">
        <is>
          <t>executed externally</t>
        </is>
      </c>
      <c r="H8" s="29">
        <f>IF(AND(A8&lt;&gt;"",D8&lt;&gt;"",F8&lt;&gt;""),"PASS","FAIL")</f>
        <v/>
      </c>
    </row>
    <row r="9">
      <c r="A9" s="29" t="inlineStr">
        <is>
          <t>FW_HAZUS_KNOT_04FT</t>
        </is>
      </c>
      <c r="B9" s="29" t="inlineStr">
        <is>
          <t>formula</t>
        </is>
      </c>
      <c r="C9" s="29" t="inlineStr">
        <is>
          <t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4}</t>
        </is>
      </c>
      <c r="D9" s="29" t="inlineStr">
        <is>
          <t>conditional</t>
        </is>
      </c>
      <c r="E9" s="29" t="n">
        <v>0.07000000000000001</v>
      </c>
      <c r="F9" s="29" t="inlineStr">
        <is>
          <t>FW_HAZUS_2_1_SUBSTATION_SCREENING_PWL</t>
        </is>
      </c>
      <c r="G9" s="29" t="inlineStr">
        <is>
          <t>executed externally</t>
        </is>
      </c>
      <c r="H9" s="29">
        <f>IF(AND(A9&lt;&gt;"",D9&lt;&gt;"",F9&lt;&gt;""),"PASS","FAIL")</f>
        <v/>
      </c>
    </row>
    <row r="10">
      <c r="A10" s="29" t="inlineStr">
        <is>
          <t>FW_HAZUS_KNOT_05FT</t>
        </is>
      </c>
      <c r="B10" s="29" t="inlineStr">
        <is>
          <t>formula</t>
        </is>
      </c>
      <c r="C10" s="29" t="inlineStr">
        <is>
          <t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flood_depth_above_substation_grade_ft":5}</t>
        </is>
      </c>
      <c r="D10" s="29" t="inlineStr">
        <is>
          <t>conditional</t>
        </is>
      </c>
      <c r="E10" s="29" t="n">
        <v>0.08</v>
      </c>
      <c r="F10" s="29" t="inlineStr">
        <is>
          <t>FW_HAZUS_2_1_SUBSTATION_SCREENING_PWL</t>
        </is>
      </c>
      <c r="G10" s="29" t="inlineStr">
        <is>
          <t>executed externally</t>
        </is>
      </c>
      <c r="H10" s="29">
        <f>IF(AND(A10&lt;&gt;"",D10&lt;&gt;"",F10&lt;&gt;""),"PASS","FAIL")</f>
        <v/>
      </c>
    </row>
    <row r="11">
      <c r="A11" s="29" t="inlineStr">
        <is>
          <t>FW_HAZUS_KNOT_06FT</t>
        </is>
      </c>
      <c r="B11" s="29" t="inlineStr">
        <is>
          <t>formula</t>
        </is>
      </c>
      <c r="C11" s="29" t="inlineStr">
        <is>
          <t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6}</t>
        </is>
      </c>
      <c r="D11" s="29" t="inlineStr">
        <is>
          <t>conditional</t>
        </is>
      </c>
      <c r="E11" s="29" t="n">
        <v>0.09</v>
      </c>
      <c r="F11" s="29" t="inlineStr">
        <is>
          <t>FW_HAZUS_2_1_SUBSTATION_SCREENING_PWL</t>
        </is>
      </c>
      <c r="G11" s="29" t="inlineStr">
        <is>
          <t>executed externally</t>
        </is>
      </c>
      <c r="H11" s="29">
        <f>IF(AND(A11&lt;&gt;"",D11&lt;&gt;"",F11&lt;&gt;""),"PASS","FAIL")</f>
        <v/>
      </c>
    </row>
    <row r="12">
      <c r="A12" s="29" t="inlineStr">
        <is>
          <t>FW_HAZUS_KNOT_07FT</t>
        </is>
      </c>
      <c r="B12" s="29" t="inlineStr">
        <is>
          <t>formula</t>
        </is>
      </c>
      <c r="C12" s="29" t="inlineStr">
        <is>
          <t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7}</t>
        </is>
      </c>
      <c r="D12" s="29" t="inlineStr">
        <is>
          <t>conditional</t>
        </is>
      </c>
      <c r="E12" s="29" t="n">
        <v>0.1</v>
      </c>
      <c r="F12" s="29" t="inlineStr">
        <is>
          <t>FW_HAZUS_2_1_SUBSTATION_SCREENING_PWL</t>
        </is>
      </c>
      <c r="G12" s="29" t="inlineStr">
        <is>
          <t>executed externally</t>
        </is>
      </c>
      <c r="H12" s="29">
        <f>IF(AND(A12&lt;&gt;"",D12&lt;&gt;"",F12&lt;&gt;""),"PASS","FAIL")</f>
        <v/>
      </c>
    </row>
    <row r="13">
      <c r="A13" s="29" t="inlineStr">
        <is>
          <t>FW_HAZUS_KNOT_08FT</t>
        </is>
      </c>
      <c r="B13" s="29" t="inlineStr">
        <is>
          <t>formula</t>
        </is>
      </c>
      <c r="C13" s="29" t="inlineStr">
        <is>
          <t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flood_depth_above_substation_grade_ft":8}</t>
        </is>
      </c>
      <c r="D13" s="29" t="inlineStr">
        <is>
          <t>conditional</t>
        </is>
      </c>
      <c r="E13" s="29" t="n">
        <v>0.12</v>
      </c>
      <c r="F13" s="29" t="inlineStr">
        <is>
          <t>FW_HAZUS_2_1_SUBSTATION_SCREENING_PWL</t>
        </is>
      </c>
      <c r="G13" s="29" t="inlineStr">
        <is>
          <t>executed externally</t>
        </is>
      </c>
      <c r="H13" s="29">
        <f>IF(AND(A13&lt;&gt;"",D13&lt;&gt;"",F13&lt;&gt;""),"PASS","FAIL")</f>
        <v/>
      </c>
    </row>
    <row r="14">
      <c r="A14" s="29" t="inlineStr">
        <is>
          <t>FW_HAZUS_KNOT_09FT</t>
        </is>
      </c>
      <c r="B14" s="29" t="inlineStr">
        <is>
          <t>formula</t>
        </is>
      </c>
      <c r="C14" s="29" t="inlineStr">
        <is>
          <t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9}</t>
        </is>
      </c>
      <c r="D14" s="29" t="inlineStr">
        <is>
          <t>conditional</t>
        </is>
      </c>
      <c r="E14" s="29" t="n">
        <v>0.14</v>
      </c>
      <c r="F14" s="29" t="inlineStr">
        <is>
          <t>FW_HAZUS_2_1_SUBSTATION_SCREENING_PWL</t>
        </is>
      </c>
      <c r="G14" s="29" t="inlineStr">
        <is>
          <t>executed externally</t>
        </is>
      </c>
      <c r="H14" s="29">
        <f>IF(AND(A14&lt;&gt;"",D14&lt;&gt;"",F14&lt;&gt;""),"PASS","FAIL")</f>
        <v/>
      </c>
    </row>
    <row r="15">
      <c r="A15" s="29" t="inlineStr">
        <is>
          <t>FW_HAZUS_KNOT_10FT</t>
        </is>
      </c>
      <c r="B15" s="29" t="inlineStr">
        <is>
          <t>formula</t>
        </is>
      </c>
      <c r="C15" s="29" t="inlineStr">
        <is>
          <t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10}</t>
        </is>
      </c>
      <c r="D15" s="29" t="inlineStr">
        <is>
          <t>conditional</t>
        </is>
      </c>
      <c r="E15" s="29" t="n">
        <v>0.15</v>
      </c>
      <c r="F15" s="29" t="inlineStr">
        <is>
          <t>FW_HAZUS_2_1_SUBSTATION_SCREENING_PWL</t>
        </is>
      </c>
      <c r="G15" s="29" t="inlineStr">
        <is>
          <t>executed externally</t>
        </is>
      </c>
      <c r="H15" s="29">
        <f>IF(AND(A15&lt;&gt;"",D15&lt;&gt;"",F15&lt;&gt;""),"PASS","FAIL")</f>
        <v/>
      </c>
    </row>
    <row r="16">
      <c r="A16" s="29" t="inlineStr">
        <is>
          <t>FW_HAZUS_INTERPOLATE_0P5FT</t>
        </is>
      </c>
      <c r="B16" s="29" t="inlineStr">
        <is>
          <t>formula</t>
        </is>
      </c>
      <c r="C16" s="29" t="inlineStr">
        <is>
          <t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0.5}</t>
        </is>
      </c>
      <c r="D16" s="29" t="inlineStr">
        <is>
          <t>conditional</t>
        </is>
      </c>
      <c r="E16" s="29" t="n">
        <v>0.01</v>
      </c>
      <c r="F16" s="29" t="inlineStr">
        <is>
          <t>FW_HAZUS_2_1_SUBSTATION_SCREENING_PWL</t>
        </is>
      </c>
      <c r="G16" s="29" t="inlineStr">
        <is>
          <t>executed externally</t>
        </is>
      </c>
      <c r="H16" s="29">
        <f>IF(AND(A16&lt;&gt;"",D16&lt;&gt;"",F16&lt;&gt;""),"PASS","FAIL")</f>
        <v/>
      </c>
    </row>
    <row r="17">
      <c r="A17" s="29" t="inlineStr">
        <is>
          <t>FW_HAZUS_INTERPOLATE_7P5FT</t>
        </is>
      </c>
      <c r="B17" s="29" t="inlineStr">
        <is>
          <t>formula</t>
        </is>
      </c>
      <c r="C17" s="29" t="inlineStr">
        <is>
          <t>{"pathway_id":"flood_inundation_contact","failure_unit_id":"FW_HAZUS_GSU_SUBSTATION_ASSEMBLY","substation_hazus_class":"ESSM","source_assumption_set_id":"FEMA_HAZUS_MH_2_1_TABLE_7_9_UNPROTECTED_SUBSTATION","water_quality_class":"freshwater_non_contaminated","delivered_depth_basis":"unprotected_or_internal_post_bypass_depth","flood_depth_above_substation_grade_ft":7.5}</t>
        </is>
      </c>
      <c r="D17" s="29" t="inlineStr">
        <is>
          <t>conditional</t>
        </is>
      </c>
      <c r="E17" s="29" t="n">
        <v>0.11</v>
      </c>
      <c r="F17" s="29" t="inlineStr">
        <is>
          <t>FW_HAZUS_2_1_SUBSTATION_SCREENING_PWL</t>
        </is>
      </c>
      <c r="G17" s="29" t="inlineStr">
        <is>
          <t>executed externally</t>
        </is>
      </c>
      <c r="H17" s="29">
        <f>IF(AND(A17&lt;&gt;"",D17&lt;&gt;"",F17&lt;&gt;""),"PASS","FAIL")</f>
        <v/>
      </c>
    </row>
    <row r="18">
      <c r="A18" s="29" t="inlineStr">
        <is>
          <t>FW_HAZUS_INTERPOLATE_9P5FT</t>
        </is>
      </c>
      <c r="B18" s="29" t="inlineStr">
        <is>
          <t>formula</t>
        </is>
      </c>
      <c r="C18" s="29" t="inlineStr">
        <is>
          <t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flood_depth_above_substation_grade_ft":9.5}</t>
        </is>
      </c>
      <c r="D18" s="29" t="inlineStr">
        <is>
          <t>conditional</t>
        </is>
      </c>
      <c r="E18" s="29" t="n">
        <v>0.145</v>
      </c>
      <c r="F18" s="29" t="inlineStr">
        <is>
          <t>FW_HAZUS_2_1_SUBSTATION_SCREENING_PWL</t>
        </is>
      </c>
      <c r="G18" s="29" t="inlineStr">
        <is>
          <t>executed externally</t>
        </is>
      </c>
      <c r="H18" s="29">
        <f>IF(AND(A18&lt;&gt;"",D18&lt;&gt;"",F18&lt;&gt;""),"PASS","FAIL")</f>
        <v/>
      </c>
    </row>
    <row r="19">
      <c r="A19" s="29" t="inlineStr">
        <is>
          <t>FW_HAZUS_WSE_BRIDGE_EXACT_1FT</t>
        </is>
      </c>
      <c r="B19" s="29" t="inlineStr">
        <is>
          <t>formula</t>
        </is>
      </c>
      <c r="C19" s="29" t="inlineStr">
        <is>
          <t>{"pathway_id":"flood_inundation_contact","failure_unit_id":"FW_HAZUS_GSU_SUBSTATION_ASSEMBLY","substation_hazus_class":"ESSH","source_assumption_set_id":"FEMA_HAZUS_MH_2_1_TABLE_7_9_UNPROTECTED_SUBSTATION","water_quality_class":"freshwater_non_contaminated","delivered_depth_basis":"unprotected_or_internal_post_bypass_depth","water_surface_elevation_m":100.3048,"substation_grade_elevation_m":100,"water_surface_vertical_datum_id":"NAVD88","substation_grade_vertical_datum_id":"NAVD88"}</t>
        </is>
      </c>
      <c r="D19" s="29" t="inlineStr">
        <is>
          <t>conditional</t>
        </is>
      </c>
      <c r="E19" s="29" t="n">
        <v>0.02</v>
      </c>
      <c r="F19" s="29" t="inlineStr">
        <is>
          <t>FW_HAZUS_2_1_SUBSTATION_SCREENING_PWL</t>
        </is>
      </c>
      <c r="G19" s="29" t="inlineStr">
        <is>
          <t>executed externally</t>
        </is>
      </c>
      <c r="H19" s="29">
        <f>IF(AND(A19&lt;&gt;"",D19&lt;&gt;"",F19&lt;&gt;""),"PASS","FAIL")</f>
        <v/>
      </c>
    </row>
    <row r="20">
      <c r="A20" s="29" t="inlineStr">
        <is>
          <t>FW_ABOVE_SOURCE_RANGE_WITHHELD</t>
        </is>
      </c>
      <c r="B20" s="29" t="inlineStr">
        <is>
          <t>withheld</t>
        </is>
      </c>
      <c r="C20" s="29" t="inlineStr">
        <is>
          <t>{"pathway_id":"flood_inundation_contact","failure_unit_id":"FW_HAZUS_GSU_SUBSTATION_ASSEMBLY","substation_hazus_class":"ESSL","source_assumption_set_id":"FEMA_HAZUS_MH_2_1_TABLE_7_9_UNPROTECTED_SUBSTATION","water_quality_class":"freshwater_non_contaminated","delivered_depth_basis":"unprotected_or_internal_post_bypass_depth","flood_depth_above_substation_grade_ft":10.0001}</t>
        </is>
      </c>
      <c r="D20" s="29" t="inlineStr">
        <is>
          <t>withheld</t>
        </is>
      </c>
      <c r="E20" s="29" t="inlineStr">
        <is>
          <t>null</t>
        </is>
      </c>
      <c r="F20" s="29" t="inlineStr">
        <is>
          <t>ABOVE_SOURCE_VALID_RANGE</t>
        </is>
      </c>
      <c r="G20" s="29" t="inlineStr">
        <is>
          <t>executed externally</t>
        </is>
      </c>
      <c r="H20" s="29">
        <f>IF(AND(A20&lt;&gt;"",D20&lt;&gt;"",F20&lt;&gt;""),"PASS","FAIL")</f>
        <v/>
      </c>
    </row>
    <row r="21">
      <c r="A21" s="29" t="inlineStr">
        <is>
          <t>FW_SALTWATER_WITHHELD</t>
        </is>
      </c>
      <c r="B21" s="29" t="inlineStr">
        <is>
          <t>withheld</t>
        </is>
      </c>
      <c r="C21" s="29" t="inlineStr">
        <is>
          <t>{"pathway_id":"flood_inundation_contact","failure_unit_id":"FW_HAZUS_GSU_SUBSTATION_ASSEMBLY","substation_hazus_class":"ESSM","source_assumption_set_id":"FEMA_HAZUS_MH_2_1_TABLE_7_9_UNPROTECTED_SUBSTATION","water_quality_class":"saltwater","delivered_depth_basis":"unprotected_or_internal_post_bypass_depth","flood_depth_above_substation_grade_ft":4}</t>
        </is>
      </c>
      <c r="D21" s="29" t="inlineStr">
        <is>
          <t>withheld</t>
        </is>
      </c>
      <c r="E21" s="29" t="inlineStr">
        <is>
          <t>null</t>
        </is>
      </c>
      <c r="F21" s="29" t="inlineStr">
        <is>
          <t>WATER_QUALITY_OUTSIDE_SCREENING_DOMAIN</t>
        </is>
      </c>
      <c r="G21" s="29" t="inlineStr">
        <is>
          <t>executed externally</t>
        </is>
      </c>
      <c r="H21" s="29">
        <f>IF(AND(A21&lt;&gt;"",D21&lt;&gt;"",F21&lt;&gt;""),"PASS","FAIL")</f>
        <v/>
      </c>
    </row>
    <row r="22">
      <c r="A22" s="29" t="inlineStr">
        <is>
          <t>FW_BRACKISH_WITHHELD</t>
        </is>
      </c>
      <c r="B22" s="29" t="inlineStr">
        <is>
          <t>withheld</t>
        </is>
      </c>
      <c r="C22" s="29" t="inlineStr">
        <is>
          <t>{"pathway_id":"flood_inundation_contact","failure_unit_id":"FW_HAZUS_GSU_SUBSTATION_ASSEMBLY","substation_hazus_class":"ESSM","source_assumption_set_id":"FEMA_HAZUS_MH_2_1_TABLE_7_9_UNPROTECTED_SUBSTATION","water_quality_class":"brackish","delivered_depth_basis":"unprotected_or_internal_post_bypass_depth","flood_depth_above_substation_grade_ft":4}</t>
        </is>
      </c>
      <c r="D22" s="29" t="inlineStr">
        <is>
          <t>withheld</t>
        </is>
      </c>
      <c r="E22" s="29" t="inlineStr">
        <is>
          <t>null</t>
        </is>
      </c>
      <c r="F22" s="29" t="inlineStr">
        <is>
          <t>WATER_QUALITY_OUTSIDE_SCREENING_DOMAIN</t>
        </is>
      </c>
      <c r="G22" s="29" t="inlineStr">
        <is>
          <t>executed externally</t>
        </is>
      </c>
      <c r="H22" s="29">
        <f>IF(AND(A22&lt;&gt;"",D22&lt;&gt;"",F22&lt;&gt;""),"PASS","FAIL")</f>
        <v/>
      </c>
    </row>
    <row r="23">
      <c r="A23" s="29" t="inlineStr">
        <is>
          <t>FW_CONTAMINATED_WITHHELD</t>
        </is>
      </c>
      <c r="B23" s="29" t="inlineStr">
        <is>
          <t>withheld</t>
        </is>
      </c>
      <c r="C23" s="29" t="inlineStr">
        <is>
          <t>{"pathway_id":"flood_inundation_contact","failure_unit_id":"FW_HAZUS_GSU_SUBSTATION_ASSEMBLY","substation_hazus_class":"ESSM","source_assumption_set_id":"FEMA_HAZUS_MH_2_1_TABLE_7_9_UNPROTECTED_SUBSTATION","water_quality_class":"freshwater_contaminated","delivered_depth_basis":"unprotected_or_internal_post_bypass_depth","flood_depth_above_substation_grade_ft":4}</t>
        </is>
      </c>
      <c r="D23" s="29" t="inlineStr">
        <is>
          <t>withheld</t>
        </is>
      </c>
      <c r="E23" s="29" t="inlineStr">
        <is>
          <t>null</t>
        </is>
      </c>
      <c r="F23" s="29" t="inlineStr">
        <is>
          <t>WATER_QUALITY_OUTSIDE_SCREENING_DOMAIN</t>
        </is>
      </c>
      <c r="G23" s="29" t="inlineStr">
        <is>
          <t>executed externally</t>
        </is>
      </c>
      <c r="H23" s="29">
        <f>IF(AND(A23&lt;&gt;"",D23&lt;&gt;"",F23&lt;&gt;""),"PASS","FAIL")</f>
        <v/>
      </c>
    </row>
    <row r="24">
      <c r="A24" s="29" t="inlineStr">
        <is>
          <t>FW_UNKNOWN_WATER_WITHHELD</t>
        </is>
      </c>
      <c r="B24" s="29" t="inlineStr">
        <is>
          <t>withheld</t>
        </is>
      </c>
      <c r="C24" s="29" t="inlineStr">
        <is>
          <t>{"pathway_id":"flood_inundation_contact","failure_unit_id":"FW_HAZUS_GSU_SUBSTATION_ASSEMBLY","substation_hazus_class":"ESSM","source_assumption_set_id":"FEMA_HAZUS_MH_2_1_TABLE_7_9_UNPROTECTED_SUBSTATION","water_quality_class":"unknown","delivered_depth_basis":"unprotected_or_internal_post_bypass_depth","flood_depth_above_substation_grade_ft":4}</t>
        </is>
      </c>
      <c r="D24" s="29" t="inlineStr">
        <is>
          <t>withheld</t>
        </is>
      </c>
      <c r="E24" s="29" t="inlineStr">
        <is>
          <t>null</t>
        </is>
      </c>
      <c r="F24" s="29" t="inlineStr">
        <is>
          <t>WATER_QUALITY_OUTSIDE_SCREENING_DOMAIN</t>
        </is>
      </c>
      <c r="G24" s="29" t="inlineStr">
        <is>
          <t>executed externally</t>
        </is>
      </c>
      <c r="H24" s="29">
        <f>IF(AND(A24&lt;&gt;"",D24&lt;&gt;"",F24&lt;&gt;""),"PASS","FAIL")</f>
        <v/>
      </c>
    </row>
    <row r="25">
      <c r="A25" s="29" t="inlineStr">
        <is>
          <t>FW_COMPONENT_UNIT_WITHHELD_NOT_ZERO</t>
        </is>
      </c>
      <c r="B25" s="29" t="inlineStr">
        <is>
          <t>withheld</t>
        </is>
      </c>
      <c r="C25" s="29" t="inlineStr">
        <is>
          <t>{"pathway_id":"flood_inundation_contact","failure_unit_id":"FW_GSU_TRANSFORMER_MAIN","substation_hazus_class":"ESSH","source_assumption_set_id":"FEMA_HAZUS_MH_2_1_TABLE_7_9_UNPROTECTED_SUBSTATION","water_quality_class":"freshwater_non_contaminated","delivered_depth_basis":"unprotected_or_internal_post_bypass_depth","flood_depth_above_substation_grade_ft":5}</t>
        </is>
      </c>
      <c r="D25" s="29" t="inlineStr">
        <is>
          <t>withheld</t>
        </is>
      </c>
      <c r="E25" s="29" t="inlineStr">
        <is>
          <t>null</t>
        </is>
      </c>
      <c r="F25" s="29" t="inlineStr">
        <is>
          <t>NO_RUNTIME_CURVE_FOR_PATHWAY_UNIT</t>
        </is>
      </c>
      <c r="G25" s="29" t="inlineStr">
        <is>
          <t>executed externally</t>
        </is>
      </c>
      <c r="H25" s="29">
        <f>IF(AND(A25&lt;&gt;"",D25&lt;&gt;"",F25&lt;&gt;""),"PASS","FAIL")</f>
        <v/>
      </c>
    </row>
    <row r="26">
      <c r="A26" s="29" t="inlineStr">
        <is>
          <t>FW_PATHWAY_REQUIRED</t>
        </is>
      </c>
      <c r="B26" s="29" t="inlineStr">
        <is>
          <t>error</t>
        </is>
      </c>
      <c r="C26" s="29" t="inlineStr">
        <is>
          <t>{}</t>
        </is>
      </c>
      <c r="D26" s="29" t="inlineStr">
        <is>
          <t>rejected</t>
        </is>
      </c>
      <c r="E26" s="29" t="inlineStr">
        <is>
          <t>null</t>
        </is>
      </c>
      <c r="F26" s="29" t="inlineStr">
        <is>
          <t>PATHWAY_ID_REQUIRED</t>
        </is>
      </c>
      <c r="G26" s="29" t="inlineStr">
        <is>
          <t>executed externally</t>
        </is>
      </c>
      <c r="H26" s="29">
        <f>IF(AND(A26&lt;&gt;"",D26&lt;&gt;"",F26&lt;&gt;""),"PASS","FAIL")</f>
        <v/>
      </c>
    </row>
    <row r="27">
      <c r="A27" s="29" t="inlineStr">
        <is>
          <t>FW_PATHWAY_UNKNOWN</t>
        </is>
      </c>
      <c r="B27" s="29" t="inlineStr">
        <is>
          <t>error</t>
        </is>
      </c>
      <c r="C27" s="29" t="inlineStr">
        <is>
          <t>{"pathway_id":"flood"}</t>
        </is>
      </c>
      <c r="D27" s="29" t="inlineStr">
        <is>
          <t>rejected</t>
        </is>
      </c>
      <c r="E27" s="29" t="inlineStr">
        <is>
          <t>null</t>
        </is>
      </c>
      <c r="F27" s="29" t="inlineStr">
        <is>
          <t>PATHWAY_ID_UNKNOWN</t>
        </is>
      </c>
      <c r="G27" s="29" t="inlineStr">
        <is>
          <t>executed externally</t>
        </is>
      </c>
      <c r="H27" s="29">
        <f>IF(AND(A27&lt;&gt;"",D27&lt;&gt;"",F27&lt;&gt;""),"PASS","FAIL")</f>
        <v/>
      </c>
    </row>
    <row r="28">
      <c r="A28" s="29" t="inlineStr">
        <is>
          <t>FW_CLASS_REQUIRED</t>
        </is>
      </c>
      <c r="B28" s="29" t="inlineStr">
        <is>
          <t>error</t>
        </is>
      </c>
      <c r="C28" s="29" t="inlineStr">
        <is>
          <t>{"pathway_id":"flood_inundation_contact"}</t>
        </is>
      </c>
      <c r="D28" s="29" t="inlineStr">
        <is>
          <t>rejected</t>
        </is>
      </c>
      <c r="E28" s="29" t="inlineStr">
        <is>
          <t>null</t>
        </is>
      </c>
      <c r="F28" s="29" t="inlineStr">
        <is>
          <t>SUBSTATION_HAZUS_CLASS_REQUIRED</t>
        </is>
      </c>
      <c r="G28" s="29" t="inlineStr">
        <is>
          <t>executed externally</t>
        </is>
      </c>
      <c r="H28" s="29">
        <f>IF(AND(A28&lt;&gt;"",D28&lt;&gt;"",F28&lt;&gt;""),"PASS","FAIL")</f>
        <v/>
      </c>
    </row>
    <row r="29">
      <c r="A29" s="29" t="inlineStr">
        <is>
          <t>FW_CLASS_UNSUPPORTED</t>
        </is>
      </c>
      <c r="B29" s="29" t="inlineStr">
        <is>
          <t>error</t>
        </is>
      </c>
      <c r="C29" s="29" t="inlineStr">
        <is>
          <t>{"pathway_id":"flood_inundation_contact","substation_hazus_class":"SUBSTATION"}</t>
        </is>
      </c>
      <c r="D29" s="29" t="inlineStr">
        <is>
          <t>rejected</t>
        </is>
      </c>
      <c r="E29" s="29" t="inlineStr">
        <is>
          <t>null</t>
        </is>
      </c>
      <c r="F29" s="29" t="inlineStr">
        <is>
          <t>SUBSTATION_HAZUS_CLASS_UNSUPPORTED</t>
        </is>
      </c>
      <c r="G29" s="29" t="inlineStr">
        <is>
          <t>executed externally</t>
        </is>
      </c>
      <c r="H29" s="29">
        <f>IF(AND(A29&lt;&gt;"",D29&lt;&gt;"",F29&lt;&gt;""),"PASS","FAIL")</f>
        <v/>
      </c>
    </row>
    <row r="30">
      <c r="A30" s="29" t="inlineStr">
        <is>
          <t>FW_ASSUMPTION_REQUIRED</t>
        </is>
      </c>
      <c r="B30" s="29" t="inlineStr">
        <is>
          <t>error</t>
        </is>
      </c>
      <c r="C30" s="29" t="inlineStr">
        <is>
          <t>{"pathway_id":"flood_inundation_contact","substation_hazus_class":"ESSL"}</t>
        </is>
      </c>
      <c r="D30" s="29" t="inlineStr">
        <is>
          <t>rejected</t>
        </is>
      </c>
      <c r="E30" s="29" t="inlineStr">
        <is>
          <t>null</t>
        </is>
      </c>
      <c r="F30" s="29" t="inlineStr">
        <is>
          <t>SOURCE_ASSUMPTION_SET_REQUIRED</t>
        </is>
      </c>
      <c r="G30" s="29" t="inlineStr">
        <is>
          <t>executed externally</t>
        </is>
      </c>
      <c r="H30" s="29">
        <f>IF(AND(A30&lt;&gt;"",D30&lt;&gt;"",F30&lt;&gt;""),"PASS","FAIL")</f>
        <v/>
      </c>
    </row>
    <row r="31">
      <c r="A31" s="29" t="inlineStr">
        <is>
          <t>FW_ASSUMPTION_UNSUPPORTED</t>
        </is>
      </c>
      <c r="B31" s="29" t="inlineStr">
        <is>
          <t>error</t>
        </is>
      </c>
      <c r="C31" s="29" t="inlineStr">
        <is>
          <t>{"pathway_id":"flood_inundation_contact","substation_hazus_class":"ESSL","source_assumption_set_id":"GENERIC"}</t>
        </is>
      </c>
      <c r="D31" s="29" t="inlineStr">
        <is>
          <t>rejected</t>
        </is>
      </c>
      <c r="E31" s="29" t="inlineStr">
        <is>
          <t>null</t>
        </is>
      </c>
      <c r="F31" s="29" t="inlineStr">
        <is>
          <t>SOURCE_ASSUMPTION_SET_UNSUPPORTED</t>
        </is>
      </c>
      <c r="G31" s="29" t="inlineStr">
        <is>
          <t>executed externally</t>
        </is>
      </c>
      <c r="H31" s="29">
        <f>IF(AND(A31&lt;&gt;"",D31&lt;&gt;"",F31&lt;&gt;""),"PASS","FAIL")</f>
        <v/>
      </c>
    </row>
    <row r="32">
      <c r="A32" s="29" t="inlineStr">
        <is>
          <t>FW_WATER_QUALITY_REQUIRED</t>
        </is>
      </c>
      <c r="B32" s="29" t="inlineStr">
        <is>
          <t>error</t>
        </is>
      </c>
      <c r="C32" s="29" t="inlineStr">
        <is>
          <t>{"pathway_id":"flood_inundation_contact","substation_hazus_class":"ESSL","source_assumption_set_id":"FEMA_HAZUS_MH_2_1_TABLE_7_9_UNPROTECTED_SUBSTATION"}</t>
        </is>
      </c>
      <c r="D32" s="29" t="inlineStr">
        <is>
          <t>rejected</t>
        </is>
      </c>
      <c r="E32" s="29" t="inlineStr">
        <is>
          <t>null</t>
        </is>
      </c>
      <c r="F32" s="29" t="inlineStr">
        <is>
          <t>WATER_QUALITY_CLASS_REQUIRED</t>
        </is>
      </c>
      <c r="G32" s="29" t="inlineStr">
        <is>
          <t>executed externally</t>
        </is>
      </c>
      <c r="H32" s="29">
        <f>IF(AND(A32&lt;&gt;"",D32&lt;&gt;"",F32&lt;&gt;""),"PASS","FAIL")</f>
        <v/>
      </c>
    </row>
    <row r="33">
      <c r="A33" s="29" t="inlineStr">
        <is>
          <t>FW_WATER_QUALITY_UNKNOWN</t>
        </is>
      </c>
      <c r="B33" s="29" t="inlineStr">
        <is>
          <t>error</t>
        </is>
      </c>
      <c r="C33" s="29" t="inlineStr">
        <is>
          <t>{"pathway_id":"flood_inundation_contact","substation_hazus_class":"ESSL","source_assumption_set_id":"FEMA_HAZUS_MH_2_1_TABLE_7_9_UNPROTECTED_SUBSTATION","water_quality_class":"not_classified"}</t>
        </is>
      </c>
      <c r="D33" s="29" t="inlineStr">
        <is>
          <t>rejected</t>
        </is>
      </c>
      <c r="E33" s="29" t="inlineStr">
        <is>
          <t>null</t>
        </is>
      </c>
      <c r="F33" s="29" t="inlineStr">
        <is>
          <t>WATER_QUALITY_CLASS_UNKNOWN</t>
        </is>
      </c>
      <c r="G33" s="29" t="inlineStr">
        <is>
          <t>executed externally</t>
        </is>
      </c>
      <c r="H33" s="29">
        <f>IF(AND(A33&lt;&gt;"",D33&lt;&gt;"",F33&lt;&gt;""),"PASS","FAIL")</f>
        <v/>
      </c>
    </row>
    <row r="34">
      <c r="A34" s="29" t="inlineStr">
        <is>
          <t>FW_DEPTH_BASIS_REQUIRED</t>
        </is>
      </c>
      <c r="B34" s="29" t="inlineStr">
        <is>
          <t>error</t>
        </is>
      </c>
      <c r="C34" s="29" t="inlineStr">
        <is>
          <t>{"pathway_id":"flood_inundation_contact","substation_hazus_class":"ESSL","source_assumption_set_id":"FEMA_HAZUS_MH_2_1_TABLE_7_9_UNPROTECTED_SUBSTATION","water_quality_class":"freshwater_non_contaminated"}</t>
        </is>
      </c>
      <c r="D34" s="29" t="inlineStr">
        <is>
          <t>rejected</t>
        </is>
      </c>
      <c r="E34" s="29" t="inlineStr">
        <is>
          <t>null</t>
        </is>
      </c>
      <c r="F34" s="29" t="inlineStr">
        <is>
          <t>DELIVERED_DEPTH_BASIS_REQUIRED</t>
        </is>
      </c>
      <c r="G34" s="29" t="inlineStr">
        <is>
          <t>executed externally</t>
        </is>
      </c>
      <c r="H34" s="29">
        <f>IF(AND(A34&lt;&gt;"",D34&lt;&gt;"",F34&lt;&gt;""),"PASS","FAIL")</f>
        <v/>
      </c>
    </row>
    <row r="35">
      <c r="A35" s="29" t="inlineStr">
        <is>
          <t>FW_DEPTH_BASIS_UNSUPPORTED</t>
        </is>
      </c>
      <c r="B35" s="29" t="inlineStr">
        <is>
          <t>error</t>
        </is>
      </c>
      <c r="C35" s="29" t="inlineStr">
        <is>
          <t>{"pathway_id":"flood_inundation_contact","substation_hazus_class":"ESSL","source_assumption_set_id":"FEMA_HAZUS_MH_2_1_TABLE_7_9_UNPROTECTED_SUBSTATION","water_quality_class":"freshwater_non_contaminated","delivered_depth_basis":"external_water_surface"}</t>
        </is>
      </c>
      <c r="D35" s="29" t="inlineStr">
        <is>
          <t>rejected</t>
        </is>
      </c>
      <c r="E35" s="29" t="inlineStr">
        <is>
          <t>null</t>
        </is>
      </c>
      <c r="F35" s="29" t="inlineStr">
        <is>
          <t>DELIVERED_DEPTH_BASIS_UNSUPPORTED</t>
        </is>
      </c>
      <c r="G35" s="29" t="inlineStr">
        <is>
          <t>executed externally</t>
        </is>
      </c>
      <c r="H35" s="29">
        <f>IF(AND(A35&lt;&gt;"",D35&lt;&gt;"",F35&lt;&gt;""),"PASS","FAIL")</f>
        <v/>
      </c>
    </row>
    <row r="36">
      <c r="A36" s="29" t="inlineStr">
        <is>
          <t>FW_AXIS_REQUIRED</t>
        </is>
      </c>
      <c r="B36" s="29" t="inlineStr">
        <is>
          <t>error</t>
        </is>
      </c>
      <c r="C36" s="29" t="inlineStr">
        <is>
          <t>{"pathway_id":"flood_inundation_contact","substation_hazus_class":"ESSL","source_assumption_set_id":"FEMA_HAZUS_MH_2_1_TABLE_7_9_UNPROTECTED_SUBSTATION","water_quality_class":"freshwater_non_contaminated","delivered_depth_basis":"unprotected_or_internal_post_bypass_depth"}</t>
        </is>
      </c>
      <c r="D36" s="29" t="inlineStr">
        <is>
          <t>rejected</t>
        </is>
      </c>
      <c r="E36" s="29" t="inlineStr">
        <is>
          <t>null</t>
        </is>
      </c>
      <c r="F36" s="29" t="inlineStr">
        <is>
          <t>AXIS_PAYLOAD_REQUIRED</t>
        </is>
      </c>
      <c r="G36" s="29" t="inlineStr">
        <is>
          <t>executed externally</t>
        </is>
      </c>
      <c r="H36" s="29">
        <f>IF(AND(A36&lt;&gt;"",D36&lt;&gt;"",F36&lt;&gt;""),"PASS","FAIL")</f>
        <v/>
      </c>
    </row>
    <row r="37">
      <c r="A37" s="29" t="inlineStr">
        <is>
          <t>FW_AXIS_AMBIGUOUS</t>
        </is>
      </c>
      <c r="B37" s="29" t="inlineStr">
        <is>
          <t>error</t>
        </is>
      </c>
      <c r="C37" s="29" t="inlineStr">
        <is>
          <t>{"pathway_id":"flood_inundation_contact","substation_hazus_class":"ESSL","source_assumption_set_id":"FEMA_HAZUS_MH_2_1_TABLE_7_9_UNPROTECTED_SUBSTATION","water_quality_class":"freshwater_non_contaminated","delivered_depth_basis":"unprotected_or_internal_post_bypass_depth","flood_depth_above_substation_grade_ft":2,"water_surface_elevation_m":101}</t>
        </is>
      </c>
      <c r="D37" s="29" t="inlineStr">
        <is>
          <t>rejected</t>
        </is>
      </c>
      <c r="E37" s="29" t="inlineStr">
        <is>
          <t>null</t>
        </is>
      </c>
      <c r="F37" s="29" t="inlineStr">
        <is>
          <t>AXIS_PAYLOAD_AMBIGUOUS</t>
        </is>
      </c>
      <c r="G37" s="29" t="inlineStr">
        <is>
          <t>executed externally</t>
        </is>
      </c>
      <c r="H37" s="29">
        <f>IF(AND(A37&lt;&gt;"",D37&lt;&gt;"",F37&lt;&gt;""),"PASS","FAIL")</f>
        <v/>
      </c>
    </row>
    <row r="38">
      <c r="A38" s="29" t="inlineStr">
        <is>
          <t>FW_WSE_BRIDGE_INCOMPLETE</t>
        </is>
      </c>
      <c r="B38" s="29" t="inlineStr">
        <is>
          <t>error</t>
        </is>
      </c>
      <c r="C38" s="29" t="inlineStr">
        <is>
          <t>{"pathway_id":"flood_inundation_contact","substation_hazus_class":"ESSL","source_assumption_set_id":"FEMA_HAZUS_MH_2_1_TABLE_7_9_UNPROTECTED_SUBSTATION","water_quality_class":"freshwater_non_contaminated","delivered_depth_basis":"unprotected_or_internal_post_bypass_depth","water_surface_elevation_m":101,"substation_grade_elevation_m":100}</t>
        </is>
      </c>
      <c r="D38" s="29" t="inlineStr">
        <is>
          <t>rejected</t>
        </is>
      </c>
      <c r="E38" s="29" t="inlineStr">
        <is>
          <t>null</t>
        </is>
      </c>
      <c r="F38" s="29" t="inlineStr">
        <is>
          <t>AXIS_PAYLOAD_INCOMPLETE</t>
        </is>
      </c>
      <c r="G38" s="29" t="inlineStr">
        <is>
          <t>executed externally</t>
        </is>
      </c>
      <c r="H38" s="29">
        <f>IF(AND(A38&lt;&gt;"",D38&lt;&gt;"",F38&lt;&gt;""),"PASS","FAIL")</f>
        <v/>
      </c>
    </row>
    <row r="39">
      <c r="A39" s="29" t="inlineStr">
        <is>
          <t>FW_DATUM_MISMATCH</t>
        </is>
      </c>
      <c r="B39" s="29" t="inlineStr">
        <is>
          <t>error</t>
        </is>
      </c>
      <c r="C39" s="29" t="inlineStr">
        <is>
          <t>{"pathway_id":"flood_inundation_contact","substation_hazus_class":"ESSL","source_assumption_set_id":"FEMA_HAZUS_MH_2_1_TABLE_7_9_UNPROTECTED_SUBSTATION","water_quality_class":"freshwater_non_contaminated","delivered_depth_basis":"unprotected_or_internal_post_bypass_depth","water_surface_elevation_m":101,"substation_grade_elevation_m":100,"water_surface_vertical_datum_id":"NAVD88","substation_grade_vertical_datum_id":"NGVD29"}</t>
        </is>
      </c>
      <c r="D39" s="29" t="inlineStr">
        <is>
          <t>rejected</t>
        </is>
      </c>
      <c r="E39" s="29" t="inlineStr">
        <is>
          <t>null</t>
        </is>
      </c>
      <c r="F39" s="29" t="inlineStr">
        <is>
          <t>VERTICAL_DATUM_MISMATCH</t>
        </is>
      </c>
      <c r="G39" s="29" t="inlineStr">
        <is>
          <t>executed externally</t>
        </is>
      </c>
      <c r="H39" s="29">
        <f>IF(AND(A39&lt;&gt;"",D39&lt;&gt;"",F39&lt;&gt;""),"PASS","FAIL")</f>
        <v/>
      </c>
    </row>
    <row r="40">
      <c r="A40" s="29" t="inlineStr">
        <is>
          <t>FW_NEGATIVE_DEPTH_REJECTED</t>
        </is>
      </c>
      <c r="B40" s="29" t="inlineStr">
        <is>
          <t>error</t>
        </is>
      </c>
      <c r="C40" s="29" t="inlineStr">
        <is>
          <t>{"pathway_id":"flood_inundation_contact","substation_hazus_class":"ESSL","source_assumption_set_id":"FEMA_HAZUS_MH_2_1_TABLE_7_9_UNPROTECTED_SUBSTATION","water_quality_class":"freshwater_non_contaminated","delivered_depth_basis":"unprotected_or_internal_post_bypass_depth","flood_depth_above_substation_grade_ft":-0.01}</t>
        </is>
      </c>
      <c r="D40" s="29" t="inlineStr">
        <is>
          <t>rejected</t>
        </is>
      </c>
      <c r="E40" s="29" t="inlineStr">
        <is>
          <t>null</t>
        </is>
      </c>
      <c r="F40" s="29" t="inlineStr">
        <is>
          <t>AXIS_OUTSIDE_VALID_RANGE</t>
        </is>
      </c>
      <c r="G40" s="29" t="inlineStr">
        <is>
          <t>executed externally</t>
        </is>
      </c>
      <c r="H40" s="29">
        <f>IF(AND(A40&lt;&gt;"",D40&lt;&gt;"",F40&lt;&gt;""),"PASS","FAIL")</f>
        <v/>
      </c>
    </row>
    <row r="41">
      <c r="A41" s="30" t="inlineStr">
        <is>
          <t>FW_UNKNOWN_FAILURE_UNIT</t>
        </is>
      </c>
      <c r="B41" s="30" t="inlineStr">
        <is>
          <t>error</t>
        </is>
      </c>
      <c r="C41" s="30" t="inlineStr">
        <is>
          <t>{"pathway_id":"flood_inundation_contact","failure_unit_id":"WIND_FARM","substation_hazus_class":"ESSL","source_assumption_set_id":"FEMA_HAZUS_MH_2_1_TABLE_7_9_UNPROTECTED_SUBSTATION","water_quality_class":"freshwater_non_contaminated","delivered_depth_basis":"unprotected_or_internal_post_bypass_depth","flood_depth_above_substation_grade_ft":2}</t>
        </is>
      </c>
      <c r="D41" s="30" t="inlineStr">
        <is>
          <t>rejected</t>
        </is>
      </c>
      <c r="E41" s="30" t="inlineStr">
        <is>
          <t>null</t>
        </is>
      </c>
      <c r="F41" s="30" t="inlineStr">
        <is>
          <t>FAILURE_UNIT_ID_UNKNOWN</t>
        </is>
      </c>
      <c r="G41" s="30" t="inlineStr">
        <is>
          <t>executed externally</t>
        </is>
      </c>
      <c r="H41" s="30">
        <f>IF(AND(A41&lt;&gt;"",D41&lt;&gt;"",F41&lt;&gt;""),"PASS","FAIL")</f>
        <v/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selection activeCell="A1" sqref="A1"/>
    </sheetView>
  </sheetViews>
  <sheetFormatPr baseColWidth="8" defaultRowHeight="15"/>
  <cols>
    <col width="16" customWidth="1" style="16" min="1" max="1"/>
    <col width="62" customWidth="1" style="16" min="2" max="2"/>
    <col width="62" customWidth="1" style="16" min="3" max="3"/>
    <col width="48" customWidth="1" style="16" min="4" max="4"/>
    <col width="28" customWidth="1" style="16" min="5" max="5"/>
    <col width="34" customWidth="1" style="16" min="6" max="6"/>
    <col width="54" customWidth="1" style="16" min="7" max="7"/>
    <col width="56" customWidth="1" style="16" min="8" max="8"/>
    <col width="56" customWidth="1" style="16" min="9" max="9"/>
    <col width="24" customWidth="1" style="16" min="10" max="10"/>
    <col width="22" customWidth="1" style="16" min="11" max="11"/>
    <col width="44" customWidth="1" style="16" min="12" max="12"/>
  </cols>
  <sheetData>
    <row r="1" ht="26" customHeight="1" s="16">
      <c r="A1" s="2" t="inlineStr">
        <is>
          <t>Source register</t>
        </is>
      </c>
    </row>
    <row r="2" ht="22" customHeight="1" s="16">
      <c r="A2" s="4" t="inlineStr">
        <is>
          <t>Every source has a locator plus permitted and prohibited inference</t>
        </is>
      </c>
    </row>
    <row r="3"/>
    <row r="4">
      <c r="A4" s="13" t="inlineStr">
        <is>
          <t>Source ID</t>
        </is>
      </c>
      <c r="B4" s="14" t="inlineStr">
        <is>
          <t>Citation</t>
        </is>
      </c>
      <c r="C4" s="14" t="inlineStr">
        <is>
          <t>URL/path</t>
        </is>
      </c>
      <c r="D4" s="14" t="inlineStr">
        <is>
          <t>Locator</t>
        </is>
      </c>
      <c r="E4" s="14" t="inlineStr">
        <is>
          <t>Role</t>
        </is>
      </c>
      <c r="F4" s="14" t="inlineStr">
        <is>
          <t>Tier</t>
        </is>
      </c>
      <c r="G4" s="14" t="inlineStr">
        <is>
          <t>Endpoint</t>
        </is>
      </c>
      <c r="H4" s="14" t="inlineStr">
        <is>
          <t>Permitted</t>
        </is>
      </c>
      <c r="I4" s="14" t="inlineStr">
        <is>
          <t>Prohibited</t>
        </is>
      </c>
      <c r="J4" s="14" t="inlineStr">
        <is>
          <t>Decision</t>
        </is>
      </c>
      <c r="K4" s="14" t="inlineStr">
        <is>
          <t>Status</t>
        </is>
      </c>
      <c r="L4" s="15" t="inlineStr">
        <is>
          <t>Notes</t>
        </is>
      </c>
    </row>
    <row r="5">
      <c r="A5" s="27" t="inlineStr">
        <is>
          <t>FW-S001</t>
        </is>
      </c>
      <c r="B5" s="27" t="inlineStr">
        <is>
          <t>Federal Energy Regulatory Commission, Order on accounting for renewable generating assets, 174 FERC 61,033 (2021).</t>
        </is>
      </c>
      <c r="C5" s="27" t="inlineStr">
        <is>
          <t>https://www.ferc.gov/sites/default/files/2021-01/E-7-011921.pdf</t>
        </is>
      </c>
      <c r="D5" s="27" t="inlineStr">
        <is>
          <t>pp. 2-3, wind items a-e and solar items a-g</t>
        </is>
      </c>
      <c r="E5" s="27" t="inlineStr">
        <is>
          <t>asset_anatomy</t>
        </is>
      </c>
      <c r="F5" s="27" t="inlineStr">
        <is>
          <t>T2_public_lab_standard_or_physics</t>
        </is>
      </c>
      <c r="G5" s="27" t="inlineStr">
        <is>
          <t>typical wind and solar collection buses and high-voltage Plant GSU configuration</t>
        </is>
      </c>
      <c r="H5" s="27" t="inlineStr">
        <is>
          <t>Define common Plant-GSU/substation anatomy across solar and wind.</t>
        </is>
      </c>
      <c r="I5" s="27" t="inlineStr">
        <is>
          <t>Infer flood vulnerability, component value, ownership, quantity, or a universal site configuration.</t>
        </is>
      </c>
      <c r="J5" s="27" t="inlineStr">
        <is>
          <t>adopt_with_limits</t>
        </is>
      </c>
      <c r="K5" s="27" t="inlineStr">
        <is>
          <t>reviewed</t>
        </is>
      </c>
      <c r="L5" s="27" t="inlineStr">
        <is>
          <t>Both technologies use a facility-substation collection bus and Plant GSU; upstream equipment remains technology-specific.</t>
        </is>
      </c>
    </row>
    <row r="6">
      <c r="A6" s="29" t="inlineStr">
        <is>
          <t>FW-S002</t>
        </is>
      </c>
      <c r="B6" s="29" t="inlineStr">
        <is>
          <t>National Electrical Manufacturers Association, NEMA GD 1-2016, Evaluating Water-Damaged Electrical Equipment (historical edition).</t>
        </is>
      </c>
      <c r="C6" s="29" t="inlineStr">
        <is>
          <t>https://www.nema.org/docs/default-source/secure-document-library/nema-gd-1-2016-evaluating-water-damaged-electrical-equipment-guide.pdf</t>
        </is>
      </c>
      <c r="D6" s="29" t="inlineStr">
        <is>
          <t>sections 4.3 Power Equipment and 4.4 Transformers</t>
        </is>
      </c>
      <c r="E6" s="29" t="inlineStr">
        <is>
          <t>historical_mechanism_and_disposition</t>
        </is>
      </c>
      <c r="F6" s="29" t="inlineStr">
        <is>
          <t>T2_public_lab_standard_or_physics</t>
        </is>
      </c>
      <c r="G6" s="29" t="inlineStr">
        <is>
          <t>historical water-exposed switchgear/power-equipment and transformer evaluation reconditioning/replacement considerations</t>
        </is>
      </c>
      <c r="H6" s="29" t="inlineStr">
        <is>
          <t>Retain historical equipment-family and mechanism context while the 2026 successor is acquired and reviewed.</t>
        </is>
      </c>
      <c r="I6" s="29" t="inlineStr">
        <is>
          <t>Treat the 2016 edition as current guidance, derive continuous depth-DR ordinates, or override current OEM/manufacturer guidance.</t>
        </is>
      </c>
      <c r="J6" s="29" t="inlineStr">
        <is>
          <t>retain_historical_pending_successor_review</t>
        </is>
      </c>
      <c r="K6" s="29" t="inlineStr">
        <is>
          <t>historical_superseded</t>
        </is>
      </c>
      <c r="L6" s="29" t="inlineStr">
        <is>
          <t>NEMA's April 2026 publication register lists the same-titled successor guide NEMA CS 70006-2026; see FW-S013. Historical content does not calibrate the FEMA knots.</t>
        </is>
      </c>
    </row>
    <row r="7">
      <c r="A7" s="29" t="inlineStr">
        <is>
          <t>FW-S003</t>
        </is>
      </c>
      <c r="B7" s="29" t="inlineStr">
        <is>
          <t>North American Electric Reliability Corporation, Substation Flooding Events Highlight Potential Design Deficiencies (2022).</t>
        </is>
      </c>
      <c r="C7" s="29" t="inlineStr">
        <is>
          <t>https://www.nerc.com/pa/rrm/ea/Lessons%20Learned%20Document%20Library/LL20220404_Substation_Flooding_Events_Highlight_Potential_Design_Deficiencies.pdf</t>
        </is>
      </c>
      <c r="D7" s="29" t="inlineStr">
        <is>
          <t>p. 1, approximately 8 inches at 250 VDC control connections and resulting operations</t>
        </is>
      </c>
      <c r="E7" s="29" t="inlineStr">
        <is>
          <t>case_study_severity</t>
        </is>
      </c>
      <c r="F7" s="29" t="inlineStr">
        <is>
          <t>T3_engineering_proxy_or_adjacent_empirical</t>
        </is>
      </c>
      <c r="G7" s="29" t="inlineStr">
        <is>
          <t>one relay-room flood case causing false breaker operations and removal of two circuits and six generating units</t>
        </is>
      </c>
      <c r="H7" s="29" t="inlineStr">
        <is>
          <t>Confirm shallow control/protection inundation can be operationally material and motivate separate control/DC units.</t>
        </is>
      </c>
      <c r="I7" s="29" t="inlineStr">
        <is>
          <t>Treat 495 MW removed from service as direct physical DR or repair cost.</t>
        </is>
      </c>
      <c r="J7" s="29" t="inlineStr">
        <is>
          <t>adopt_with_limits</t>
        </is>
      </c>
      <c r="K7" s="29" t="inlineStr">
        <is>
          <t>reviewed</t>
        </is>
      </c>
      <c r="L7" s="29" t="inlineStr">
        <is>
          <t>Operational consequence is downstream; no same-unit cost endpoint.</t>
        </is>
      </c>
    </row>
    <row r="8">
      <c r="A8" s="29" t="inlineStr">
        <is>
          <t>FW-S004</t>
        </is>
      </c>
      <c r="B8" s="29" t="inlineStr">
        <is>
          <t>North American Electric Reliability Corporation, Severe Flooding Damages Transformer Substations (2015).</t>
        </is>
      </c>
      <c r="C8" s="29" t="inlineStr">
        <is>
          <t>https://www.nerc.com/pa/rrm/ea/Lessons%20Learned%20Document%20Library/LL20150402_Severe_Flooding_Damages_Transformer_Substations_final.pdf</t>
        </is>
      </c>
      <c r="D8" s="29" t="inlineStr">
        <is>
          <t>problem statement, details, and corrective actions</t>
        </is>
      </c>
      <c r="E8" s="29" t="inlineStr">
        <is>
          <t>case_study_severity</t>
        </is>
      </c>
      <c r="F8" s="29" t="inlineStr">
        <is>
          <t>T3_engineering_proxy_or_adjacent_empirical</t>
        </is>
      </c>
      <c r="G8" s="29" t="inlineStr">
        <is>
          <t>telecommunication protection and station-service damage and circuit unavailability at two substations</t>
        </is>
      </c>
      <c r="H8" s="29" t="inlineStr">
        <is>
          <t>Support component decomposition and water-path/elevation fields.</t>
        </is>
      </c>
      <c r="I8" s="29" t="inlineStr">
        <is>
          <t>Fit an economic damage curve or infer renewable-project ownership/value.</t>
        </is>
      </c>
      <c r="J8" s="29" t="inlineStr">
        <is>
          <t>adopt_with_limits</t>
        </is>
      </c>
      <c r="K8" s="29" t="inlineStr">
        <is>
          <t>reviewed</t>
        </is>
      </c>
      <c r="L8" s="29" t="inlineStr">
        <is>
          <t>Transmission-station case; mechanism transfer only.</t>
        </is>
      </c>
    </row>
    <row r="9">
      <c r="A9" s="29" t="inlineStr">
        <is>
          <t>FW-S005</t>
        </is>
      </c>
      <c r="B9" s="29" t="inlineStr">
        <is>
          <t>Federal Emergency Management Agency, FEMA P-348, Protecting Building Utility Systems From Flood Damage, 2nd ed. (2017).</t>
        </is>
      </c>
      <c r="C9" s="29" t="inlineStr">
        <is>
          <t>https://www.fema.gov/sites/default/files/2020-07/fema_p-348_protecting_building_utility_systems_from_flood_damage_2017.pdf</t>
        </is>
      </c>
      <c r="D9" s="29" t="inlineStr">
        <is>
          <t>section 5.2, electrical-system flood risk and mitigation</t>
        </is>
      </c>
      <c r="E9" s="29" t="inlineStr">
        <is>
          <t>axis_and_exposure</t>
        </is>
      </c>
      <c r="F9" s="29" t="inlineStr">
        <is>
          <t>T2_public_lab_standard_or_physics</t>
        </is>
      </c>
      <c r="G9" s="29" t="inlineStr">
        <is>
          <t>elevation/relocation/protection of transformers switchboards panels and feeders</t>
        </is>
      </c>
      <c r="H9" s="29" t="inlineStr">
        <is>
          <t>Support local vulnerable datum and equipment-elevation fields.</t>
        </is>
      </c>
      <c r="I9" s="29" t="inlineStr">
        <is>
          <t>Provide wind-farm ordinates or replacement percentages.</t>
        </is>
      </c>
      <c r="J9" s="29" t="inlineStr">
        <is>
          <t>adopt_with_limits</t>
        </is>
      </c>
      <c r="K9" s="29" t="inlineStr">
        <is>
          <t>reviewed</t>
        </is>
      </c>
      <c r="L9" s="29" t="inlineStr">
        <is>
          <t>Building-utility setting; used for method, not calibration.</t>
        </is>
      </c>
    </row>
    <row r="10">
      <c r="A10" s="29" t="inlineStr">
        <is>
          <t>FW-S006</t>
        </is>
      </c>
      <c r="B10" s="29" t="inlineStr">
        <is>
          <t>U.S. Army Corps of Engineers, HEC-FIA Technical Reference, Depth-Percent Damage Relationships.</t>
        </is>
      </c>
      <c r="C10" s="29" t="inlineStr">
        <is>
          <t>https://www.hec.usace.army.mil/confluence/fiadocs/fiatechref/latest/direct-damage/depth-percent-damage-relationships-direct-damage</t>
        </is>
      </c>
      <c r="D10" s="29" t="inlineStr">
        <is>
          <t>direct damage, depth-percent relationship and linear interpolation</t>
        </is>
      </c>
      <c r="E10" s="29" t="inlineStr">
        <is>
          <t>curve_form</t>
        </is>
      </c>
      <c r="F10" s="29" t="inlineStr">
        <is>
          <t>T2_public_lab_standard_or_physics</t>
        </is>
      </c>
      <c r="G10" s="29" t="inlineStr">
        <is>
          <t>tabular depth-percent relationship and interpolation method</t>
        </is>
      </c>
      <c r="H10" s="29" t="inlineStr">
        <is>
          <t>Support transparent piecewise/tabular curve form and critical-elevation semantics.</t>
        </is>
      </c>
      <c r="I10" s="29" t="inlineStr">
        <is>
          <t>Supply electrical-component ordinates.</t>
        </is>
      </c>
      <c r="J10" s="29" t="inlineStr">
        <is>
          <t>adopt_with_limits</t>
        </is>
      </c>
      <c r="K10" s="29" t="inlineStr">
        <is>
          <t>reviewed</t>
        </is>
      </c>
      <c r="L10" s="29" t="inlineStr">
        <is>
          <t>Form precedent only.</t>
        </is>
      </c>
    </row>
    <row r="11">
      <c r="A11" s="29" t="inlineStr">
        <is>
          <t>FW-S007</t>
        </is>
      </c>
      <c r="B11" s="29" t="inlineStr">
        <is>
          <t>U.S. Department of Energy FEMP, Preventing and Mitigating Flood Damage to Solar Photovoltaic Systems.</t>
        </is>
      </c>
      <c r="C11" s="29" t="inlineStr">
        <is>
          <t>https://www.energy.gov/cmei/femp/preventing-and-mitigating-flood-damage-solar-photovoltaic-systems</t>
        </is>
      </c>
      <c r="D11" s="29" t="inlineStr">
        <is>
          <t>total submersion, equipment elevation, conduit-water pathway, and electrical enclosure sections</t>
        </is>
      </c>
      <c r="E11" s="29" t="inlineStr">
        <is>
          <t>mechanism_and_exposure</t>
        </is>
      </c>
      <c r="F11" s="29" t="inlineStr">
        <is>
          <t>T2_public_lab_standard_or_physics</t>
        </is>
      </c>
      <c r="G11" s="29" t="inlineStr">
        <is>
          <t>solar-site observations and guidance for submerged electrical equipment and conduit water transport</t>
        </is>
      </c>
      <c r="H11" s="29" t="inlineStr">
        <is>
          <t>Support shared electrical water-path/elevation concepts where equipment matches.</t>
        </is>
      </c>
      <c r="I11" s="29" t="inlineStr">
        <is>
          <t>Infer wind-specific values or universal numeric curves.</t>
        </is>
      </c>
      <c r="J11" s="29" t="inlineStr">
        <is>
          <t>adopt_with_limits</t>
        </is>
      </c>
      <c r="K11" s="29" t="inlineStr">
        <is>
          <t>reviewed</t>
        </is>
      </c>
      <c r="L11" s="29" t="inlineStr">
        <is>
          <t>Solar-specific adjacent source; no wind curve.</t>
        </is>
      </c>
    </row>
    <row r="12">
      <c r="A12" s="29" t="inlineStr">
        <is>
          <t>FW-S008</t>
        </is>
      </c>
      <c r="B12" s="29" t="inlineStr">
        <is>
          <t>Stehly, T.; Duffy, P.; Mulas Hernando, D. Cost of Wind Energy Review: 2024 Edition. NREL/TP-5000-91775.</t>
        </is>
      </c>
      <c r="C12" s="29" t="inlineStr">
        <is>
          <t>https://www.nrel.gov/docs/fy25osti/91775.pdf</t>
        </is>
      </c>
      <c r="D12" s="29" t="inlineStr">
        <is>
          <t>land-based reference plant capital-cost breakdown</t>
        </is>
      </c>
      <c r="E12" s="29" t="inlineStr">
        <is>
          <t>exposure_or_value</t>
        </is>
      </c>
      <c r="F12" s="29" t="inlineStr">
        <is>
          <t>T2_public_lab_standard_or_physics</t>
        </is>
      </c>
      <c r="G12" s="29" t="inlineStr">
        <is>
          <t>2023-USD wind component and balance-of-system reference values</t>
        </is>
      </c>
      <c r="H12" s="29" t="inlineStr">
        <is>
          <t>Use the row-level reference ledger and identify the mixed 72 USD/kW electrical bucket.</t>
        </is>
      </c>
      <c r="I12" s="29" t="inlineStr">
        <is>
          <t>Infer a 9% substation share, fragility, ownership, or site replacement value.</t>
        </is>
      </c>
      <c r="J12" s="29" t="inlineStr">
        <is>
          <t>adopt_with_limits</t>
        </is>
      </c>
      <c r="K12" s="29" t="inlineStr">
        <is>
          <t>reviewed</t>
        </is>
      </c>
      <c r="L12" s="29" t="inlineStr">
        <is>
          <t>Value archetype only; substation and collection are not split.</t>
        </is>
      </c>
    </row>
    <row r="13">
      <c r="A13" s="29" t="inlineStr">
        <is>
          <t>FW-S009</t>
        </is>
      </c>
      <c r="B13" s="29" t="inlineStr">
        <is>
          <t>Federal Energy Regulatory Commission, pro forma Large Generator Interconnection Agreement.</t>
        </is>
      </c>
      <c r="C13" s="29" t="inlineStr">
        <is>
          <t>https://www.ferc.gov/sites/default/files/2020-04/LGIA.pdf</t>
        </is>
      </c>
      <c r="D13" s="29" t="inlineStr">
        <is>
          <t>definitions of Point of Change of Ownership and Point of Interconnection; Appendix A dependency</t>
        </is>
      </c>
      <c r="E13" s="29" t="inlineStr">
        <is>
          <t>ownership_boundary</t>
        </is>
      </c>
      <c r="F13" s="29" t="inlineStr">
        <is>
          <t>T2_public_lab_standard_or_physics</t>
        </is>
      </c>
      <c r="G13" s="29" t="inlineStr">
        <is>
          <t>contract-defined ownership/interconnection demarcations</t>
        </is>
      </c>
      <c r="H13" s="29" t="inlineStr">
        <is>
          <t>Require site agreement/one-line evidence for project versus transmission-owner inclusion.</t>
        </is>
      </c>
      <c r="I13" s="29" t="inlineStr">
        <is>
          <t>Assume ownership from physical role or map proximity.</t>
        </is>
      </c>
      <c r="J13" s="29" t="inlineStr">
        <is>
          <t>adopt_with_limits</t>
        </is>
      </c>
      <c r="K13" s="29" t="inlineStr">
        <is>
          <t>reviewed</t>
        </is>
      </c>
      <c r="L13" s="29" t="inlineStr">
        <is>
          <t>Template establishes that demarcation is agreement-specific.</t>
        </is>
      </c>
    </row>
    <row r="14">
      <c r="A14" s="29" t="inlineStr">
        <is>
          <t>FW-S010</t>
        </is>
      </c>
      <c r="B14" s="29" t="inlineStr">
        <is>
          <t>Canonical Damage Modeling flood_solar artifact, flood_solar@model_v1_0__docs_r4.</t>
        </is>
      </c>
      <c r="C14" s="29" t="inlineStr">
        <is>
          <t>docs/cells/flood_solar/current/flood_solar__model_v1_0__docs_r4__curve_artifact.json</t>
        </is>
      </c>
      <c r="D14" s="29" t="inlineStr">
        <is>
          <t>FS_SWG, FS_XFMR, FS_SCADA, FS_CABLE; artifact SHA a08e77ef034e1ecea3e7cd05d13c825921b54d610fca9de8651ebda8e857082d</t>
        </is>
      </c>
      <c r="E14" s="29" t="inlineStr">
        <is>
          <t>candidate_curve_and_method</t>
        </is>
      </c>
      <c r="F14" s="29" t="inlineStr">
        <is>
          <t>T3_engineering_proxy_or_adjacent_empirical</t>
        </is>
      </c>
      <c r="G14" s="29" t="inlineStr">
        <is>
          <t>deterministic T3 electrical depth-damage records and T2 local-datum transform</t>
        </is>
      </c>
      <c r="H14" s="29" t="inlineStr">
        <is>
          <t>Reuse axis/method and retain exact ordinates as pinned audit candidates under explicit crosswalk.</t>
        </is>
      </c>
      <c r="I14" s="29" t="inlineStr">
        <is>
          <t>Silently copy numerics into flood_wind or call them claims-calibrated asset-neutral curves.</t>
        </is>
      </c>
      <c r="J14" s="29" t="inlineStr">
        <is>
          <t>defer_candidate_only</t>
        </is>
      </c>
      <c r="K14" s="29" t="inlineStr">
        <is>
          <t>reviewed</t>
        </is>
      </c>
      <c r="L14" s="29" t="inlineStr">
        <is>
          <t>Canonical inside flood_solar; not runtime-approved for flood_wind.</t>
        </is>
      </c>
    </row>
    <row r="15">
      <c r="A15" s="29" t="inlineStr">
        <is>
          <t>FW-S011</t>
        </is>
      </c>
      <c r="B15" s="29" t="inlineStr">
        <is>
          <t>Federal Emergency Management Agency, Hazus-MH Flood Model Technical Manual, version 2.1.</t>
        </is>
      </c>
      <c r="C15" s="29" t="inlineStr">
        <is>
          <t>https://www.fema.gov/sites/default/files/2020-09/fema_hazus_flood-model_technical-manual_2.1.pdf</t>
        </is>
      </c>
      <c r="D15" s="29" t="inlineStr">
        <is>
          <t>sections 7.2.2, 7.2.4, and 7.2.6; Table 7.9, pp. 7-20 through 7-21; Table 7.9 footnote 2 and comments</t>
        </is>
      </c>
      <c r="E15" s="29" t="inlineStr">
        <is>
          <t>source_native_curve_and_assumptions</t>
        </is>
      </c>
      <c r="F15" s="29" t="inlineStr">
        <is>
          <t>T3_engineering_proxy_or_adjacent_empirical</t>
        </is>
      </c>
      <c r="G15" s="29" t="inlineStr">
        <is>
          <t>modeled whole-electric-substation depth-percent-damage values for ESSL ESSM and ESSH from 0 through 10 ft</t>
        </is>
      </c>
      <c r="H15" s="29" t="inlineStr">
        <is>
          <t>Reproduce the exact whole-substation source table as a strictly gated legacy screening curve and preserve its source assumptions.</t>
        </is>
      </c>
      <c r="I15" s="29" t="inlineStr">
        <is>
          <t>Infer component curves, field or claims calibration, wind-farm TIV loss, saline-water applicability, protection credit, or current Hazus enablement.</t>
        </is>
      </c>
      <c r="J15" s="29" t="inlineStr">
        <is>
          <t>adopt_screening_with_strict_gate</t>
        </is>
      </c>
      <c r="K15" s="29" t="inlineStr">
        <is>
          <t>reviewed</t>
        </is>
      </c>
      <c r="L15" s="29" t="inlineStr">
        <is>
          <t>Official source-native table; source PDF SHA-256 476726f194ed7e0702e8d6b47ad62616c8ca78214e56e9efc848f3bd547ae669. Section 7.2.4 also says electric-power implementation was deferred.</t>
        </is>
      </c>
    </row>
    <row r="16">
      <c r="A16" s="29" t="inlineStr">
        <is>
          <t>FW-S012</t>
        </is>
      </c>
      <c r="B16" s="29" t="inlineStr">
        <is>
          <t>Federal Emergency Management Agency, Hazus 7.0 Flood Technical Manual (2025).</t>
        </is>
      </c>
      <c r="C16" s="29" t="inlineStr">
        <is>
          <t>https://www.fema.gov/sites/default/files/documents/fema_rsl_hazus-7-fltm_06272025_0.pdf</t>
        </is>
      </c>
      <c r="D16" s="29" t="inlineStr">
        <is>
          <t>Table 9-1, pp. 9-1 through 9-2; section 9.4.1 footnote 21, p. 9-3</t>
        </is>
      </c>
      <c r="E16" s="29" t="inlineStr">
        <is>
          <t>current_status_and_limitation</t>
        </is>
      </c>
      <c r="F16" s="29" t="inlineStr">
        <is>
          <t>T2_public_lab_standard_or_physics</t>
        </is>
      </c>
      <c r="G16" s="29" t="inlineStr">
        <is>
          <t>electric-power substations listed as mapping-only; default electric-power functions viewable but disabled and producing no results</t>
        </is>
      </c>
      <c r="H16" s="29" t="inlineStr">
        <is>
          <t>Require the current-disabled limitation and prohibit describing the legacy table as an enabled Hazus result.</t>
        </is>
      </c>
      <c r="I16" s="29" t="inlineStr">
        <is>
          <t>Erase the legacy source table or claim current validation/calibration from its visibility.</t>
        </is>
      </c>
      <c r="J16" s="29" t="inlineStr">
        <is>
          <t>adopt_as_limitation</t>
        </is>
      </c>
      <c r="K16" s="29" t="inlineStr">
        <is>
          <t>reviewed</t>
        </is>
      </c>
      <c r="L16" s="29" t="inlineStr">
        <is>
          <t>Official current-status evidence; source PDF SHA-256 4fd5a0402dab23c9607ec824f728e2cef68cfac00a3882cdec3a0746516f7690.</t>
        </is>
      </c>
    </row>
    <row r="17">
      <c r="A17" s="29" t="inlineStr">
        <is>
          <t>FW-S013</t>
        </is>
      </c>
      <c r="B17" s="29" t="inlineStr">
        <is>
          <t>National Electrical Manufacturers Association, NEMA Standards Action, April 6, 2026.</t>
        </is>
      </c>
      <c r="C17" s="29" t="inlineStr">
        <is>
          <t>https://www.nema.org/docs/default-source/default-document-library/public/standards-actions/nema-standards-action-april-2026.pdf?sfvrsn=73934d20_2</t>
        </is>
      </c>
      <c r="D17" s="29" t="inlineStr">
        <is>
          <t>Recently Published Documents, p. 5: Evaluating Water-Damaged Electrical Equipment, NEMA CS 70006-2026, Guide</t>
        </is>
      </c>
      <c r="E17" s="29" t="inlineStr">
        <is>
          <t>current_guide_successor_status</t>
        </is>
      </c>
      <c r="F17" s="29" t="inlineStr">
        <is>
          <t>T2_public_lab_standard_or_physics</t>
        </is>
      </c>
      <c r="G17" s="29" t="inlineStr">
        <is>
          <t>official publication metadata for the 2026 same-titled water-damaged-electrical-equipment guide</t>
        </is>
      </c>
      <c r="H17" s="29" t="inlineStr">
        <is>
          <t>Classify NEMA GD 1-2016 as historical and require acquisition and technical review of NEMA CS 70006-2026 before explicit same-unit value and exposure validation.</t>
        </is>
      </c>
      <c r="I17" s="29" t="inlineStr">
        <is>
          <t>Assume the successor's detailed recommendations are identical, use inaccessible content as evidence, or alter the FEMA Table 7.9 numeric knots from publication metadata alone.</t>
        </is>
      </c>
      <c r="J17" s="29" t="inlineStr">
        <is>
          <t>adopt_as_promotion_caveat</t>
        </is>
      </c>
      <c r="K17" s="29" t="inlineStr">
        <is>
          <t>reviewed_metadata_only</t>
        </is>
      </c>
      <c r="L17" s="29" t="inlineStr">
        <is>
          <t>The current guide itself has not been acquired/reviewed in this package. Official register PDF SHA-256 a6fa04f226564fa68b316383117411d0cda62da4131e3a4040eb78f0622dbdcf.</t>
        </is>
      </c>
    </row>
    <row r="18">
      <c r="A18" s="29" t="inlineStr">
        <is>
          <t>LEG-FW-001</t>
        </is>
      </c>
      <c r="B18" s="29" t="inlineStr">
        <is>
          <t>Hazard Modeling flood/wind M3 greenfield consumer implementation.</t>
        </is>
      </c>
      <c r="C18" s="29" t="inlineStr">
        <is>
          <t>Hazard_modeling/Notebooks/flood/wind_farm/m3_damage/01_damage.py</t>
        </is>
      </c>
      <c r="D18" s="29" t="inlineStr">
        <is>
          <t>lines 65-84, dr(), loss assembly, vendored object</t>
        </is>
      </c>
      <c r="E18" s="29" t="inlineStr">
        <is>
          <t>rejected</t>
        </is>
      </c>
      <c r="F18" s="29" t="inlineStr">
        <is>
          <t>T4_placeholder_or_expert_judgment</t>
        </is>
      </c>
      <c r="G18" s="29" t="inlineStr">
        <is>
          <t>four hardcoded anchored logistics and fixed seven-bucket project shares</t>
        </is>
      </c>
      <c r="H18" s="29" t="inlineStr">
        <is>
          <t>Freeze formulas and vectors as migration characterization fixtures.</t>
        </is>
      </c>
      <c r="I18" s="29" t="inlineStr">
        <is>
          <t>Use as scientific calibration, value basis, governed artifact, or fallback.</t>
        </is>
      </c>
      <c r="J18" s="29" t="inlineStr">
        <is>
          <t>reject_runtime_retain_audit</t>
        </is>
      </c>
      <c r="K18" s="29" t="inlineStr">
        <is>
          <t>reviewed</t>
        </is>
      </c>
      <c r="L18" s="29" t="inlineStr">
        <is>
          <t>Hazard commit d876ef7190ef6baf7339cb32cb95a77bde89af4d; blob 1c50b845064a1f168090bfe3180bf23779375d90; SHA-256 b45fba70544d348638be4f3ad6af65193a272bbe2b4b25098128fa8b810a159e.</t>
        </is>
      </c>
    </row>
    <row r="19">
      <c r="A19" s="29" t="inlineStr">
        <is>
          <t>LEG-FW-002</t>
        </is>
      </c>
      <c r="B19" s="29" t="inlineStr">
        <is>
          <t>Hazard Modeling flood/wind M4 independent coastal flood reconstruction.</t>
        </is>
      </c>
      <c r="C19" s="29" t="inlineStr">
        <is>
          <t>Hazard_modeling/Notebooks/flood/wind_farm/m4_loss_metrics/01_loss_metrics.py</t>
        </is>
      </c>
      <c r="D19" s="29" t="inlineStr">
        <is>
          <t>lines 204-245 and output/compound sections</t>
        </is>
      </c>
      <c r="E19" s="29" t="inlineStr">
        <is>
          <t>rejected</t>
        </is>
      </c>
      <c r="F19" s="29" t="inlineStr">
        <is>
          <t>T4_placeholder_or_expert_judgment</t>
        </is>
      </c>
      <c r="G19" s="29" t="inlineStr">
        <is>
          <t>re-hardcoded CAPEX7 and SURGE_CURVE with aggregated max-combine logic</t>
        </is>
      </c>
      <c r="H19" s="29" t="inlineStr">
        <is>
          <t>Include in future migration/bypass tests.</t>
        </is>
      </c>
      <c r="I19" s="29" t="inlineStr">
        <is>
          <t>Assume replacing M3 alone removes local curves or validates compound aggregation.</t>
        </is>
      </c>
      <c r="J19" s="29" t="inlineStr">
        <is>
          <t>reject_runtime_retain_audit</t>
        </is>
      </c>
      <c r="K19" s="29" t="inlineStr">
        <is>
          <t>reviewed</t>
        </is>
      </c>
      <c r="L19" s="29" t="inlineStr">
        <is>
          <t>Hazard commit d876ef7190ef6baf7339cb32cb95a77bde89af4d; blob 11a28fd72557847dd2fe12a48bdc5972d9f58352; SHA-256 7f91344b4495a2899be6475350728dd8d5f114052270f6221e2c4c7b82f7adfa.</t>
        </is>
      </c>
    </row>
    <row r="20">
      <c r="A20" s="29" t="inlineStr">
        <is>
          <t>GOVERNANCE_CONTRACT</t>
        </is>
      </c>
      <c r="B20" s="29" t="inlineStr">
        <is>
          <t>Damage Modeling method, contracts, and damage-curve skill governance.</t>
        </is>
      </c>
      <c r="C20" s="29" t="inlineStr">
        <is>
          <t>docs/method/standards/00_index.md</t>
        </is>
      </c>
      <c r="D20" s="29" t="inlineStr">
        <is>
          <t>standards 02, 07, 08, 18, 20; versioning and capability contracts; fail-closed workflow</t>
        </is>
      </c>
      <c r="E20" s="29" t="inlineStr">
        <is>
          <t>governance_rule</t>
        </is>
      </c>
      <c r="F20" s="29" t="inlineStr">
        <is>
          <t>T4_placeholder_or_expert_judgment</t>
        </is>
      </c>
      <c r="G20" s="29" t="inlineStr">
        <is>
          <t>cell structure provenance compatibility versioning and withholding rules</t>
        </is>
      </c>
      <c r="H20" s="29" t="inlineStr">
        <is>
          <t>Control this package and release gates.</t>
        </is>
      </c>
      <c r="I20" s="29" t="inlineStr">
        <is>
          <t>Serve as scientific calibration.</t>
        </is>
      </c>
      <c r="J20" s="29" t="inlineStr">
        <is>
          <t>adopt</t>
        </is>
      </c>
      <c r="K20" s="29" t="inlineStr">
        <is>
          <t>reviewed</t>
        </is>
      </c>
      <c r="L20" s="29" t="inlineStr">
        <is>
          <t>Stable internal governance source.</t>
        </is>
      </c>
    </row>
    <row r="21">
      <c r="A21" s="29" t="inlineStr">
        <is>
          <t>SHARED_SUBSTRATE</t>
        </is>
      </c>
      <c r="B21" s="29" t="inlineStr">
        <is>
          <t>Flood-electrical non-runtime shared component substrate v0.1.</t>
        </is>
      </c>
      <c r="C21" s="29" t="inlineStr">
        <is>
          <t>docs/method/shared_components/flood_electrical/README.md</t>
        </is>
      </c>
      <c r="D21" s="29" t="inlineStr">
        <is>
          <t>catalog and binding rules</t>
        </is>
      </c>
      <c r="E21" s="29" t="inlineStr">
        <is>
          <t>component_identity_and_binding</t>
        </is>
      </c>
      <c r="F21" s="29" t="inlineStr">
        <is>
          <t>T4_placeholder_or_expert_judgment</t>
        </is>
      </c>
      <c r="G21" s="29" t="inlineStr">
        <is>
          <t>asset-neutral vocabulary compatibility rules and non-runtime boundary</t>
        </is>
      </c>
      <c r="H21" s="29" t="inlineStr">
        <is>
          <t>Bind proposed flood_wind failure units to common concepts.</t>
        </is>
      </c>
      <c r="I21" s="29" t="inlineStr">
        <is>
          <t>Populate a curve emit or imply runtime approval.</t>
        </is>
      </c>
      <c r="J21" s="29" t="inlineStr">
        <is>
          <t>adopt</t>
        </is>
      </c>
      <c r="K21" s="29" t="inlineStr">
        <is>
          <t>reviewed</t>
        </is>
      </c>
      <c r="L21" s="29" t="inlineStr">
        <is>
          <t>Governed by method standard 20.</t>
        </is>
      </c>
    </row>
    <row r="22">
      <c r="A22" s="30" t="inlineStr">
        <is>
          <t>BOUNDED_SEARCH_LOG</t>
        </is>
      </c>
      <c r="B22" s="30" t="inlineStr">
        <is>
          <t>Bounded evidence search log for flood_wind model v0.1/docs r1.</t>
        </is>
      </c>
      <c r="C22" s="30" t="inlineStr">
        <is>
          <t>docs/cells/flood_wind/current/BOUNDED_EVIDENCE_SEARCH_LOG_flood_wind__model_v0_1__docs_r1.md</t>
        </is>
      </c>
      <c r="D22" s="30" t="inlineStr">
        <is>
          <t>search surfaces endpoint tests limitations and refresh triggers</t>
        </is>
      </c>
      <c r="E22" s="30" t="inlineStr">
        <is>
          <t>historical_negative_evidence_boundary</t>
        </is>
      </c>
      <c r="F22" s="30" t="inlineStr">
        <is>
          <t>T3_engineering_proxy_or_adjacent_empirical</t>
        </is>
      </c>
      <c r="G22" s="30" t="inlineStr">
        <is>
          <t>historical bounded result that no public matched component-local depth/state-to-disposition-to-same-unit-cost chain was located</t>
        </is>
      </c>
      <c r="H22" s="30" t="inlineStr">
        <is>
          <t>Retain the component-level negative boundary and document why the whole-substation source reopens only a different grain.</t>
        </is>
      </c>
      <c r="I22" s="30" t="inlineStr">
        <is>
          <t>Repeat the old conclusion as universal across whole-substation functions, private evidence, non-English evidence, unindexed evidence, or later publications.</t>
        </is>
      </c>
      <c r="J22" s="30" t="inlineStr">
        <is>
          <t>partially_superseded_by_FW-S011</t>
        </is>
      </c>
      <c r="K22" s="30" t="inlineStr">
        <is>
          <t>reviewed</t>
        </is>
      </c>
      <c r="L22" s="30" t="inlineStr">
        <is>
          <t>Still governing for component-level records; superseded only at the whole-substation source atom by FW-S011 and constrained by FW-S012.</t>
        </is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selection activeCell="A1" sqref="A1"/>
    </sheetView>
  </sheetViews>
  <sheetFormatPr baseColWidth="8" defaultRowHeight="15"/>
  <cols>
    <col width="18" customWidth="1" style="16" min="1" max="1"/>
    <col width="66" customWidth="1" style="16" min="2" max="2"/>
    <col width="24" customWidth="1" style="16" min="3" max="3"/>
    <col width="28" customWidth="1" style="16" min="4" max="4"/>
    <col width="42" customWidth="1" style="16" min="5" max="5"/>
    <col width="34" customWidth="1" style="16" min="6" max="6"/>
    <col width="34" customWidth="1" style="16" min="7" max="7"/>
    <col width="22" customWidth="1" style="16" min="8" max="8"/>
    <col width="56" customWidth="1" style="16" min="9" max="9"/>
    <col width="56" customWidth="1" style="16" min="10" max="10"/>
    <col width="56" customWidth="1" style="16" min="11" max="11"/>
    <col width="44" customWidth="1" style="16" min="12" max="12"/>
  </cols>
  <sheetData>
    <row r="1" ht="26" customHeight="1" s="16">
      <c r="A1" s="2" t="inlineStr">
        <is>
          <t>Claim register</t>
        </is>
      </c>
    </row>
    <row r="2" ht="22" customHeight="1" s="16">
      <c r="A2" s="4" t="inlineStr">
        <is>
          <t>No load-bearing claim is allowed to outrun its source</t>
        </is>
      </c>
    </row>
    <row r="3"/>
    <row r="4">
      <c r="A4" s="13" t="inlineStr">
        <is>
          <t>Claim ID</t>
        </is>
      </c>
      <c r="B4" s="14" t="inlineStr">
        <is>
          <t>Claim</t>
        </is>
      </c>
      <c r="C4" s="14" t="inlineStr">
        <is>
          <t>Type</t>
        </is>
      </c>
      <c r="D4" s="14" t="inlineStr">
        <is>
          <t>Source IDs</t>
        </is>
      </c>
      <c r="E4" s="14" t="inlineStr">
        <is>
          <t>Locator</t>
        </is>
      </c>
      <c r="F4" s="14" t="inlineStr">
        <is>
          <t>Tier</t>
        </is>
      </c>
      <c r="G4" s="14" t="inlineStr">
        <is>
          <t>Rule</t>
        </is>
      </c>
      <c r="H4" s="14" t="inlineStr">
        <is>
          <t>Status</t>
        </is>
      </c>
      <c r="I4" s="14" t="inlineStr">
        <is>
          <t>Permitted</t>
        </is>
      </c>
      <c r="J4" s="14" t="inlineStr">
        <is>
          <t>Prohibited</t>
        </is>
      </c>
      <c r="K4" s="14" t="inlineStr">
        <is>
          <t>Reasoning</t>
        </is>
      </c>
      <c r="L4" s="15" t="inlineStr">
        <is>
          <t>Update trigger</t>
        </is>
      </c>
    </row>
    <row r="5">
      <c r="A5" s="27" t="inlineStr">
        <is>
          <t>FW-C001</t>
        </is>
      </c>
      <c r="B5" s="27" t="inlineStr">
        <is>
          <t>Typical wind and solar generation facilities can use the same facility-level Plant GSU role and collection-bus-to-interconnection architecture.</t>
        </is>
      </c>
      <c r="C5" s="27" t="inlineStr">
        <is>
          <t>direct_observation</t>
        </is>
      </c>
      <c r="D5" s="27" t="inlineStr">
        <is>
          <t>FW-S001</t>
        </is>
      </c>
      <c r="E5" s="27" t="inlineStr">
        <is>
          <t>pp. 2-3</t>
        </is>
      </c>
      <c r="F5" s="27" t="inlineStr">
        <is>
          <t>T2_public_lab_standard_or_physics</t>
        </is>
      </c>
      <c r="G5" s="27" t="inlineStr">
        <is>
          <t>shared_asset_anatomy</t>
        </is>
      </c>
      <c r="H5" s="27" t="inlineStr">
        <is>
          <t>adopt</t>
        </is>
      </c>
      <c r="I5" s="27" t="inlineStr">
        <is>
          <t>Define asset-neutral GSU/substation component concepts.</t>
        </is>
      </c>
      <c r="J5" s="27" t="inlineStr">
        <is>
          <t>Assume identical site configuration ownership value or vulnerability.</t>
        </is>
      </c>
      <c r="K5" s="27" t="inlineStr">
        <is>
          <t>FERC describes both technology configurations explicitly.</t>
        </is>
      </c>
      <c r="L5" s="27" t="inlineStr">
        <is>
          <t>FERC configuration guidance or class scope changes.</t>
        </is>
      </c>
    </row>
    <row r="6">
      <c r="A6" s="29" t="inlineStr">
        <is>
          <t>FW-C002</t>
        </is>
      </c>
      <c r="B6" s="29" t="inlineStr">
        <is>
          <t>For future component-level records, a local water-depth bridge may use component vulnerable datum h_i=max(0,WSE-z_i_crit); this is not the model-v1 whole-substation runtime axis.</t>
        </is>
      </c>
      <c r="C6" s="29" t="inlineStr">
        <is>
          <t>engineering_inference</t>
        </is>
      </c>
      <c r="D6" s="29" t="inlineStr">
        <is>
          <t>FW-S005;FW-S006;FW-S007;FW-S010</t>
        </is>
      </c>
      <c r="E6" s="29" t="inlineStr">
        <is>
          <t>elevation/critical-depth method and canonical flood_solar axis</t>
        </is>
      </c>
      <c r="F6" s="29" t="inlineStr">
        <is>
          <t>T2_public_lab_standard_or_physics</t>
        </is>
      </c>
      <c r="G6" s="29" t="inlineStr">
        <is>
          <t>component_axis_research_bridge</t>
        </is>
      </c>
      <c r="H6" s="29" t="inlineStr">
        <is>
          <t>retain_nonruntime</t>
        </is>
      </c>
      <c r="I6" s="29" t="inlineStr">
        <is>
          <t>Use only in component-level research with matched WSE and component datums.</t>
        </is>
      </c>
      <c r="J6" s="29" t="inlineStr">
        <is>
          <t>Substitute it for FLOOD_DEPTH_ABOVE_SUBSTATION_GRADE_FT_HAZUS or mix the two grains.</t>
        </is>
      </c>
      <c r="K6" s="29" t="inlineStr">
        <is>
          <t>The component method remains useful but differs from the source-native facility-grade axis.</t>
        </is>
      </c>
      <c r="L6" s="29" t="inlineStr">
        <is>
          <t>A component record is validated or the assembly-axis contract changes.</t>
        </is>
      </c>
    </row>
    <row r="7">
      <c r="A7" s="29" t="inlineStr">
        <is>
          <t>FW-C003</t>
        </is>
      </c>
      <c r="B7" s="29" t="inlineStr">
        <is>
          <t>Asset label solar versus wind is not an intrinsic selector for materially identical equipment and delivered exposure.</t>
        </is>
      </c>
      <c r="C7" s="29" t="inlineStr">
        <is>
          <t>governance_decision</t>
        </is>
      </c>
      <c r="D7" s="29" t="inlineStr">
        <is>
          <t>FW-S001;GOVERNANCE_CONTRACT;SHARED_SUBSTRATE</t>
        </is>
      </c>
      <c r="E7" s="29" t="inlineStr">
        <is>
          <t>method standard 20 compatibility key</t>
        </is>
      </c>
      <c r="F7" s="29" t="inlineStr">
        <is>
          <t>T4_placeholder_or_expert_judgment</t>
        </is>
      </c>
      <c r="G7" s="29" t="inlineStr">
        <is>
          <t>curve_selection_rule</t>
        </is>
      </c>
      <c r="H7" s="29" t="inlineStr">
        <is>
          <t>adopt</t>
        </is>
      </c>
      <c r="I7" s="29" t="inlineStr">
        <is>
          <t>Share a response after exact compatibility passes.</t>
        </is>
      </c>
      <c r="J7" s="29" t="inlineStr">
        <is>
          <t>Ignore equipment construction selectors or copy exposure/value.</t>
        </is>
      </c>
      <c r="K7" s="29" t="inlineStr">
        <is>
          <t>The physical component sees water and its own state, not the upstream generation label.</t>
        </is>
      </c>
      <c r="L7" s="29" t="inlineStr">
        <is>
          <t>Evidence shows technology context changes intrinsic response after controls.</t>
        </is>
      </c>
    </row>
    <row r="8">
      <c r="A8" s="29" t="inlineStr">
        <is>
          <t>FW-C004</t>
        </is>
      </c>
      <c r="B8" s="29" t="inlineStr">
        <is>
          <t>Switchgear main transformer auxiliaries controls station service and terminations require separate failure-unit identities unless an adopted source explicitly supplies a whole-facility atom.</t>
        </is>
      </c>
      <c r="C8" s="29" t="inlineStr">
        <is>
          <t>source_interpretation</t>
        </is>
      </c>
      <c r="D8" s="29" t="inlineStr">
        <is>
          <t>FW-S002;FW-S003;FW-S004;FW-S011;SHARED_SUBSTRATE</t>
        </is>
      </c>
      <c r="E8" s="29" t="inlineStr">
        <is>
          <t>equipment categories, case endpoints, and Hazus Table 7.9 comments</t>
        </is>
      </c>
      <c r="F8" s="29" t="inlineStr">
        <is>
          <t>T3_engineering_proxy_or_adjacent_empirical</t>
        </is>
      </c>
      <c r="G8" s="29" t="inlineStr">
        <is>
          <t>failure_unit_decomposition</t>
        </is>
      </c>
      <c r="H8" s="29" t="inlineStr">
        <is>
          <t>adopt</t>
        </is>
      </c>
      <c r="I8" s="29" t="inlineStr">
        <is>
          <t>Preserve separate component subjects and the mutually exclusive Hazus whole-substation source atom.</t>
        </is>
      </c>
      <c r="J8" s="29" t="inlineStr">
        <is>
          <t>Apply the assembly DR independently to each component or sum assembly and component values.</t>
        </is>
      </c>
      <c r="K8" s="29" t="inlineStr">
        <is>
          <t>Sources describe distinct components while FW-S011 supplies only one inseparable facility response; FW-S002 is historical context pending successor review.</t>
        </is>
      </c>
      <c r="L8" s="29" t="inlineStr">
        <is>
          <t>Claims/OEM data or reviewed NEMA CS 70006-2026 guidance change the decomposition.</t>
        </is>
      </c>
    </row>
    <row r="9">
      <c r="A9" s="29" t="inlineStr">
        <is>
          <t>FW-C005</t>
        </is>
      </c>
      <c r="B9" s="29" t="inlineStr">
        <is>
          <t>NERC shallow relay-room flooding demonstrates operational sensitivity but does not calibrate physical DR.</t>
        </is>
      </c>
      <c r="C9" s="29" t="inlineStr">
        <is>
          <t>direct_observation</t>
        </is>
      </c>
      <c r="D9" s="29" t="inlineStr">
        <is>
          <t>FW-S003</t>
        </is>
      </c>
      <c r="E9" s="29" t="inlineStr">
        <is>
          <t>approximately 8 inches and 495 MW operational consequence</t>
        </is>
      </c>
      <c r="F9" s="29" t="inlineStr">
        <is>
          <t>T3_engineering_proxy_or_adjacent_empirical</t>
        </is>
      </c>
      <c r="G9" s="29" t="inlineStr">
        <is>
          <t>endpoint_boundary</t>
        </is>
      </c>
      <c r="H9" s="29" t="inlineStr">
        <is>
          <t>adopt_with_limits</t>
        </is>
      </c>
      <c r="I9" s="29" t="inlineStr">
        <is>
          <t>Prioritize controls/protection curation and route outage downstream.</t>
        </is>
      </c>
      <c r="J9" s="29" t="inlineStr">
        <is>
          <t>Use MW removed from service as repair-cost ratio.</t>
        </is>
      </c>
      <c r="K9" s="29" t="inlineStr">
        <is>
          <t>The source reports operations and unavailable equipment rather than same-unit cost.</t>
        </is>
      </c>
      <c r="L9" s="29" t="inlineStr">
        <is>
          <t>A source publishes component disposition and cost for the event.</t>
        </is>
      </c>
    </row>
    <row r="10">
      <c r="A10" s="29" t="inlineStr">
        <is>
          <t>FW-C006</t>
        </is>
      </c>
      <c r="B10" s="29" t="inlineStr">
        <is>
          <t>FS_SWG remains a pinned component candidate but is not the adopted whole-substation curve and remains audit-only for flood_wind.</t>
        </is>
      </c>
      <c r="C10" s="29" t="inlineStr">
        <is>
          <t>governance_decision</t>
        </is>
      </c>
      <c r="D10" s="29" t="inlineStr">
        <is>
          <t>FW-S010</t>
        </is>
      </c>
      <c r="E10" s="29" t="inlineStr">
        <is>
          <t>FS_SWG and parameter tier table</t>
        </is>
      </c>
      <c r="F10" s="29" t="inlineStr">
        <is>
          <t>T3_engineering_proxy_or_adjacent_empirical</t>
        </is>
      </c>
      <c r="G10" s="29" t="inlineStr">
        <is>
          <t>FS_SWG_candidate</t>
        </is>
      </c>
      <c r="H10" s="29" t="inlineStr">
        <is>
          <t>withhold</t>
        </is>
      </c>
      <c r="I10" s="29" t="inlineStr">
        <is>
          <t>Retain exact source pin/ordinates for future component review.</t>
        </is>
      </c>
      <c r="J10" s="29" t="inlineStr">
        <is>
          <t>Populate a flood_wind component emit or use FS_SWG as FW_HAZUS_2_1_SUBSTATION_SCREENING_PWL.</t>
        </is>
      </c>
      <c r="K10" s="29" t="inlineStr">
        <is>
          <t>Definition/axis/economic compatibility remains unapproved and the Hazus atom has different grain.</t>
        </is>
      </c>
      <c r="L10" s="29" t="inlineStr">
        <is>
          <t>Exact equipment applicability and economic validation pass.</t>
        </is>
      </c>
    </row>
    <row r="11">
      <c r="A11" s="29" t="inlineStr">
        <is>
          <t>FW-C007</t>
        </is>
      </c>
      <c r="B11" s="29" t="inlineStr">
        <is>
          <t>FS_XFMR cannot transfer directly because its datum/control semantics and main-transformer value denominator are mixed.</t>
        </is>
      </c>
      <c r="C11" s="29" t="inlineStr">
        <is>
          <t>source_interpretation</t>
        </is>
      </c>
      <c r="D11" s="29" t="inlineStr">
        <is>
          <t>FW-S010</t>
        </is>
      </c>
      <c r="E11" s="29" t="inlineStr">
        <is>
          <t>FS_XFMR record plus dossier/metadata wording</t>
        </is>
      </c>
      <c r="F11" s="29" t="inlineStr">
        <is>
          <t>T3_engineering_proxy_or_adjacent_empirical</t>
        </is>
      </c>
      <c r="G11" s="29" t="inlineStr">
        <is>
          <t>FS_XFMR_candidate</t>
        </is>
      </c>
      <c r="H11" s="29" t="inlineStr">
        <is>
          <t>reject_direct_reuse</t>
        </is>
      </c>
      <c r="I11" s="29" t="inlineStr">
        <is>
          <t>Use as a decomposition prompt only.</t>
        </is>
      </c>
      <c r="J11" s="29" t="inlineStr">
        <is>
          <t>Apply control-water depth to full main-transformer value.</t>
        </is>
      </c>
      <c r="K11" s="29" t="inlineStr">
        <is>
          <t>Same-unit denominator and exposed vulnerable parts are not aligned.</t>
        </is>
      </c>
      <c r="L11" s="29" t="inlineStr">
        <is>
          <t>A dependency-safe transformer state/cost model is validated.</t>
        </is>
      </c>
    </row>
    <row r="12">
      <c r="A12" s="29" t="inlineStr">
        <is>
          <t>FW-C008</t>
        </is>
      </c>
      <c r="B12" s="29" t="inlineStr">
        <is>
          <t>FS_SCADA and FS_CABLE are partial concept/mechanism matches only.</t>
        </is>
      </c>
      <c r="C12" s="29" t="inlineStr">
        <is>
          <t>source_interpretation</t>
        </is>
      </c>
      <c r="D12" s="29" t="inlineStr">
        <is>
          <t>FW-S007;FW-S010</t>
        </is>
      </c>
      <c r="E12" s="29" t="inlineStr">
        <is>
          <t>FS_SCADA and FS_CABLE semantics</t>
        </is>
      </c>
      <c r="F12" s="29" t="inlineStr">
        <is>
          <t>T3_engineering_proxy_or_adjacent_empirical</t>
        </is>
      </c>
      <c r="G12" s="29" t="inlineStr">
        <is>
          <t>neighbor_candidate_reuse</t>
        </is>
      </c>
      <c r="H12" s="29" t="inlineStr">
        <is>
          <t>withhold</t>
        </is>
      </c>
      <c r="I12" s="29" t="inlineStr">
        <is>
          <t>Crosswalk equipment and pathways.</t>
        </is>
      </c>
      <c r="J12" s="29" t="inlineStr">
        <is>
          <t>Equate plant SCADA with protection/control or solar AC/DC cable with wind MV inventory.</t>
        </is>
      </c>
      <c r="K12" s="29" t="inlineStr">
        <is>
          <t>The existing records aggregate different subjects.</t>
        </is>
      </c>
      <c r="L12" s="29" t="inlineStr">
        <is>
          <t>Qualified equipment and value crosswalks pass.</t>
        </is>
      </c>
    </row>
    <row r="13">
      <c r="A13" s="29" t="inlineStr">
        <is>
          <t>FW-C009</t>
        </is>
      </c>
      <c r="B13" s="29" t="inlineStr">
        <is>
          <t>The CWER wind electrical value is one mixed 72 2023 USD/kW bucket and does not support a standalone 9% substation allocation.</t>
        </is>
      </c>
      <c r="C13" s="29" t="inlineStr">
        <is>
          <t>source_interpretation</t>
        </is>
      </c>
      <c r="D13" s="29" t="inlineStr">
        <is>
          <t>FW-S008</t>
        </is>
      </c>
      <c r="E13" s="29" t="inlineStr">
        <is>
          <t>land-based reference breakdown and local Wind_Map row 12</t>
        </is>
      </c>
      <c r="F13" s="29" t="inlineStr">
        <is>
          <t>T2_public_lab_standard_or_physics</t>
        </is>
      </c>
      <c r="G13" s="29" t="inlineStr">
        <is>
          <t>value_rollup</t>
        </is>
      </c>
      <c r="H13" s="29" t="inlineStr">
        <is>
          <t>adopt_with_limits</t>
        </is>
      </c>
      <c r="I13" s="29" t="inlineStr">
        <is>
          <t>Preserve the 72 USD/kW reconciliation row and require a component or whole-substation site value.</t>
        </is>
      </c>
      <c r="J13" s="29" t="inlineStr">
        <is>
          <t>Use 9% GSU plus 9% electrical or treat the row as a site appraisal.</t>
        </is>
      </c>
      <c r="K13" s="29" t="inlineStr">
        <is>
          <t>The source ledger does not split collection and substation.</t>
        </is>
      </c>
      <c r="L13" s="29" t="inlineStr">
        <is>
          <t>Site/OEM/insured schedule supplies a complete non-overlapping value.</t>
        </is>
      </c>
    </row>
    <row r="14">
      <c r="A14" s="29" t="inlineStr">
        <is>
          <t>FW-C010</t>
        </is>
      </c>
      <c r="B14" s="29" t="inlineStr">
        <is>
          <t>Functional association or mapped generation-substation role does not prove project ownership or insured inclusion.</t>
        </is>
      </c>
      <c r="C14" s="29" t="inlineStr">
        <is>
          <t>governance_decision</t>
        </is>
      </c>
      <c r="D14" s="29" t="inlineStr">
        <is>
          <t>FW-S009;LEG-FW-001;GOVERNANCE_CONTRACT</t>
        </is>
      </c>
      <c r="E14" s="29" t="inlineStr">
        <is>
          <t>LGIA demarcation definitions and Hazard ownership audit</t>
        </is>
      </c>
      <c r="F14" s="29" t="inlineStr">
        <is>
          <t>T3_engineering_proxy_or_adjacent_empirical</t>
        </is>
      </c>
      <c r="G14" s="29" t="inlineStr">
        <is>
          <t>ownership_value_rule</t>
        </is>
      </c>
      <c r="H14" s="29" t="inlineStr">
        <is>
          <t>adopt</t>
        </is>
      </c>
      <c r="I14" s="29" t="inlineStr">
        <is>
          <t>Withhold project scenario loss and permit labeled dependency/sensitivity treatment.</t>
        </is>
      </c>
      <c r="J14" s="29" t="inlineStr">
        <is>
          <t>Price unknown or utility-owned POI equipment as project value.</t>
        </is>
      </c>
      <c r="K14" s="29" t="inlineStr">
        <is>
          <t>Ownership and demarcation are agreement/site specific.</t>
        </is>
      </c>
      <c r="L14" s="29" t="inlineStr">
        <is>
          <t>Executed agreement, one-line, and value schedule resolve the boundary.</t>
        </is>
      </c>
    </row>
    <row r="15">
      <c r="A15" s="29" t="inlineStr">
        <is>
          <t>FW-C011</t>
        </is>
      </c>
      <c r="B15" s="29" t="inlineStr">
        <is>
          <t>Riverine pluvial and coastal sources may share a contact response only for the same delivered exposure and conditioner vector.</t>
        </is>
      </c>
      <c r="C15" s="29" t="inlineStr">
        <is>
          <t>governance_decision</t>
        </is>
      </c>
      <c r="D15" s="29" t="inlineStr">
        <is>
          <t>FW-S002;FW-S005;GOVERNANCE_CONTRACT</t>
        </is>
      </c>
      <c r="E15" s="29" t="inlineStr">
        <is>
          <t>pathway and binding rules</t>
        </is>
      </c>
      <c r="F15" s="29" t="inlineStr">
        <is>
          <t>T3_engineering_proxy_or_adjacent_empirical</t>
        </is>
      </c>
      <c r="G15" s="29" t="inlineStr">
        <is>
          <t>source_peril_routing</t>
        </is>
      </c>
      <c r="H15" s="29" t="inlineStr">
        <is>
          <t>adopt</t>
        </is>
      </c>
      <c r="I15" s="29" t="inlineStr">
        <is>
          <t>Preserve source provenance event identity duration water quality and local depth.</t>
        </is>
      </c>
      <c r="J15" s="29" t="inlineStr">
        <is>
          <t>Treat equal grade depth as equal damage under salinity debris velocity or duration differences.</t>
        </is>
      </c>
      <c r="K15" s="29" t="inlineStr">
        <is>
          <t>Source label alone is not mechanism equivalence.</t>
        </is>
      </c>
      <c r="L15" s="29" t="inlineStr">
        <is>
          <t>Validated source-specific variants or equivalence tests pass.</t>
        </is>
      </c>
    </row>
    <row r="16">
      <c r="A16" s="29" t="inlineStr">
        <is>
          <t>FW-C012</t>
        </is>
      </c>
      <c r="B16" s="29" t="inlineStr">
        <is>
          <t>Scour erosion and saturated-soil support loss are separate from direct inundation contact.</t>
        </is>
      </c>
      <c r="C16" s="29" t="inlineStr">
        <is>
          <t>governance_decision</t>
        </is>
      </c>
      <c r="D16" s="29" t="inlineStr">
        <is>
          <t>FW-S005;GOVERNANCE_CONTRACT</t>
        </is>
      </c>
      <c r="E16" s="29" t="inlineStr">
        <is>
          <t>method standard 18 and discussion boundary</t>
        </is>
      </c>
      <c r="F16" s="29" t="inlineStr">
        <is>
          <t>T4_placeholder_or_expert_judgment</t>
        </is>
      </c>
      <c r="G16" s="29" t="inlineStr">
        <is>
          <t>pathway_split</t>
        </is>
      </c>
      <c r="H16" s="29" t="inlineStr">
        <is>
          <t>adopt</t>
        </is>
      </c>
      <c r="I16" s="29" t="inlineStr">
        <is>
          <t>Defer to hydraulic/geotechnical pathway.</t>
        </is>
      </c>
      <c r="J16" s="29" t="inlineStr">
        <is>
          <t>Use the assembly depth curve or legacy foundation logistic.</t>
        </is>
      </c>
      <c r="K16" s="29" t="inlineStr">
        <is>
          <t>Axes mechanisms and site dependence differ.</t>
        </is>
      </c>
      <c r="L16" s="29" t="inlineStr">
        <is>
          <t>Qualified scour pathway is released.</t>
        </is>
      </c>
    </row>
    <row r="17">
      <c r="A17" s="29" t="inlineStr">
        <is>
          <t>FW-C013</t>
        </is>
      </c>
      <c r="B17" s="29" t="inlineStr">
        <is>
          <t>The legacy M3 anchored logistics are regression fixtures and contain a non-renormalized asymptote discrepancy.</t>
        </is>
      </c>
      <c r="C17" s="29" t="inlineStr">
        <is>
          <t>direct_observation</t>
        </is>
      </c>
      <c r="D17" s="29" t="inlineStr">
        <is>
          <t>LEG-FW-001</t>
        </is>
      </c>
      <c r="E17" s="29" t="inlineStr">
        <is>
          <t>dr() and hardcoded CAPEX/curves</t>
        </is>
      </c>
      <c r="F17" s="29" t="inlineStr">
        <is>
          <t>T4_placeholder_or_expert_judgment</t>
        </is>
      </c>
      <c r="G17" s="29" t="inlineStr">
        <is>
          <t>legacy_curve</t>
        </is>
      </c>
      <c r="H17" s="29" t="inlineStr">
        <is>
          <t>reject</t>
        </is>
      </c>
      <c r="I17" s="29" t="inlineStr">
        <is>
          <t>Reproduce old characterization values only.</t>
        </is>
      </c>
      <c r="J17" s="29" t="inlineStr">
        <is>
          <t>Use L as actual asymptote x0 as emitted midpoint or accept the 0.37 ceiling as curve saturation.</t>
        </is>
      </c>
      <c r="K17" s="29" t="inlineStr">
        <is>
          <t>Subtracting raw(0) anchors but does not renormalize.</t>
        </is>
      </c>
      <c r="L17" s="29" t="inlineStr">
        <is>
          <t>Legacy code is retired after pinned migration.</t>
        </is>
      </c>
    </row>
    <row r="18">
      <c r="A18" s="29" t="inlineStr">
        <is>
          <t>FW-C014</t>
        </is>
      </c>
      <c r="B18" s="29" t="inlineStr">
        <is>
          <t>Replacing Hazard M3 alone does not remove the M4 coastal hardcoded bypass.</t>
        </is>
      </c>
      <c r="C18" s="29" t="inlineStr">
        <is>
          <t>direct_observation</t>
        </is>
      </c>
      <c r="D18" s="29" t="inlineStr">
        <is>
          <t>LEG-FW-002</t>
        </is>
      </c>
      <c r="E18" s="29" t="inlineStr">
        <is>
          <t>CAPEX7 and SURGE_CURVE reconstruction</t>
        </is>
      </c>
      <c r="F18" s="29" t="inlineStr">
        <is>
          <t>T4_placeholder_or_expert_judgment</t>
        </is>
      </c>
      <c r="G18" s="29" t="inlineStr">
        <is>
          <t>consumer_migration_scope</t>
        </is>
      </c>
      <c r="H18" s="29" t="inlineStr">
        <is>
          <t>adopt</t>
        </is>
      </c>
      <c r="I18" s="29" t="inlineStr">
        <is>
          <t>Require one pinned loader for M3 and coastal M4.</t>
        </is>
      </c>
      <c r="J18" s="29" t="inlineStr">
        <is>
          <t>Declare migration complete after M3-only replacement.</t>
        </is>
      </c>
      <c r="K18" s="29" t="inlineStr">
        <is>
          <t>M4 independently reconstructs the provisional response.</t>
        </is>
      </c>
      <c r="L18" s="29" t="inlineStr">
        <is>
          <t>Consumer dual-read and bypass KAT pass.</t>
        </is>
      </c>
    </row>
    <row r="19">
      <c r="A19" s="29" t="inlineStr">
        <is>
          <t>FW-C015</t>
        </is>
      </c>
      <c r="B19" s="29" t="inlineStr">
        <is>
          <t>Missing ground/elevation data and synthetic centroid fallback cannot become dry or a priced substation.</t>
        </is>
      </c>
      <c r="C19" s="29" t="inlineStr">
        <is>
          <t>governance_decision</t>
        </is>
      </c>
      <c r="D19" s="29" t="inlineStr">
        <is>
          <t>LEG-FW-001;GOVERNANCE_CONTRACT</t>
        </is>
      </c>
      <c r="E19" s="29" t="inlineStr">
        <is>
          <t>legacy audit and missing-state rules</t>
        </is>
      </c>
      <c r="F19" s="29" t="inlineStr">
        <is>
          <t>T4_placeholder_or_expert_judgment</t>
        </is>
      </c>
      <c r="G19" s="29" t="inlineStr">
        <is>
          <t>missing_exposure_policy</t>
        </is>
      </c>
      <c r="H19" s="29" t="inlineStr">
        <is>
          <t>adopt</t>
        </is>
      </c>
      <c r="I19" s="29" t="inlineStr">
        <is>
          <t>Preserve missing/placeholder state and withhold or reject.</t>
        </is>
      </c>
      <c r="J19" s="29" t="inlineStr">
        <is>
          <t>Convert invalid elevation to zero depth or price a centroid as a 9% GSU.</t>
        </is>
      </c>
      <c r="K19" s="29" t="inlineStr">
        <is>
          <t>Unknown exposure and absent physical identity are not observations.</t>
        </is>
      </c>
      <c r="L19" s="29" t="inlineStr">
        <is>
          <t>Observed component identity geometry and datum become available.</t>
        </is>
      </c>
    </row>
    <row r="20">
      <c r="A20" s="29" t="inlineStr">
        <is>
          <t>FW-C016</t>
        </is>
      </c>
      <c r="B20" s="29" t="inlineStr">
        <is>
          <t>Support fieldwork and transport are allocated once after direct damaged units and disposition are known.</t>
        </is>
      </c>
      <c r="C20" s="29" t="inlineStr">
        <is>
          <t>governance_decision</t>
        </is>
      </c>
      <c r="D20" s="29" t="inlineStr">
        <is>
          <t>FW-S008;GOVERNANCE_CONTRACT</t>
        </is>
      </c>
      <c r="E20" s="29" t="inlineStr">
        <is>
          <t>Wind_Map rows 13-14 and value standard</t>
        </is>
      </c>
      <c r="F20" s="29" t="inlineStr">
        <is>
          <t>T4_placeholder_or_expert_judgment</t>
        </is>
      </c>
      <c r="G20" s="29" t="inlineStr">
        <is>
          <t>support_once_rule</t>
        </is>
      </c>
      <c r="H20" s="29" t="inlineStr">
        <is>
          <t>adopt_with_limits</t>
        </is>
      </c>
      <c r="I20" s="29" t="inlineStr">
        <is>
          <t>Preserve 294 USD/kW reference reconciliation and require explicit allocation.</t>
        </is>
      </c>
      <c r="J20" s="29" t="inlineStr">
        <is>
          <t>Give support an independent flood curve or add it twice.</t>
        </is>
      </c>
      <c r="K20" s="29" t="inlineStr">
        <is>
          <t>Support is repair-scope dependent, not vulnerable hardware.</t>
        </is>
      </c>
      <c r="L20" s="29" t="inlineStr">
        <is>
          <t>Claims-backed support allocation is approved.</t>
        </is>
      </c>
    </row>
    <row r="21">
      <c r="A21" s="29" t="inlineStr">
        <is>
          <t>FW-C017</t>
        </is>
      </c>
      <c r="B21" s="29" t="inlineStr">
        <is>
          <t>The model-v0.1 bounded negative remains valid for component-local state-to-disposition-to-same-unit-cost chains but is superseded at whole-substation grain by FW-S011.</t>
        </is>
      </c>
      <c r="C21" s="29" t="inlineStr">
        <is>
          <t>governance_decision</t>
        </is>
      </c>
      <c r="D21" s="29" t="inlineStr">
        <is>
          <t>FW-S002;FW-S003;FW-S004;FW-S011;FW-S012;BOUNDED_SEARCH_LOG</t>
        </is>
      </c>
      <c r="E21" s="29" t="inlineStr">
        <is>
          <t>bounded endpoint review plus Hazus-MH 2.1 Table 7.9 and Hazus 7.0 status</t>
        </is>
      </c>
      <c r="F21" s="29" t="inlineStr">
        <is>
          <t>T3_engineering_proxy_or_adjacent_empirical</t>
        </is>
      </c>
      <c r="G21" s="29" t="inlineStr">
        <is>
          <t>evidence_reopening</t>
        </is>
      </c>
      <c r="H21" s="29" t="inlineStr">
        <is>
          <t>adopt_with_limits</t>
        </is>
      </c>
      <c r="I21" s="29" t="inlineStr">
        <is>
          <t>Adopt one legacy source-native assembly curve while retaining component withholding.</t>
        </is>
      </c>
      <c r="J21" s="29" t="inlineStr">
        <is>
          <t>Claim component calibration, current Hazus enablement, or universal evidence completeness.</t>
        </is>
      </c>
      <c r="K21" s="29" t="inlineStr">
        <is>
          <t>The newly located source closes only the facility-assembly ordinate gap and FW-S012 narrows its status.</t>
        </is>
      </c>
      <c r="L21" s="29" t="inlineStr">
        <is>
          <t>Matched component evidence or a newer official Hazus status changes.</t>
        </is>
      </c>
    </row>
    <row r="22">
      <c r="A22" s="29" t="inlineStr">
        <is>
          <t>FW-C018</t>
        </is>
      </c>
      <c r="B22" s="29" t="inlineStr">
        <is>
          <t>Model v1.0 changes capability from universal numeric withholding to one conditional whole-substation scalar DR while every prior failure unit remains withheld.</t>
        </is>
      </c>
      <c r="C22" s="29" t="inlineStr">
        <is>
          <t>governance_decision</t>
        </is>
      </c>
      <c r="D22" s="29" t="inlineStr">
        <is>
          <t>FW-S011;FW-S012;GOVERNANCE_CONTRACT</t>
        </is>
      </c>
      <c r="E22" s="29" t="inlineStr">
        <is>
          <t>proposed artifact capability declaration and evaluation contract</t>
        </is>
      </c>
      <c r="F22" s="29" t="inlineStr">
        <is>
          <t>T3_engineering_proxy_or_adjacent_empirical</t>
        </is>
      </c>
      <c r="G22" s="29" t="inlineStr">
        <is>
          <t>capability</t>
        </is>
      </c>
      <c r="H22" s="29" t="inlineStr">
        <is>
          <t>adopt_proposed</t>
        </is>
      </c>
      <c r="I22" s="29" t="inlineStr">
        <is>
          <t>Return the assembly scalar only when every exact compatibility gate passes.</t>
        </is>
      </c>
      <c r="J22" s="29" t="inlineStr">
        <is>
          <t>Return zero, a component result, legacy fallback, scenario loss, or annual/tail result from the reference evaluator.</t>
        </is>
      </c>
      <c r="K22" s="29" t="inlineStr">
        <is>
          <t>A source-native function exists at one grain; no other record passed promotion gates.</t>
        </is>
      </c>
      <c r="L22" s="29" t="inlineStr">
        <is>
          <t>Independent review or canonical promotion decision.</t>
        </is>
      </c>
    </row>
    <row r="23">
      <c r="A23" s="29" t="inlineStr">
        <is>
          <t>FW-C019</t>
        </is>
      </c>
      <c r="B23" s="29" t="inlineStr">
        <is>
          <t>FW_HAZUS_2_1_SUBSTATION_SCREENING_PWL exactly reproduces Table 7.9 ratios [0,.02,.04,.06,.07,.08,.09,.10,.12,.14,.15] at depths 0 through 10 ft and linearly interpolates only between knots.</t>
        </is>
      </c>
      <c r="C23" s="29" t="inlineStr">
        <is>
          <t>direct_observation</t>
        </is>
      </c>
      <c r="D23" s="29" t="inlineStr">
        <is>
          <t>FW-S006;FW-S011</t>
        </is>
      </c>
      <c r="E23" s="29" t="inlineStr">
        <is>
          <t>FW-S011 Table 7.9; FW-S006 interpolation form</t>
        </is>
      </c>
      <c r="F23" s="29" t="inlineStr">
        <is>
          <t>T3_engineering_proxy_or_adjacent_empirical</t>
        </is>
      </c>
      <c r="G23" s="29" t="inlineStr">
        <is>
          <t>FW_HAZUS_2_1_SUBSTATION_SCREENING_PWL</t>
        </is>
      </c>
      <c r="H23" s="29" t="inlineStr">
        <is>
          <t>adopt_proposed</t>
        </is>
      </c>
      <c r="I23" s="29" t="inlineStr">
        <is>
          <t>Evaluate finite in-range source-grade depth for the compatible assembly.</t>
        </is>
      </c>
      <c r="J23" s="29" t="inlineStr">
        <is>
          <t>Clamp, extrapolate, smooth, add a tail, or apply the table to components.</t>
        </is>
      </c>
      <c r="K23" s="29" t="inlineStr">
        <is>
          <t>Exact source transcription plus transparent interpolation minimizes local invention.</t>
        </is>
      </c>
      <c r="L23" s="29" t="inlineStr">
        <is>
          <t>Source-table correction or independent transcription failure.</t>
        </is>
      </c>
    </row>
    <row r="24">
      <c r="A24" s="29" t="inlineStr">
        <is>
          <t>FW-C020</t>
        </is>
      </c>
      <c r="B24" s="29" t="inlineStr">
        <is>
          <t>The Hazus curve atom is one facility-level control-room cabling transformer and switchgear assembly with the full same-substation direct replacement value denominator.</t>
        </is>
      </c>
      <c r="C24" s="29" t="inlineStr">
        <is>
          <t>source_interpretation</t>
        </is>
      </c>
      <c r="D24" s="29" t="inlineStr">
        <is>
          <t>FW-S011</t>
        </is>
      </c>
      <c r="E24" s="29" t="inlineStr">
        <is>
          <t>Table 7.9 comments and footnote 2</t>
        </is>
      </c>
      <c r="F24" s="29" t="inlineStr">
        <is>
          <t>T3_engineering_proxy_or_adjacent_empirical</t>
        </is>
      </c>
      <c r="G24" s="29" t="inlineStr">
        <is>
          <t>whole_substation_source_atom</t>
        </is>
      </c>
      <c r="H24" s="29" t="inlineStr">
        <is>
          <t>adopt_proposed</t>
        </is>
      </c>
      <c r="I24" s="29" t="inlineStr">
        <is>
          <t>Use one complete same-facility assembly value after release.</t>
        </is>
      </c>
      <c r="J24" s="29" t="inlineStr">
        <is>
          <t>Split the source ordinate among components or bind it to project TIV.</t>
        </is>
      </c>
      <c r="K24" s="29" t="inlineStr">
        <is>
          <t>The source reports one substation percent-damage function while naming multiple contributors.</t>
        </is>
      </c>
      <c r="L24" s="29" t="inlineStr">
        <is>
          <t>A source publishes dependency-safe component attribution.</t>
        </is>
      </c>
    </row>
    <row r="25">
      <c r="A25" s="29" t="inlineStr">
        <is>
          <t>FW-C021</t>
        </is>
      </c>
      <c r="B25" s="29" t="inlineStr">
        <is>
          <t>ESSL ESSM and ESSH publish identical Table 7.9 ordinates but substation_hazus_class remains a required no-default selector.</t>
        </is>
      </c>
      <c r="C25" s="29" t="inlineStr">
        <is>
          <t>direct_observation</t>
        </is>
      </c>
      <c r="D25" s="29" t="inlineStr">
        <is>
          <t>FW-S011</t>
        </is>
      </c>
      <c r="E25" s="29" t="inlineStr">
        <is>
          <t>Table 7.9, pp. 7-20 through 7-21</t>
        </is>
      </c>
      <c r="F25" s="29" t="inlineStr">
        <is>
          <t>T3_engineering_proxy_or_adjacent_empirical</t>
        </is>
      </c>
      <c r="G25" s="29" t="inlineStr">
        <is>
          <t>substation_hazus_class</t>
        </is>
      </c>
      <c r="H25" s="29" t="inlineStr">
        <is>
          <t>adopt_proposed</t>
        </is>
      </c>
      <c r="I25" s="29" t="inlineStr">
        <is>
          <t>Require exact source class and return equal values within this source model.</t>
        </is>
      </c>
      <c r="J25" s="29" t="inlineStr">
        <is>
          <t>Infer voltage irrelevance outside the source or default a missing class.</t>
        </is>
      </c>
      <c r="K25" s="29" t="inlineStr">
        <is>
          <t>Equality is a source-table fact, not a general empirical conclusion.</t>
        </is>
      </c>
      <c r="L25" s="29" t="inlineStr">
        <is>
          <t>New class-specific evidence or source revision.</t>
        </is>
      </c>
    </row>
    <row r="26">
      <c r="A26" s="29" t="inlineStr">
        <is>
          <t>FW-C022</t>
        </is>
      </c>
      <c r="B26" s="29" t="inlineStr">
        <is>
          <t>Numeric evaluation requires source_assumption_set_id=FEMA_HAZUS_MH_2_1_TABLE_7_9_UNPROTECTED_SUBSTATION and axis FLOOD_DEPTH_ABOVE_SUBSTATION_GRADE_FT_HAZUS.</t>
        </is>
      </c>
      <c r="C26" s="29" t="inlineStr">
        <is>
          <t>governance_decision</t>
        </is>
      </c>
      <c r="D26" s="29" t="inlineStr">
        <is>
          <t>FW-S011;FW-S012;GOVERNANCE_CONTRACT</t>
        </is>
      </c>
      <c r="E26" s="29" t="inlineStr">
        <is>
          <t>source assumptions, proposed artifact selector, and evaluation contract</t>
        </is>
      </c>
      <c r="F26" s="29" t="inlineStr">
        <is>
          <t>T3_engineering_proxy_or_adjacent_empirical</t>
        </is>
      </c>
      <c r="G26" s="29" t="inlineStr">
        <is>
          <t>source_assumption_and_axis_gate</t>
        </is>
      </c>
      <c r="H26" s="29" t="inlineStr">
        <is>
          <t>adopt_proposed</t>
        </is>
      </c>
      <c r="I26" s="29" t="inlineStr">
        <is>
          <t>Make the legacy source atom and limitation explicit in every numerical call.</t>
        </is>
      </c>
      <c r="J26" s="29" t="inlineStr">
        <is>
          <t>Silently default the assumption set or use a component-contact axis.</t>
        </is>
      </c>
      <c r="K26" s="29" t="inlineStr">
        <is>
          <t>Explicit compatibility metadata prevents accidental transfer.</t>
        </is>
      </c>
      <c r="L26" s="29" t="inlineStr">
        <is>
          <t>A reviewed source adapter supersedes the gate.</t>
        </is>
      </c>
    </row>
    <row r="27">
      <c r="A27" s="29" t="inlineStr">
        <is>
          <t>FW-C023</t>
        </is>
      </c>
      <c r="B27" s="29" t="inlineStr">
        <is>
          <t>Hazus 7.0 lists electric-power substations as mapping-only and states that viewable default electric-power functions are disabled and produce no results.</t>
        </is>
      </c>
      <c r="C27" s="29" t="inlineStr">
        <is>
          <t>direct_observation</t>
        </is>
      </c>
      <c r="D27" s="29" t="inlineStr">
        <is>
          <t>FW-S012</t>
        </is>
      </c>
      <c r="E27" s="29" t="inlineStr">
        <is>
          <t>Table 9-1 and section 9.4.1 footnote 21</t>
        </is>
      </c>
      <c r="F27" s="29" t="inlineStr">
        <is>
          <t>T2_public_lab_standard_or_physics</t>
        </is>
      </c>
      <c r="G27" s="29" t="inlineStr">
        <is>
          <t>current_hazus_status</t>
        </is>
      </c>
      <c r="H27" s="29" t="inlineStr">
        <is>
          <t>adopt_as_limitation</t>
        </is>
      </c>
      <c r="I27" s="29" t="inlineStr">
        <is>
          <t>Describe the adopted table as a legacy source-native screening proxy.</t>
        </is>
      </c>
      <c r="J27" s="29" t="inlineStr">
        <is>
          <t>Describe it as current enabled Hazus output or field validation.</t>
        </is>
      </c>
      <c r="K27" s="29" t="inlineStr">
        <is>
          <t>The current official manual explicitly limits runtime status.</t>
        </is>
      </c>
      <c r="L27" s="29" t="inlineStr">
        <is>
          <t>FEMA re-enables and documents validated electric-power loss functions.</t>
        </is>
      </c>
    </row>
    <row r="28">
      <c r="A28" s="29" t="inlineStr">
        <is>
          <t>FW-C024</t>
        </is>
      </c>
      <c r="B28" s="29" t="inlineStr">
        <is>
          <t>Numeric support is limited to water_quality_class=freshwater_non_contaminated and delivered_depth_basis=unprotected_or_internal_post_bypass_depth; protection is handled once in delivered depth.</t>
        </is>
      </c>
      <c r="C28" s="29" t="inlineStr">
        <is>
          <t>governance_decision</t>
        </is>
      </c>
      <c r="D28" s="29" t="inlineStr">
        <is>
          <t>FW-S002;FW-S005;FW-S011;FW-S013;GOVERNANCE_CONTRACT</t>
        </is>
      </c>
      <c r="E28" s="29" t="inlineStr">
        <is>
          <t>source domain and proposed conditioner contract</t>
        </is>
      </c>
      <c r="F28" s="29" t="inlineStr">
        <is>
          <t>T4_placeholder_or_expert_judgment</t>
        </is>
      </c>
      <c r="G28" s="29" t="inlineStr">
        <is>
          <t>conditioner_gate</t>
        </is>
      </c>
      <c r="H28" s="29" t="inlineStr">
        <is>
          <t>adopt_proposed</t>
        </is>
      </c>
      <c r="I28" s="29" t="inlineStr">
        <is>
          <t>Evaluate unprotected or internal post-bypass freshwater depth without a second protection modifier.</t>
        </is>
      </c>
      <c r="J28" s="29" t="inlineStr">
        <is>
          <t>Transfer to contaminated brackish saltwater or unknown water or add implicit protection credit.</t>
        </is>
      </c>
      <c r="K28" s="29" t="inlineStr">
        <is>
          <t>No validated modifier accompanies the source curve, and the current NEMA guide has not yet been reviewed; the freshwater-only gate is conservative governance, not source calibration.</t>
        </is>
      </c>
      <c r="L28" s="29" t="inlineStr">
        <is>
          <t>NEMA CS 70006-2026 and qualified water-quality or protection-response evidence are acquired and reviewed.</t>
        </is>
      </c>
    </row>
    <row r="29">
      <c r="A29" s="29" t="inlineStr">
        <is>
          <t>FW-C025</t>
        </is>
      </c>
      <c r="B29" s="29" t="inlineStr">
        <is>
          <t>The Hazus assembly representation and the six component GSU representations are mutually exclusive for both response and value.</t>
        </is>
      </c>
      <c r="C29" s="29" t="inlineStr">
        <is>
          <t>governance_decision</t>
        </is>
      </c>
      <c r="D29" s="29" t="inlineStr">
        <is>
          <t>FW-S011;GOVERNANCE_CONTRACT;SHARED_SUBSTRATE</t>
        </is>
      </c>
      <c r="E29" s="29" t="inlineStr">
        <is>
          <t>source atom and assembly/value standards</t>
        </is>
      </c>
      <c r="F29" s="29" t="inlineStr">
        <is>
          <t>T4_placeholder_or_expert_judgment</t>
        </is>
      </c>
      <c r="G29" s="29" t="inlineStr">
        <is>
          <t>assembly_component_mutual_exclusion</t>
        </is>
      </c>
      <c r="H29" s="29" t="inlineStr">
        <is>
          <t>adopt_proposed</t>
        </is>
      </c>
      <c r="I29" s="29" t="inlineStr">
        <is>
          <t>Choose one non-overlapping representation of one physical substation.</t>
        </is>
      </c>
      <c r="J29" s="29" t="inlineStr">
        <is>
          <t>Evaluate or value the assembly and its component rows together.</t>
        </is>
      </c>
      <c r="K29" s="29" t="inlineStr">
        <is>
          <t>The assembly ordinate already reflects multiple physical substation contributors.</t>
        </is>
      </c>
      <c r="L29" s="29" t="inlineStr">
        <is>
          <t>A dependency-safe decomposition explicitly replaces the assembly.</t>
        </is>
      </c>
    </row>
    <row r="30">
      <c r="A30" s="29" t="inlineStr">
        <is>
          <t>FW-C026</t>
        </is>
      </c>
      <c r="B30" s="29" t="inlineStr">
        <is>
          <t>The canonical screening evaluator emits DR; scenario loss requires explicit same-substation value ownership and exposure checks.</t>
        </is>
      </c>
      <c r="C30" s="29" t="inlineStr">
        <is>
          <t>governance_decision</t>
        </is>
      </c>
      <c r="D30" s="29" t="inlineStr">
        <is>
          <t>FW-S008;FW-S009;GOVERNANCE_CONTRACT</t>
        </is>
      </c>
      <c r="E30" s="29" t="inlineStr">
        <is>
          <t>evaluation contract and value linkage</t>
        </is>
      </c>
      <c r="F30" s="29" t="inlineStr">
        <is>
          <t>T4_placeholder_or_expert_judgment</t>
        </is>
      </c>
      <c r="G30" s="29" t="inlineStr">
        <is>
          <t>scenario_loss_boundary</t>
        </is>
      </c>
      <c r="H30" s="29" t="inlineStr">
        <is>
          <t>adopt_proposed</t>
        </is>
      </c>
      <c r="I30" s="29" t="inlineStr">
        <is>
          <t>Review intrinsic scalar behavior independently from value binding.</t>
        </is>
      </c>
      <c r="J30" s="29" t="inlineStr">
        <is>
          <t>Treat a DR emit as a reportable dollar loss EAL PML VaR or TVaR.</t>
        </is>
      </c>
      <c r="K30" s="29" t="inlineStr">
        <is>
          <t>The proposal has neither canonical status nor a verified site denominator.</t>
        </is>
      </c>
      <c r="L30" s="29" t="inlineStr">
        <is>
          <t>Canonical promotion and consumer cap-binding validation complete.</t>
        </is>
      </c>
    </row>
    <row r="31">
      <c r="A31" s="30" t="inlineStr">
        <is>
          <t>FW-C027</t>
        </is>
      </c>
      <c r="B31" s="30" t="inlineStr">
        <is>
          <t>NEMA's April 2026 publication register identifies the same-titled successor guide NEMA CS 70006-2026, so GD 1-2016 is historical and the current guide must be acquired and technically reviewed before explicit same-unit value and exposure validation.</t>
        </is>
      </c>
      <c r="C31" s="30" t="inlineStr">
        <is>
          <t>source_status_observation</t>
        </is>
      </c>
      <c r="D31" s="30" t="inlineStr">
        <is>
          <t>FW-S002;FW-S013</t>
        </is>
      </c>
      <c r="E31" s="30" t="inlineStr">
        <is>
          <t>FW-S013 Recently Published Documents, p. 5; FW-S002 sections 4.3 and 4.4</t>
        </is>
      </c>
      <c r="F31" s="30" t="inlineStr">
        <is>
          <t>T2_public_lab_standard_or_physics</t>
        </is>
      </c>
      <c r="G31" s="30" t="inlineStr">
        <is>
          <t>current_electrical_disposition_guide_gate</t>
        </is>
      </c>
      <c r="H31" s="30" t="inlineStr">
        <is>
          <t>promotion_caveat</t>
        </is>
      </c>
      <c r="I31" s="30" t="inlineStr">
        <is>
          <t>Retain the 2016 guide only as historical mechanism context while opening current-guide review.</t>
        </is>
      </c>
      <c r="J31" s="30" t="inlineStr">
        <is>
          <t>Assume unseen successor content, treat the 2016 edition as current authority, or change FEMA Table 7.9 knots from publication metadata.</t>
        </is>
      </c>
      <c r="K31" s="30" t="inlineStr">
        <is>
          <t>The official register proves current publication identity but not the successor's detailed technical content; the numeric curve comes from FW-S011 and is unaffected.</t>
        </is>
      </c>
      <c r="L31" s="30" t="inlineStr">
        <is>
          <t>NEMA CS 70006-2026 is acquired, registered, compared against FW-S002, and reviewed.</t>
        </is>
      </c>
    </row>
  </sheetData>
  <mergeCells count="2">
    <mergeCell ref="A2:L2"/>
    <mergeCell ref="A1:L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36" customWidth="1" style="16" min="1" max="1"/>
    <col width="28" customWidth="1" style="16" min="2" max="2"/>
    <col width="40" customWidth="1" style="16" min="3" max="3"/>
    <col width="48" customWidth="1" style="16" min="4" max="4"/>
    <col width="30" customWidth="1" style="16" min="5" max="5"/>
    <col width="34" customWidth="1" style="16" min="6" max="6"/>
    <col width="28" customWidth="1" style="16" min="7" max="7"/>
    <col width="62" customWidth="1" style="16" min="8" max="8"/>
    <col width="24" customWidth="1" style="16" min="9" max="9"/>
    <col width="48" customWidth="1" style="16" min="10" max="10"/>
  </cols>
  <sheetData>
    <row r="1" ht="26" customHeight="1" s="16">
      <c r="A1" s="2" t="inlineStr">
        <is>
          <t>Parameter and rule tiers</t>
        </is>
      </c>
    </row>
    <row r="2" ht="22" customHeight="1" s="16">
      <c r="A2" s="4" t="inlineStr">
        <is>
          <t>The source ordinates are transparent, but the aggregate transfer remains screening-grade</t>
        </is>
      </c>
    </row>
    <row r="3"/>
    <row r="4">
      <c r="A4" s="13" t="inlineStr">
        <is>
          <t>Parameter</t>
        </is>
      </c>
      <c r="B4" s="14" t="inlineStr">
        <is>
          <t>Pathway</t>
        </is>
      </c>
      <c r="C4" s="14" t="inlineStr">
        <is>
          <t>Curve</t>
        </is>
      </c>
      <c r="D4" s="14" t="inlineStr">
        <is>
          <t>Value/rule</t>
        </is>
      </c>
      <c r="E4" s="14" t="inlineStr">
        <is>
          <t>Role</t>
        </is>
      </c>
      <c r="F4" s="14" t="inlineStr">
        <is>
          <t>Tier</t>
        </is>
      </c>
      <c r="G4" s="14" t="inlineStr">
        <is>
          <t>Sources</t>
        </is>
      </c>
      <c r="H4" s="14" t="inlineStr">
        <is>
          <t>Reasoning</t>
        </is>
      </c>
      <c r="I4" s="14" t="inlineStr">
        <is>
          <t>Status</t>
        </is>
      </c>
      <c r="J4" s="15" t="inlineStr">
        <is>
          <t>Update trigger</t>
        </is>
      </c>
    </row>
    <row r="5">
      <c r="A5" s="27" t="inlineStr">
        <is>
          <t>runtime_curve_count</t>
        </is>
      </c>
      <c r="B5" s="27" t="inlineStr">
        <is>
          <t>flood_inundation_contact</t>
        </is>
      </c>
      <c r="C5" s="27" t="inlineStr">
        <is>
          <t>FW_HAZUS_2_1_SUBSTATION_SCREENING_PWL</t>
        </is>
      </c>
      <c r="D5" s="27" t="inlineStr">
        <is>
          <t>1</t>
        </is>
      </c>
      <c r="E5" s="27" t="inlineStr">
        <is>
          <t>capability</t>
        </is>
      </c>
      <c r="F5" s="27" t="inlineStr">
        <is>
          <t>T3_engineering_proxy_or_adjacent_empirical</t>
        </is>
      </c>
      <c r="G5" s="27" t="inlineStr">
        <is>
          <t>FW-S011;FW-S012;GOVERNANCE_CONTRACT</t>
        </is>
      </c>
      <c r="H5" s="27" t="inlineStr">
        <is>
          <t>One official legacy whole-substation source function passes the narrow screening gate; every prior unit remains withheld.</t>
        </is>
      </c>
      <c r="I5" s="27" t="inlineStr">
        <is>
          <t>adopt_proposed</t>
        </is>
      </c>
      <c r="J5" s="27" t="inlineStr">
        <is>
          <t>Independent review or canonical promotion decision.</t>
        </is>
      </c>
    </row>
    <row r="6">
      <c r="A6" s="29" t="inlineStr">
        <is>
          <t>source_table_points_ft_dr</t>
        </is>
      </c>
      <c r="B6" s="29" t="inlineStr">
        <is>
          <t>flood_inundation_contact</t>
        </is>
      </c>
      <c r="C6" s="29" t="inlineStr">
        <is>
          <t>FW_HAZUS_2_1_SUBSTATION_SCREENING_PWL</t>
        </is>
      </c>
      <c r="D6" s="29" t="inlineStr">
        <is>
          <t>[[0,0],[1,0.02],[2,0.04],[3,0.06],[4,0.07],[5,0.08],[6,0.09],[7,0.10],[8,0.12],[9,0.14],[10,0.15]]</t>
        </is>
      </c>
      <c r="E6" s="29" t="inlineStr">
        <is>
          <t>curve_fit_shape</t>
        </is>
      </c>
      <c r="F6" s="29" t="inlineStr">
        <is>
          <t>T3_engineering_proxy_or_adjacent_empirical</t>
        </is>
      </c>
      <c r="G6" s="29" t="inlineStr">
        <is>
          <t>FW-S011</t>
        </is>
      </c>
      <c r="H6" s="29" t="inlineStr">
        <is>
          <t>Exact FEMA Hazus-MH 2.1 Table 7.9 percent-damage values divided by 100.</t>
        </is>
      </c>
      <c r="I6" s="29" t="inlineStr">
        <is>
          <t>adopt_proposed</t>
        </is>
      </c>
      <c r="J6" s="29" t="inlineStr">
        <is>
          <t>Source-table correction or failed independent transcription.</t>
        </is>
      </c>
    </row>
    <row r="7">
      <c r="A7" s="29" t="inlineStr">
        <is>
          <t>curve_form</t>
        </is>
      </c>
      <c r="B7" s="29" t="inlineStr">
        <is>
          <t>flood_inundation_contact</t>
        </is>
      </c>
      <c r="C7" s="29" t="inlineStr">
        <is>
          <t>FW_HAZUS_2_1_SUBSTATION_SCREENING_PWL</t>
        </is>
      </c>
      <c r="D7" s="29" t="inlineStr">
        <is>
          <t>piecewise_linear</t>
        </is>
      </c>
      <c r="E7" s="29" t="inlineStr">
        <is>
          <t>curve_form</t>
        </is>
      </c>
      <c r="F7" s="29" t="inlineStr">
        <is>
          <t>T3_engineering_proxy_or_adjacent_empirical</t>
        </is>
      </c>
      <c r="G7" s="29" t="inlineStr">
        <is>
          <t>FW-S006;FW-S011</t>
        </is>
      </c>
      <c r="H7" s="29" t="inlineStr">
        <is>
          <t>Preserves the source knots without imposing a fitted logistic or local tail.</t>
        </is>
      </c>
      <c r="I7" s="29" t="inlineStr">
        <is>
          <t>adopt_proposed</t>
        </is>
      </c>
      <c r="J7" s="29" t="inlineStr">
        <is>
          <t>A governed alternative source-native representation is approved.</t>
        </is>
      </c>
    </row>
    <row r="8">
      <c r="A8" s="29" t="inlineStr">
        <is>
          <t>interpolation_policy</t>
        </is>
      </c>
      <c r="B8" s="29" t="inlineStr">
        <is>
          <t>flood_inundation_contact</t>
        </is>
      </c>
      <c r="C8" s="29" t="inlineStr">
        <is>
          <t>FW_HAZUS_2_1_SUBSTATION_SCREENING_PWL</t>
        </is>
      </c>
      <c r="D8" s="29" t="inlineStr">
        <is>
          <t>linear_between_source_knots</t>
        </is>
      </c>
      <c r="E8" s="29" t="inlineStr">
        <is>
          <t>interpolation</t>
        </is>
      </c>
      <c r="F8" s="29" t="inlineStr">
        <is>
          <t>T2_public_lab_standard_or_physics</t>
        </is>
      </c>
      <c r="G8" s="29" t="inlineStr">
        <is>
          <t>FW-S006;FW-S011</t>
        </is>
      </c>
      <c r="H8" s="29" t="inlineStr">
        <is>
          <t>Transparent interpolation between adjacent source-table points.</t>
        </is>
      </c>
      <c r="I8" s="29" t="inlineStr">
        <is>
          <t>adopt_proposed</t>
        </is>
      </c>
      <c r="J8" s="29" t="inlineStr">
        <is>
          <t>Source or schema requires a different interpolation rule.</t>
        </is>
      </c>
    </row>
    <row r="9">
      <c r="A9" s="29" t="inlineStr">
        <is>
          <t>extrapolation_policy</t>
        </is>
      </c>
      <c r="B9" s="29" t="inlineStr">
        <is>
          <t>flood_inundation_contact</t>
        </is>
      </c>
      <c r="C9" s="29" t="inlineStr">
        <is>
          <t>FW_HAZUS_2_1_SUBSTATION_SCREENING_PWL</t>
        </is>
      </c>
      <c r="D9" s="29" t="inlineStr">
        <is>
          <t>negative rejects; above 10 ft withholds; no endpoint clamp</t>
        </is>
      </c>
      <c r="E9" s="29" t="inlineStr">
        <is>
          <t>domain_behavior</t>
        </is>
      </c>
      <c r="F9" s="29" t="inlineStr">
        <is>
          <t>T4_placeholder_or_expert_judgment</t>
        </is>
      </c>
      <c r="G9" s="29" t="inlineStr">
        <is>
          <t>FW-S011;GOVERNANCE_CONTRACT</t>
        </is>
      </c>
      <c r="H9" s="29" t="inlineStr">
        <is>
          <t>No source ordinates exist outside the tabulated range and fail-closed behavior avoids invented tails.</t>
        </is>
      </c>
      <c r="I9" s="29" t="inlineStr">
        <is>
          <t>adopt_proposed</t>
        </is>
      </c>
      <c r="J9" s="29" t="inlineStr">
        <is>
          <t>Qualified tail evidence is reviewed.</t>
        </is>
      </c>
    </row>
    <row r="10">
      <c r="A10" s="29" t="inlineStr">
        <is>
          <t>hazard_axis_id</t>
        </is>
      </c>
      <c r="B10" s="29" t="inlineStr">
        <is>
          <t>flood_inundation_contact</t>
        </is>
      </c>
      <c r="C10" s="29" t="inlineStr">
        <is>
          <t>FW_HAZUS_2_1_SUBSTATION_SCREENING_PWL</t>
        </is>
      </c>
      <c r="D10" s="29" t="inlineStr">
        <is>
          <t>FLOOD_DEPTH_ABOVE_SUBSTATION_GRADE_FT_HAZUS</t>
        </is>
      </c>
      <c r="E10" s="29" t="inlineStr">
        <is>
          <t>axis_identity</t>
        </is>
      </c>
      <c r="F10" s="29" t="inlineStr">
        <is>
          <t>T3_engineering_proxy_or_adjacent_empirical</t>
        </is>
      </c>
      <c r="G10" s="29" t="inlineStr">
        <is>
          <t>FW-S005;FW-S011</t>
        </is>
      </c>
      <c r="H10" s="29" t="inlineStr">
        <is>
          <t>The source atom is indexed by flood depth above facility substation grade, not a component contact datum.</t>
        </is>
      </c>
      <c r="I10" s="29" t="inlineStr">
        <is>
          <t>adopt_proposed</t>
        </is>
      </c>
      <c r="J10" s="29" t="inlineStr">
        <is>
          <t>A reviewed source adapter changes the axis contract.</t>
        </is>
      </c>
    </row>
    <row r="11">
      <c r="A11" s="29" t="inlineStr">
        <is>
          <t>direct_axis_input_field</t>
        </is>
      </c>
      <c r="B11" s="29" t="inlineStr">
        <is>
          <t>flood_inundation_contact</t>
        </is>
      </c>
      <c r="C11" s="29" t="inlineStr">
        <is>
          <t>FW_HAZUS_2_1_SUBSTATION_SCREENING_PWL</t>
        </is>
      </c>
      <c r="D11" s="29" t="inlineStr">
        <is>
          <t>flood_depth_above_substation_grade_ft</t>
        </is>
      </c>
      <c r="E11" s="29" t="inlineStr">
        <is>
          <t>axis_input</t>
        </is>
      </c>
      <c r="F11" s="29" t="inlineStr">
        <is>
          <t>T3_engineering_proxy_or_adjacent_empirical</t>
        </is>
      </c>
      <c r="G11" s="29" t="inlineStr">
        <is>
          <t>FW-S011;GOVERNANCE_CONTRACT</t>
        </is>
      </c>
      <c r="H11" s="29" t="inlineStr">
        <is>
          <t>Exact preferred input field for source-native feet depth.</t>
        </is>
      </c>
      <c r="I11" s="29" t="inlineStr">
        <is>
          <t>adopt_proposed</t>
        </is>
      </c>
      <c r="J11" s="29" t="inlineStr">
        <is>
          <t>Artifact/evaluator contract changes.</t>
        </is>
      </c>
    </row>
    <row r="12">
      <c r="A12" s="29" t="inlineStr">
        <is>
          <t>axis_payload_modes</t>
        </is>
      </c>
      <c r="B12" s="29" t="inlineStr">
        <is>
          <t>flood_inundation_contact</t>
        </is>
      </c>
      <c r="C12" s="29" t="inlineStr">
        <is>
          <t>FW_HAZUS_2_1_SUBSTATION_SCREENING_PWL</t>
        </is>
      </c>
      <c r="D12" s="29" t="inlineStr">
        <is>
          <t>direct_depth_ft|same_datum_wse_grade_m</t>
        </is>
      </c>
      <c r="E12" s="29" t="inlineStr">
        <is>
          <t>axis_input</t>
        </is>
      </c>
      <c r="F12" s="29" t="inlineStr">
        <is>
          <t>T4_placeholder_or_expert_judgment</t>
        </is>
      </c>
      <c r="G12" s="29" t="inlineStr">
        <is>
          <t>GOVERNANCE_CONTRACT</t>
        </is>
      </c>
      <c r="H12" s="29" t="inlineStr">
        <is>
          <t>Exactly one payload mode is accepted; direct and bridge fields are mutually exclusive.</t>
        </is>
      </c>
      <c r="I12" s="29" t="inlineStr">
        <is>
          <t>adopt_proposed</t>
        </is>
      </c>
      <c r="J12" s="29" t="inlineStr">
        <is>
          <t>A governed adapter adds another mode.</t>
        </is>
      </c>
    </row>
    <row r="13">
      <c r="A13" s="29" t="inlineStr">
        <is>
          <t>wse_grade_bridge</t>
        </is>
      </c>
      <c r="B13" s="29" t="inlineStr">
        <is>
          <t>flood_inundation_contact</t>
        </is>
      </c>
      <c r="C13" s="29" t="inlineStr">
        <is>
          <t>FW_HAZUS_2_1_SUBSTATION_SCREENING_PWL</t>
        </is>
      </c>
      <c r="D13" s="29" t="inlineStr">
        <is>
          <t>(water_surface_elevation_m-substation_grade_elevation_m)*3.280839895013123</t>
        </is>
      </c>
      <c r="E13" s="29" t="inlineStr">
        <is>
          <t>axis_bridge</t>
        </is>
      </c>
      <c r="F13" s="29" t="inlineStr">
        <is>
          <t>T2_public_lab_standard_or_physics</t>
        </is>
      </c>
      <c r="G13" s="29" t="inlineStr">
        <is>
          <t>FW-S005;FW-S011</t>
        </is>
      </c>
      <c r="H13" s="29" t="inlineStr">
        <is>
          <t>Converts same-datum metre elevations to the source-native feet depth.</t>
        </is>
      </c>
      <c r="I13" s="29" t="inlineStr">
        <is>
          <t>adopt_proposed</t>
        </is>
      </c>
      <c r="J13" s="29" t="inlineStr">
        <is>
          <t>Conversion or axis convention changes.</t>
        </is>
      </c>
    </row>
    <row r="14">
      <c r="A14" s="29" t="inlineStr">
        <is>
          <t>wse_bridge_required_fields</t>
        </is>
      </c>
      <c r="B14" s="29" t="inlineStr">
        <is>
          <t>flood_inundation_contact</t>
        </is>
      </c>
      <c r="C14" s="29" t="inlineStr">
        <is>
          <t>FW_HAZUS_2_1_SUBSTATION_SCREENING_PWL</t>
        </is>
      </c>
      <c r="D14" s="29" t="inlineStr">
        <is>
          <t>water_surface_elevation_m|substation_grade_elevation_m|water_surface_vertical_datum_id|substation_grade_vertical_datum_id</t>
        </is>
      </c>
      <c r="E14" s="29" t="inlineStr">
        <is>
          <t>axis_bridge</t>
        </is>
      </c>
      <c r="F14" s="29" t="inlineStr">
        <is>
          <t>T4_placeholder_or_expert_judgment</t>
        </is>
      </c>
      <c r="G14" s="29" t="inlineStr">
        <is>
          <t>GOVERNANCE_CONTRACT</t>
        </is>
      </c>
      <c r="H14" s="29" t="inlineStr">
        <is>
          <t>All bridge fields are required together and datum IDs must match exactly.</t>
        </is>
      </c>
      <c r="I14" s="29" t="inlineStr">
        <is>
          <t>adopt_proposed</t>
        </is>
      </c>
      <c r="J14" s="29" t="inlineStr">
        <is>
          <t>Governed axis adapter changes.</t>
        </is>
      </c>
    </row>
    <row r="15">
      <c r="A15" s="29" t="inlineStr">
        <is>
          <t>runtime_axis_valid_range_ft</t>
        </is>
      </c>
      <c r="B15" s="29" t="inlineStr">
        <is>
          <t>flood_inundation_contact</t>
        </is>
      </c>
      <c r="C15" s="29" t="inlineStr">
        <is>
          <t>FW_HAZUS_2_1_SUBSTATION_SCREENING_PWL</t>
        </is>
      </c>
      <c r="D15" s="29" t="inlineStr">
        <is>
          <t>[0,10]</t>
        </is>
      </c>
      <c r="E15" s="29" t="inlineStr">
        <is>
          <t>axis_domain</t>
        </is>
      </c>
      <c r="F15" s="29" t="inlineStr">
        <is>
          <t>T2_public_lab_standard_or_physics</t>
        </is>
      </c>
      <c r="G15" s="29" t="inlineStr">
        <is>
          <t>FW-S011;FW-S012</t>
        </is>
      </c>
      <c r="H15" s="29" t="inlineStr">
        <is>
          <t>Exact source-table domain, inclusive; the current manual also identifies ten feet as the utility-function maximum depth.</t>
        </is>
      </c>
      <c r="I15" s="29" t="inlineStr">
        <is>
          <t>adopt_proposed</t>
        </is>
      </c>
      <c r="J15" s="29" t="inlineStr">
        <is>
          <t>Qualified source extension is reviewed.</t>
        </is>
      </c>
    </row>
    <row r="16">
      <c r="A16" s="29" t="inlineStr">
        <is>
          <t>maximum_source_damage_ratio</t>
        </is>
      </c>
      <c r="B16" s="29" t="inlineStr">
        <is>
          <t>flood_inundation_contact</t>
        </is>
      </c>
      <c r="C16" s="29" t="inlineStr">
        <is>
          <t>FW_HAZUS_2_1_SUBSTATION_SCREENING_PWL</t>
        </is>
      </c>
      <c r="D16" s="29" t="inlineStr">
        <is>
          <t>0.15</t>
        </is>
      </c>
      <c r="E16" s="29" t="inlineStr">
        <is>
          <t>ordinate</t>
        </is>
      </c>
      <c r="F16" s="29" t="inlineStr">
        <is>
          <t>T3_engineering_proxy_or_adjacent_empirical</t>
        </is>
      </c>
      <c r="G16" s="29" t="inlineStr">
        <is>
          <t>FW-S011</t>
        </is>
      </c>
      <c r="H16" s="29" t="inlineStr">
        <is>
          <t>Exact Table 7.9 ratio at 10 ft; not a component or project-TIV cap.</t>
        </is>
      </c>
      <c r="I16" s="29" t="inlineStr">
        <is>
          <t>adopt_proposed</t>
        </is>
      </c>
      <c r="J16" s="29" t="inlineStr">
        <is>
          <t>Source-table correction.</t>
        </is>
      </c>
    </row>
    <row r="17">
      <c r="A17" s="29" t="inlineStr">
        <is>
          <t>numeric_failure_unit_id</t>
        </is>
      </c>
      <c r="B17" s="29" t="inlineStr">
        <is>
          <t>flood_inundation_contact</t>
        </is>
      </c>
      <c r="C17" s="29" t="inlineStr">
        <is>
          <t>FW_HAZUS_2_1_SUBSTATION_SCREENING_PWL</t>
        </is>
      </c>
      <c r="D17" s="29" t="inlineStr">
        <is>
          <t>FW_HAZUS_GSU_SUBSTATION_ASSEMBLY</t>
        </is>
      </c>
      <c r="E17" s="29" t="inlineStr">
        <is>
          <t>failure_unit</t>
        </is>
      </c>
      <c r="F17" s="29" t="inlineStr">
        <is>
          <t>T3_engineering_proxy_or_adjacent_empirical</t>
        </is>
      </c>
      <c r="G17" s="29" t="inlineStr">
        <is>
          <t>FW-S011</t>
        </is>
      </c>
      <c r="H17" s="29" t="inlineStr">
        <is>
          <t>The published function is one whole-electric-substation source atom.</t>
        </is>
      </c>
      <c r="I17" s="29" t="inlineStr">
        <is>
          <t>adopt_proposed</t>
        </is>
      </c>
      <c r="J17" s="29" t="inlineStr">
        <is>
          <t>A source-supported decomposition replaces the atom.</t>
        </is>
      </c>
    </row>
    <row r="18">
      <c r="A18" s="29" t="inlineStr">
        <is>
          <t>substation_hazus_class_allowed</t>
        </is>
      </c>
      <c r="B18" s="29" t="inlineStr">
        <is>
          <t>flood_inundation_contact</t>
        </is>
      </c>
      <c r="C18" s="29" t="inlineStr">
        <is>
          <t>FW_HAZUS_2_1_SUBSTATION_SCREENING_PWL</t>
        </is>
      </c>
      <c r="D18" s="29" t="inlineStr">
        <is>
          <t>ESSL|ESSM|ESSH</t>
        </is>
      </c>
      <c r="E18" s="29" t="inlineStr">
        <is>
          <t>selector</t>
        </is>
      </c>
      <c r="F18" s="29" t="inlineStr">
        <is>
          <t>T3_engineering_proxy_or_adjacent_empirical</t>
        </is>
      </c>
      <c r="G18" s="29" t="inlineStr">
        <is>
          <t>FW-S011</t>
        </is>
      </c>
      <c r="H18" s="29" t="inlineStr">
        <is>
          <t>All three explicit source classes publish identical ordinates; no default is allowed.</t>
        </is>
      </c>
      <c r="I18" s="29" t="inlineStr">
        <is>
          <t>adopt_proposed</t>
        </is>
      </c>
      <c r="J18" s="29" t="inlineStr">
        <is>
          <t>Source taxonomy or class-specific evidence changes.</t>
        </is>
      </c>
    </row>
    <row r="19">
      <c r="A19" s="29" t="inlineStr">
        <is>
          <t>source_assumption_set_id</t>
        </is>
      </c>
      <c r="B19" s="29" t="inlineStr">
        <is>
          <t>flood_inundation_contact</t>
        </is>
      </c>
      <c r="C19" s="29" t="inlineStr">
        <is>
          <t>FW_HAZUS_2_1_SUBSTATION_SCREENING_PWL</t>
        </is>
      </c>
      <c r="D19" s="29" t="inlineStr">
        <is>
          <t>FEMA_HAZUS_MH_2_1_TABLE_7_9_UNPROTECTED_SUBSTATION</t>
        </is>
      </c>
      <c r="E19" s="29" t="inlineStr">
        <is>
          <t>selector</t>
        </is>
      </c>
      <c r="F19" s="29" t="inlineStr">
        <is>
          <t>T3_engineering_proxy_or_adjacent_empirical</t>
        </is>
      </c>
      <c r="G19" s="29" t="inlineStr">
        <is>
          <t>FW-S011;FW-S012</t>
        </is>
      </c>
      <c r="H19" s="29" t="inlineStr">
        <is>
          <t>Exact acknowledgement of the legacy whole-substation source atom and current-disabled limitation.</t>
        </is>
      </c>
      <c r="I19" s="29" t="inlineStr">
        <is>
          <t>adopt_proposed</t>
        </is>
      </c>
      <c r="J19" s="29" t="inlineStr">
        <is>
          <t>A reviewed successor assumption set is released.</t>
        </is>
      </c>
    </row>
    <row r="20">
      <c r="A20" s="29" t="inlineStr">
        <is>
          <t>water_quality_class_allowed</t>
        </is>
      </c>
      <c r="B20" s="29" t="inlineStr">
        <is>
          <t>flood_inundation_contact</t>
        </is>
      </c>
      <c r="C20" s="29" t="inlineStr">
        <is>
          <t>FW_HAZUS_2_1_SUBSTATION_SCREENING_PWL</t>
        </is>
      </c>
      <c r="D20" s="29" t="inlineStr">
        <is>
          <t>freshwater_non_contaminated|freshwater_contaminated|brackish|saltwater|chemically_contaminated|unknown</t>
        </is>
      </c>
      <c r="E20" s="29" t="inlineStr">
        <is>
          <t>conditioner</t>
        </is>
      </c>
      <c r="F20" s="29" t="inlineStr">
        <is>
          <t>T4_placeholder_or_expert_judgment</t>
        </is>
      </c>
      <c r="G20" s="29" t="inlineStr">
        <is>
          <t>FW-S002;FW-S011;FW-S013;GOVERNANCE_CONTRACT</t>
        </is>
      </c>
      <c r="H20" s="29" t="inlineStr">
        <is>
          <t>The enum preserves known/unknown states without silently collapsing them; the 2016 equipment guide is historical pending review of its 2026 successor.</t>
        </is>
      </c>
      <c r="I20" s="29" t="inlineStr">
        <is>
          <t>adopt_proposed</t>
        </is>
      </c>
      <c r="J20" s="29" t="inlineStr">
        <is>
          <t>NEMA CS 70006-2026 review or conditioner vocabulary changes.</t>
        </is>
      </c>
    </row>
    <row r="21">
      <c r="A21" s="29" t="inlineStr">
        <is>
          <t>water_quality_numeric_support</t>
        </is>
      </c>
      <c r="B21" s="29" t="inlineStr">
        <is>
          <t>flood_inundation_contact</t>
        </is>
      </c>
      <c r="C21" s="29" t="inlineStr">
        <is>
          <t>FW_HAZUS_2_1_SUBSTATION_SCREENING_PWL</t>
        </is>
      </c>
      <c r="D21" s="29" t="inlineStr">
        <is>
          <t>freshwater_non_contaminated</t>
        </is>
      </c>
      <c r="E21" s="29" t="inlineStr">
        <is>
          <t>conditioner</t>
        </is>
      </c>
      <c r="F21" s="29" t="inlineStr">
        <is>
          <t>T4_placeholder_or_expert_judgment</t>
        </is>
      </c>
      <c r="G21" s="29" t="inlineStr">
        <is>
          <t>FW-S002;FW-S005;FW-S012;FW-S013</t>
        </is>
      </c>
      <c r="H21" s="29" t="inlineStr">
        <is>
          <t>Hazus does not vary damage by flood type; historical equipment guidance indicates material contamination/salinity consequences, while the current NEMA successor remains unreviewed, so unsupported states conservatively withhold.</t>
        </is>
      </c>
      <c r="I21" s="29" t="inlineStr">
        <is>
          <t>adopt_proposed</t>
        </is>
      </c>
      <c r="J21" s="29" t="inlineStr">
        <is>
          <t>NEMA CS 70006-2026 and qualified water-quality response evidence are acquired and reviewed.</t>
        </is>
      </c>
    </row>
    <row r="22">
      <c r="A22" s="29" t="inlineStr">
        <is>
          <t>delivered_depth_basis</t>
        </is>
      </c>
      <c r="B22" s="29" t="inlineStr">
        <is>
          <t>flood_inundation_contact</t>
        </is>
      </c>
      <c r="C22" s="29" t="inlineStr">
        <is>
          <t>FW_HAZUS_2_1_SUBSTATION_SCREENING_PWL</t>
        </is>
      </c>
      <c r="D22" s="29" t="inlineStr">
        <is>
          <t>unprotected_or_internal_post_bypass_depth</t>
        </is>
      </c>
      <c r="E22" s="29" t="inlineStr">
        <is>
          <t>conditioner</t>
        </is>
      </c>
      <c r="F22" s="29" t="inlineStr">
        <is>
          <t>T3_engineering_proxy_or_adjacent_empirical</t>
        </is>
      </c>
      <c r="G22" s="29" t="inlineStr">
        <is>
          <t>FW-S005;FW-S011</t>
        </is>
      </c>
      <c r="H22" s="29" t="inlineStr">
        <is>
          <t>Protection is resolved once upstream into delivered internal depth; the curve grants no second credit.</t>
        </is>
      </c>
      <c r="I22" s="29" t="inlineStr">
        <is>
          <t>adopt_proposed</t>
        </is>
      </c>
      <c r="J22" s="29" t="inlineStr">
        <is>
          <t>A validated protection adapter is released.</t>
        </is>
      </c>
    </row>
    <row r="23">
      <c r="A23" s="29" t="inlineStr">
        <is>
          <t>contact_duration_hr</t>
        </is>
      </c>
      <c r="B23" s="29" t="inlineStr">
        <is>
          <t>flood_inundation_contact</t>
        </is>
      </c>
      <c r="C23" s="29" t="inlineStr">
        <is>
          <t>FW_HAZUS_2_1_SUBSTATION_SCREENING_PWL</t>
        </is>
      </c>
      <c r="D23" s="29" t="inlineStr">
        <is>
          <t>optional nonnegative; no numeric effect</t>
        </is>
      </c>
      <c r="E23" s="29" t="inlineStr">
        <is>
          <t>conditioner</t>
        </is>
      </c>
      <c r="F23" s="29" t="inlineStr">
        <is>
          <t>T4_placeholder_or_expert_judgment</t>
        </is>
      </c>
      <c r="G23" s="29" t="inlineStr">
        <is>
          <t>GOVERNANCE_CONTRACT</t>
        </is>
      </c>
      <c r="H23" s="29" t="inlineStr">
        <is>
          <t>Duration is captured for future work but is not calibrated in model v1.</t>
        </is>
      </c>
      <c r="I23" s="29" t="inlineStr">
        <is>
          <t>adopt_proposed</t>
        </is>
      </c>
      <c r="J23" s="29" t="inlineStr">
        <is>
          <t>Duration-response evidence is reviewed.</t>
        </is>
      </c>
    </row>
    <row r="24">
      <c r="A24" s="29" t="inlineStr">
        <is>
          <t>curve_denominator</t>
        </is>
      </c>
      <c r="B24" s="29" t="inlineStr">
        <is>
          <t>flood_inundation_contact</t>
        </is>
      </c>
      <c r="C24" s="29" t="inlineStr">
        <is>
          <t>FW_HAZUS_2_1_SUBSTATION_SCREENING_PWL</t>
        </is>
      </c>
      <c r="D24" s="29" t="inlineStr">
        <is>
          <t>full_direct_replacement_value_of_same_facility_level_GSU_substation_assembly</t>
        </is>
      </c>
      <c r="E24" s="29" t="inlineStr">
        <is>
          <t>value_linkage</t>
        </is>
      </c>
      <c r="F24" s="29" t="inlineStr">
        <is>
          <t>T3_engineering_proxy_or_adjacent_empirical</t>
        </is>
      </c>
      <c r="G24" s="29" t="inlineStr">
        <is>
          <t>FW-S008;FW-S009;FW-S011</t>
        </is>
      </c>
      <c r="H24" s="29" t="inlineStr">
        <is>
          <t>The source percent damage applies to the same complete substation atom and cannot use a mixed electrical or project-TIV denominator.</t>
        </is>
      </c>
      <c r="I24" s="29" t="inlineStr">
        <is>
          <t>adopt_proposed</t>
        </is>
      </c>
      <c r="J24" s="29" t="inlineStr">
        <is>
          <t>A validated value decomposition replaces the source atom.</t>
        </is>
      </c>
    </row>
    <row r="25">
      <c r="A25" s="29" t="inlineStr">
        <is>
          <t>assembly_component_mutual_exclusion</t>
        </is>
      </c>
      <c r="B25" s="29" t="inlineStr">
        <is>
          <t>flood_inundation_contact</t>
        </is>
      </c>
      <c r="C25" s="29" t="inlineStr">
        <is>
          <t>FW_HAZUS_2_1_SUBSTATION_SCREENING_PWL</t>
        </is>
      </c>
      <c r="D25" s="29" t="inlineStr">
        <is>
          <t>FW_GSU_SWITCHGEAR|FW_GSU_TRANSFORMER_MAIN|FW_GSU_TRANSFORMER_AUX_CONTROLS|FW_GSU_PROTECTION_SCADA|FW_GSU_STATION_SERVICE_DC|FW_GSU_CABLE_TERMINATIONS</t>
        </is>
      </c>
      <c r="E25" s="29" t="inlineStr">
        <is>
          <t>value_guardrail</t>
        </is>
      </c>
      <c r="F25" s="29" t="inlineStr">
        <is>
          <t>T4_placeholder_or_expert_judgment</t>
        </is>
      </c>
      <c r="G25" s="29" t="inlineStr">
        <is>
          <t>FW-S011;GOVERNANCE_CONTRACT;SHARED_SUBSTRATE</t>
        </is>
      </c>
      <c r="H25" s="29" t="inlineStr">
        <is>
          <t>The source assembly and its component subunits are alternative response/value representations.</t>
        </is>
      </c>
      <c r="I25" s="29" t="inlineStr">
        <is>
          <t>adopt_proposed</t>
        </is>
      </c>
      <c r="J25" s="29" t="inlineStr">
        <is>
          <t>A dependency-safe component model formally supersedes the assembly.</t>
        </is>
      </c>
    </row>
    <row r="26">
      <c r="A26" s="29" t="inlineStr">
        <is>
          <t>reference_evaluator_scenario_loss_status</t>
        </is>
      </c>
      <c r="B26" s="29" t="inlineStr">
        <is>
          <t>flood_inundation_contact</t>
        </is>
      </c>
      <c r="C26" s="29" t="inlineStr">
        <is>
          <t>FW_HAZUS_2_1_SUBSTATION_SCREENING_PWL</t>
        </is>
      </c>
      <c r="D26" s="29" t="inlineStr">
        <is>
          <t>supported_with_explicit_same_substation_value_and_exposure</t>
        </is>
      </c>
      <c r="E26" s="29" t="inlineStr">
        <is>
          <t>capability</t>
        </is>
      </c>
      <c r="F26" s="29" t="inlineStr">
        <is>
          <t>T4_placeholder_or_expert_judgment</t>
        </is>
      </c>
      <c r="G26" s="29" t="inlineStr">
        <is>
          <t>GOVERNANCE_CONTRACT</t>
        </is>
      </c>
      <c r="H26" s="29" t="inlineStr">
        <is>
          <t>The reference evaluator emits DR only; value binding requires promotion and consumer controls.</t>
        </is>
      </c>
      <c r="I26" s="29" t="inlineStr">
        <is>
          <t>adopt_proposed</t>
        </is>
      </c>
      <c r="J26" s="29" t="inlineStr">
        <is>
          <t>Canonical promotion and cap-binding validation complete.</t>
        </is>
      </c>
    </row>
    <row r="27">
      <c r="A27" s="29" t="inlineStr">
        <is>
          <t>curve_intrinsic_spread</t>
        </is>
      </c>
      <c r="B27" s="29" t="inlineStr">
        <is>
          <t>flood_inundation_contact</t>
        </is>
      </c>
      <c r="C27" s="29" t="inlineStr">
        <is>
          <t>FW_HAZUS_2_1_SUBSTATION_SCREENING_PWL</t>
        </is>
      </c>
      <c r="D27" s="29" t="inlineStr">
        <is>
          <t>not_carried</t>
        </is>
      </c>
      <c r="E27" s="29" t="inlineStr">
        <is>
          <t>uncertainty</t>
        </is>
      </c>
      <c r="F27" s="29" t="inlineStr">
        <is>
          <t>T3_engineering_proxy_or_adjacent_empirical</t>
        </is>
      </c>
      <c r="G27" s="29" t="inlineStr">
        <is>
          <t>FW-S011</t>
        </is>
      </c>
      <c r="H27" s="29" t="inlineStr">
        <is>
          <t>The source reports no response distribution or calibration sample.</t>
        </is>
      </c>
      <c r="I27" s="29" t="inlineStr">
        <is>
          <t>adopt_proposed</t>
        </is>
      </c>
      <c r="J27" s="29" t="inlineStr">
        <is>
          <t>Qualified uncertainty evidence is reviewed.</t>
        </is>
      </c>
    </row>
    <row r="28">
      <c r="A28" s="29" t="inlineStr">
        <is>
          <t>FS_SWG_candidate_points_m_dr</t>
        </is>
      </c>
      <c r="B28" s="29" t="inlineStr">
        <is>
          <t>flood_inundation_contact</t>
        </is>
      </c>
      <c r="C28" s="29" t="inlineStr">
        <is>
          <t>FS_SWG_CANDIDATE_ONLY</t>
        </is>
      </c>
      <c r="D28" s="29" t="inlineStr">
        <is>
          <t>[[0,0],[0.02,0.10],[0.05,0.40],[0.15,0.85],[0.30,1],[0.60,1],[1,1],[1.5,1],[2,1]]</t>
        </is>
      </c>
      <c r="E28" s="29" t="inlineStr">
        <is>
          <t>curve_fit_shape</t>
        </is>
      </c>
      <c r="F28" s="29" t="inlineStr">
        <is>
          <t>T3_engineering_proxy_or_adjacent_empirical</t>
        </is>
      </c>
      <c r="G28" s="29" t="inlineStr">
        <is>
          <t>FW-S010</t>
        </is>
      </c>
      <c r="H28" s="29" t="inlineStr">
        <is>
          <t>Pinned canonical flood_solar engineering proxy; separate component compatibility and economic validation remain open.</t>
        </is>
      </c>
      <c r="I28" s="29" t="inlineStr">
        <is>
          <t>audit_only</t>
        </is>
      </c>
      <c r="J28" s="29" t="inlineStr">
        <is>
          <t>Exact switchgear applicability and validation pass.</t>
        </is>
      </c>
    </row>
    <row r="29">
      <c r="A29" s="29" t="inlineStr">
        <is>
          <t>FS_XFMR_candidate_status</t>
        </is>
      </c>
      <c r="B29" s="29" t="inlineStr">
        <is>
          <t>flood_inundation_contact</t>
        </is>
      </c>
      <c r="C29" s="29" t="inlineStr">
        <is>
          <t>FS_XFMR_CANDIDATE_ONLY</t>
        </is>
      </c>
      <c r="D29" s="29" t="inlineStr">
        <is>
          <t>REJECT_DIRECT_REUSE</t>
        </is>
      </c>
      <c r="E29" s="29" t="inlineStr">
        <is>
          <t>curve_fit_shape</t>
        </is>
      </c>
      <c r="F29" s="29" t="inlineStr">
        <is>
          <t>T3_engineering_proxy_or_adjacent_empirical</t>
        </is>
      </c>
      <c r="G29" s="29" t="inlineStr">
        <is>
          <t>FW-S010</t>
        </is>
      </c>
      <c r="H29" s="29" t="inlineStr">
        <is>
          <t>Main value and control/terminal datum are not dependency-safe.</t>
        </is>
      </c>
      <c r="I29" s="29" t="inlineStr">
        <is>
          <t>reject</t>
        </is>
      </c>
      <c r="J29" s="29" t="inlineStr">
        <is>
          <t>Transformer main/auxiliary state model passes.</t>
        </is>
      </c>
    </row>
    <row r="30">
      <c r="A30" s="29" t="inlineStr">
        <is>
          <t>FS_SCADA_candidate_status</t>
        </is>
      </c>
      <c r="B30" s="29" t="inlineStr">
        <is>
          <t>flood_inundation_contact</t>
        </is>
      </c>
      <c r="C30" s="29" t="inlineStr">
        <is>
          <t>FS_SCADA_CANDIDATE_ONLY</t>
        </is>
      </c>
      <c r="D30" s="29" t="inlineStr">
        <is>
          <t>PARTIAL_SEMANTIC_MATCH</t>
        </is>
      </c>
      <c r="E30" s="29" t="inlineStr">
        <is>
          <t>curve_fit_shape</t>
        </is>
      </c>
      <c r="F30" s="29" t="inlineStr">
        <is>
          <t>T3_engineering_proxy_or_adjacent_empirical</t>
        </is>
      </c>
      <c r="G30" s="29" t="inlineStr">
        <is>
          <t>FW-S010</t>
        </is>
      </c>
      <c r="H30" s="29" t="inlineStr">
        <is>
          <t>Plant monitoring does not equal substation protection/control.</t>
        </is>
      </c>
      <c r="I30" s="29" t="inlineStr">
        <is>
          <t>audit_only</t>
        </is>
      </c>
      <c r="J30" s="29" t="inlineStr">
        <is>
          <t>Equipment crosswalk and cost evidence pass.</t>
        </is>
      </c>
    </row>
    <row r="31">
      <c r="A31" s="29" t="inlineStr">
        <is>
          <t>FS_CABLE_candidate_status</t>
        </is>
      </c>
      <c r="B31" s="29" t="inlineStr">
        <is>
          <t>flood_inundation_contact</t>
        </is>
      </c>
      <c r="C31" s="29" t="inlineStr">
        <is>
          <t>FS_CABLE_CANDIDATE_ONLY</t>
        </is>
      </c>
      <c r="D31" s="29" t="inlineStr">
        <is>
          <t>MECHANISM_ONLY</t>
        </is>
      </c>
      <c r="E31" s="29" t="inlineStr">
        <is>
          <t>curve_fit_shape</t>
        </is>
      </c>
      <c r="F31" s="29" t="inlineStr">
        <is>
          <t>T3_engineering_proxy_or_adjacent_empirical</t>
        </is>
      </c>
      <c r="G31" s="29" t="inlineStr">
        <is>
          <t>FW-S007;FW-S010</t>
        </is>
      </c>
      <c r="H31" s="29" t="inlineStr">
        <is>
          <t>Wind MV cable/terminations and solar AC/DC rollup differ.</t>
        </is>
      </c>
      <c r="I31" s="29" t="inlineStr">
        <is>
          <t>audit_only</t>
        </is>
      </c>
      <c r="J31" s="29" t="inlineStr">
        <is>
          <t>Construction-specific disposition/value evidence passes.</t>
        </is>
      </c>
    </row>
    <row r="32">
      <c r="A32" s="29" t="inlineStr">
        <is>
          <t>reference_external_electrical_value_usd_per_kw</t>
        </is>
      </c>
      <c r="B32" s="29" t="inlineStr">
        <is>
          <t>all_shared</t>
        </is>
      </c>
      <c r="C32" s="29" t="inlineStr">
        <is>
          <t>none</t>
        </is>
      </c>
      <c r="D32" s="29" t="inlineStr">
        <is>
          <t>72</t>
        </is>
      </c>
      <c r="E32" s="29" t="inlineStr">
        <is>
          <t>value_rollup</t>
        </is>
      </c>
      <c r="F32" s="29" t="inlineStr">
        <is>
          <t>T2_public_lab_standard_or_physics</t>
        </is>
      </c>
      <c r="G32" s="29" t="inlineStr">
        <is>
          <t>FW-S008</t>
        </is>
      </c>
      <c r="H32" s="29" t="inlineStr">
        <is>
          <t>CWER 2024 mixed collection/substation row; prohibited as the assembly denominator.</t>
        </is>
      </c>
      <c r="I32" s="29" t="inlineStr">
        <is>
          <t>adopt_with_limits</t>
        </is>
      </c>
      <c r="J32" s="29" t="inlineStr">
        <is>
          <t>New value vintage or site split.</t>
        </is>
      </c>
    </row>
    <row r="33">
      <c r="A33" s="29" t="inlineStr">
        <is>
          <t>reference_foundation_value_usd_per_kw</t>
        </is>
      </c>
      <c r="B33" s="29" t="inlineStr">
        <is>
          <t>all_shared</t>
        </is>
      </c>
      <c r="C33" s="29" t="inlineStr">
        <is>
          <t>none</t>
        </is>
      </c>
      <c r="D33" s="29" t="inlineStr">
        <is>
          <t>120</t>
        </is>
      </c>
      <c r="E33" s="29" t="inlineStr">
        <is>
          <t>value_rollup</t>
        </is>
      </c>
      <c r="F33" s="29" t="inlineStr">
        <is>
          <t>T2_public_lab_standard_or_physics</t>
        </is>
      </c>
      <c r="G33" s="29" t="inlineStr">
        <is>
          <t>FW-S008</t>
        </is>
      </c>
      <c r="H33" s="29" t="inlineStr">
        <is>
          <t>CWER 2024 foundation row; no flood DR inferred.</t>
        </is>
      </c>
      <c r="I33" s="29" t="inlineStr">
        <is>
          <t>adopt_with_limits</t>
        </is>
      </c>
      <c r="J33" s="29" t="inlineStr">
        <is>
          <t>New value vintage or site appraisal.</t>
        </is>
      </c>
    </row>
    <row r="34">
      <c r="A34" s="29" t="inlineStr">
        <is>
          <t>reference_civil_value_usd_per_kw</t>
        </is>
      </c>
      <c r="B34" s="29" t="inlineStr">
        <is>
          <t>all_shared</t>
        </is>
      </c>
      <c r="C34" s="29" t="inlineStr">
        <is>
          <t>none</t>
        </is>
      </c>
      <c r="D34" s="29" t="inlineStr">
        <is>
          <t>47</t>
        </is>
      </c>
      <c r="E34" s="29" t="inlineStr">
        <is>
          <t>value_rollup</t>
        </is>
      </c>
      <c r="F34" s="29" t="inlineStr">
        <is>
          <t>T2_public_lab_standard_or_physics</t>
        </is>
      </c>
      <c r="G34" s="29" t="inlineStr">
        <is>
          <t>FW-S008</t>
        </is>
      </c>
      <c r="H34" s="29" t="inlineStr">
        <is>
          <t>CWER 2024 mixed civil row; split required.</t>
        </is>
      </c>
      <c r="I34" s="29" t="inlineStr">
        <is>
          <t>adopt_with_limits</t>
        </is>
      </c>
      <c r="J34" s="29" t="inlineStr">
        <is>
          <t>New value vintage or site split.</t>
        </is>
      </c>
    </row>
    <row r="35">
      <c r="A35" s="29" t="inlineStr">
        <is>
          <t>reference_support_value_usd_per_kw</t>
        </is>
      </c>
      <c r="B35" s="29" t="inlineStr">
        <is>
          <t>all_shared</t>
        </is>
      </c>
      <c r="C35" s="29" t="inlineStr">
        <is>
          <t>none</t>
        </is>
      </c>
      <c r="D35" s="29" t="inlineStr">
        <is>
          <t>294</t>
        </is>
      </c>
      <c r="E35" s="29" t="inlineStr">
        <is>
          <t>support_rollup</t>
        </is>
      </c>
      <c r="F35" s="29" t="inlineStr">
        <is>
          <t>T2_public_lab_standard_or_physics</t>
        </is>
      </c>
      <c r="G35" s="29" t="inlineStr">
        <is>
          <t>FW-S008</t>
        </is>
      </c>
      <c r="H35" s="29" t="inlineStr">
        <is>
          <t>Fieldwork 100 plus transport 194; allocate once after qualified disposition.</t>
        </is>
      </c>
      <c r="I35" s="29" t="inlineStr">
        <is>
          <t>adopt_with_limits</t>
        </is>
      </c>
      <c r="J35" s="29" t="inlineStr">
        <is>
          <t>Claims-backed allocation or value vintage.</t>
        </is>
      </c>
    </row>
    <row r="36">
      <c r="A36" s="29" t="inlineStr">
        <is>
          <t>unknown_ownership_baseline_inclusion</t>
        </is>
      </c>
      <c r="B36" s="29" t="inlineStr">
        <is>
          <t>all_shared</t>
        </is>
      </c>
      <c r="C36" s="29" t="inlineStr">
        <is>
          <t>none</t>
        </is>
      </c>
      <c r="D36" s="29" t="inlineStr">
        <is>
          <t>WITHHOLD</t>
        </is>
      </c>
      <c r="E36" s="29" t="inlineStr">
        <is>
          <t>governance_rule</t>
        </is>
      </c>
      <c r="F36" s="29" t="inlineStr">
        <is>
          <t>T4_placeholder_or_expert_judgment</t>
        </is>
      </c>
      <c r="G36" s="29" t="inlineStr">
        <is>
          <t>FW-S009;GOVERNANCE_CONTRACT</t>
        </is>
      </c>
      <c r="H36" s="29" t="inlineStr">
        <is>
          <t>Functional association is not ownership/value proof.</t>
        </is>
      </c>
      <c r="I36" s="29" t="inlineStr">
        <is>
          <t>adopt</t>
        </is>
      </c>
      <c r="J36" s="29" t="inlineStr">
        <is>
          <t>Executed agreement and value schedule resolve boundary.</t>
        </is>
      </c>
    </row>
    <row r="37">
      <c r="A37" s="30" t="inlineStr">
        <is>
          <t>missing_substation_depth_behavior</t>
        </is>
      </c>
      <c r="B37" s="30" t="inlineStr">
        <is>
          <t>flood_inundation_contact</t>
        </is>
      </c>
      <c r="C37" s="30" t="inlineStr">
        <is>
          <t>FW_HAZUS_2_1_SUBSTATION_SCREENING_PWL</t>
        </is>
      </c>
      <c r="D37" s="30" t="inlineStr">
        <is>
          <t>REJECT_NOT_DRY</t>
        </is>
      </c>
      <c r="E37" s="30" t="inlineStr">
        <is>
          <t>governance_rule</t>
        </is>
      </c>
      <c r="F37" s="30" t="inlineStr">
        <is>
          <t>T4_placeholder_or_expert_judgment</t>
        </is>
      </c>
      <c r="G37" s="30" t="inlineStr">
        <is>
          <t>GOVERNANCE_CONTRACT</t>
        </is>
      </c>
      <c r="H37" s="30" t="inlineStr">
        <is>
          <t>Missing or incomplete axis payload cannot become zero depth.</t>
        </is>
      </c>
      <c r="I37" s="30" t="inlineStr">
        <is>
          <t>adopt_proposed</t>
        </is>
      </c>
      <c r="J37" s="30" t="inlineStr">
        <is>
          <t>A validated uncertainty/default policy is approved.</t>
        </is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8" customWidth="1" style="16" min="1" max="1"/>
    <col width="22" customWidth="1" style="16" min="2" max="2"/>
    <col width="22" customWidth="1" style="16" min="3" max="3"/>
    <col width="28" customWidth="1" style="16" min="4" max="4"/>
    <col width="66" customWidth="1" style="16" min="5" max="5"/>
  </cols>
  <sheetData>
    <row r="1" ht="26" customHeight="1" s="16">
      <c r="A1" s="2" t="inlineStr">
        <is>
          <t>Workbook QA</t>
        </is>
      </c>
    </row>
    <row r="2" ht="22" customHeight="1" s="16">
      <c r="A2" s="4" t="inlineStr">
        <is>
          <t>Formula-driven assertions; the external validator also executes schemas, evaluator KATs, links, and canonical-index checks</t>
        </is>
      </c>
    </row>
    <row r="3"/>
    <row r="4">
      <c r="A4" s="13" t="inlineStr">
        <is>
          <t>Check</t>
        </is>
      </c>
      <c r="B4" s="14" t="inlineStr">
        <is>
          <t>Status formula</t>
        </is>
      </c>
      <c r="C4" s="14" t="inlineStr">
        <is>
          <t>Expected</t>
        </is>
      </c>
      <c r="D4" s="14" t="inlineStr">
        <is>
          <t>Scope</t>
        </is>
      </c>
      <c r="E4" s="15" t="inlineStr">
        <is>
          <t>Why it matters</t>
        </is>
      </c>
    </row>
    <row r="5">
      <c r="A5" s="27" t="inlineStr">
        <is>
          <t>Hazus knot count exact</t>
        </is>
      </c>
      <c r="B5" s="59">
        <f>IF(COUNTA('Hazus_Source'!A5:A15)=11,"PASS","FAIL")</f>
        <v/>
      </c>
      <c r="C5" s="27" t="n">
        <v>11</v>
      </c>
      <c r="D5" s="27" t="inlineStr">
        <is>
          <t>Hazus_Source</t>
        </is>
      </c>
      <c r="E5" s="27" t="inlineStr">
        <is>
          <t>All table ordinates</t>
        </is>
      </c>
    </row>
    <row r="6">
      <c r="A6" s="29" t="inlineStr">
        <is>
          <t>Source/artifact deltas zero</t>
        </is>
      </c>
      <c r="B6" s="60">
        <f>IF(COUNTIF('Hazus_Source'!E5:E15,0)=11,"PASS","FAIL")</f>
        <v/>
      </c>
      <c r="C6" s="29" t="n">
        <v>0</v>
      </c>
      <c r="D6" s="29" t="inlineStr">
        <is>
          <t>Hazus_Source</t>
        </is>
      </c>
      <c r="E6" s="29" t="inlineStr">
        <is>
          <t>Exact transcription</t>
        </is>
      </c>
    </row>
    <row r="7">
      <c r="A7" s="29" t="inlineStr">
        <is>
          <t>Curve interpolation rows pass</t>
        </is>
      </c>
      <c r="B7" s="60">
        <f>IF(COUNTIF('Curve'!F5:F14,"PASS")=10,"PASS","FAIL")</f>
        <v/>
      </c>
      <c r="C7" s="29" t="n">
        <v>10</v>
      </c>
      <c r="D7" s="29" t="inlineStr">
        <is>
          <t>Curve</t>
        </is>
      </c>
      <c r="E7" s="29" t="inlineStr">
        <is>
          <t>Linear interpolation</t>
        </is>
      </c>
    </row>
    <row r="8">
      <c r="A8" s="29" t="inlineStr">
        <is>
          <t>Minimum depth exact</t>
        </is>
      </c>
      <c r="B8" s="60">
        <f>IF('Hazus_Source'!A5=0,"PASS","FAIL")</f>
        <v/>
      </c>
      <c r="C8" s="29" t="n">
        <v>0</v>
      </c>
      <c r="D8" s="29" t="inlineStr">
        <is>
          <t>Hazus_Source</t>
        </is>
      </c>
      <c r="E8" s="29" t="inlineStr">
        <is>
          <t>Source range</t>
        </is>
      </c>
    </row>
    <row r="9">
      <c r="A9" s="29" t="inlineStr">
        <is>
          <t>Maximum depth exact</t>
        </is>
      </c>
      <c r="B9" s="60">
        <f>IF('Hazus_Source'!A15=10,"PASS","FAIL")</f>
        <v/>
      </c>
      <c r="C9" s="29" t="n">
        <v>10</v>
      </c>
      <c r="D9" s="29" t="inlineStr">
        <is>
          <t>Hazus_Source</t>
        </is>
      </c>
      <c r="E9" s="29" t="inlineStr">
        <is>
          <t>Source range</t>
        </is>
      </c>
    </row>
    <row r="10">
      <c r="A10" s="29" t="inlineStr">
        <is>
          <t>Maximum DR exact</t>
        </is>
      </c>
      <c r="B10" s="60">
        <f>IF('Hazus_Source'!D15=0.15,"PASS","FAIL")</f>
        <v/>
      </c>
      <c r="C10" s="29" t="n">
        <v>0.15</v>
      </c>
      <c r="D10" s="29" t="inlineStr">
        <is>
          <t>Hazus_Source</t>
        </is>
      </c>
      <c r="E10" s="29" t="inlineStr">
        <is>
          <t>No cap invention</t>
        </is>
      </c>
    </row>
    <row r="11">
      <c r="A11" s="29" t="inlineStr">
        <is>
          <t>WSE one-foot bridge exact</t>
        </is>
      </c>
      <c r="B11" s="60">
        <f>IF(ABS('Axis_Bridge'!E5-1)&lt;1E-10,"PASS","FAIL")</f>
        <v/>
      </c>
      <c r="C11" s="29" t="n">
        <v>1</v>
      </c>
      <c r="D11" s="29" t="inlineStr">
        <is>
          <t>Axis_Bridge</t>
        </is>
      </c>
      <c r="E11" s="29" t="inlineStr">
        <is>
          <t>Exact SI conversion</t>
        </is>
      </c>
    </row>
    <row r="12">
      <c r="A12" s="29" t="inlineStr">
        <is>
          <t>Datum mismatch withheld</t>
        </is>
      </c>
      <c r="B12" s="60">
        <f>IF('Axis_Bridge'!G7="WITHHOLD_DATUM","PASS","FAIL")</f>
        <v/>
      </c>
      <c r="C12" s="29" t="inlineStr">
        <is>
          <t>WITHHOLD_DATUM</t>
        </is>
      </c>
      <c r="D12" s="29" t="inlineStr">
        <is>
          <t>Axis_Bridge</t>
        </is>
      </c>
      <c r="E12" s="29" t="inlineStr">
        <is>
          <t>No mixed datum</t>
        </is>
      </c>
    </row>
    <row r="13">
      <c r="A13" s="29" t="inlineStr">
        <is>
          <t>Source register exact count</t>
        </is>
      </c>
      <c r="B13" s="60">
        <f>IF(COUNTA('Source_Register'!A5:A22)=18,"PASS","FAIL")</f>
        <v/>
      </c>
      <c r="C13" s="29" t="n">
        <v>18</v>
      </c>
      <c r="D13" s="29" t="inlineStr">
        <is>
          <t>Source_Register</t>
        </is>
      </c>
      <c r="E13" s="29" t="inlineStr">
        <is>
          <t>All governed sources</t>
        </is>
      </c>
    </row>
    <row r="14">
      <c r="A14" s="29" t="inlineStr">
        <is>
          <t>Claim register exact count</t>
        </is>
      </c>
      <c r="B14" s="60">
        <f>IF(COUNTA('Claim_Register'!A5:A31)=27,"PASS","FAIL")</f>
        <v/>
      </c>
      <c r="C14" s="29" t="n">
        <v>27</v>
      </c>
      <c r="D14" s="29" t="inlineStr">
        <is>
          <t>Claim_Register</t>
        </is>
      </c>
      <c r="E14" s="29" t="inlineStr">
        <is>
          <t>All governed claims</t>
        </is>
      </c>
    </row>
    <row r="15">
      <c r="A15" s="29" t="inlineStr">
        <is>
          <t>Parameter table exact count</t>
        </is>
      </c>
      <c r="B15" s="60">
        <f>IF(COUNTA('Parameter_Tiers'!A5:A37)=33,"PASS","FAIL")</f>
        <v/>
      </c>
      <c r="C15" s="29" t="n">
        <v>33</v>
      </c>
      <c r="D15" s="29" t="inlineStr">
        <is>
          <t>Parameter_Tiers</t>
        </is>
      </c>
      <c r="E15" s="29" t="inlineStr">
        <is>
          <t>All governed rules</t>
        </is>
      </c>
    </row>
    <row r="16">
      <c r="A16" s="29" t="inlineStr">
        <is>
          <t>Value crosswalk exact count</t>
        </is>
      </c>
      <c r="B16" s="60">
        <f>IF(COUNTA('Value_Crosswalk'!A5:A23)=19,"PASS","FAIL")</f>
        <v/>
      </c>
      <c r="C16" s="29" t="n">
        <v>19</v>
      </c>
      <c r="D16" s="29" t="inlineStr">
        <is>
          <t>Value_Crosswalk</t>
        </is>
      </c>
      <c r="E16" s="29" t="inlineStr">
        <is>
          <t>No dropped value row</t>
        </is>
      </c>
    </row>
    <row r="17">
      <c r="A17" s="29" t="inlineStr">
        <is>
          <t>Failure unit exact count</t>
        </is>
      </c>
      <c r="B17" s="60">
        <f>IF(COUNTA('Failure_Units'!A5:A19)=15,"PASS","FAIL")</f>
        <v/>
      </c>
      <c r="C17" s="29" t="n">
        <v>15</v>
      </c>
      <c r="D17" s="29" t="inlineStr">
        <is>
          <t>Failure_Units</t>
        </is>
      </c>
      <c r="E17" s="29" t="inlineStr">
        <is>
          <t>Complete unit inventory</t>
        </is>
      </c>
    </row>
    <row r="18">
      <c r="A18" s="29" t="inlineStr">
        <is>
          <t>One supported source atom</t>
        </is>
      </c>
      <c r="B18" s="60">
        <f>IF(COUNTIF('Failure_Units'!D5:D19,"primary nonzero")=1,"PASS","FAIL")</f>
        <v/>
      </c>
      <c r="C18" s="29" t="n">
        <v>1</v>
      </c>
      <c r="D18" s="29" t="inlineStr">
        <is>
          <t>Failure_Units</t>
        </is>
      </c>
      <c r="E18" s="29" t="inlineStr">
        <is>
          <t>Partial coverage only</t>
        </is>
      </c>
    </row>
    <row r="19">
      <c r="A19" s="29" t="inlineStr">
        <is>
          <t>Assembly atom present once</t>
        </is>
      </c>
      <c r="B19" s="60">
        <f>IF(COUNTIF('Failure_Units'!A5:A19,"FW_HAZUS_GSU_SUBSTATION_ASSEMBLY")=1,"PASS","FAIL")</f>
        <v/>
      </c>
      <c r="C19" s="29" t="n">
        <v>1</v>
      </c>
      <c r="D19" s="29" t="inlineStr">
        <is>
          <t>Failure_Units</t>
        </is>
      </c>
      <c r="E19" s="29" t="inlineStr">
        <is>
          <t>No duplicated GSU</t>
        </is>
      </c>
    </row>
    <row r="20">
      <c r="A20" s="29" t="inlineStr">
        <is>
          <t>KAT rows complete</t>
        </is>
      </c>
      <c r="B20" s="60">
        <f>IF(COUNTIF('KATs'!H5:H41,"PASS")=37,"PASS","FAIL")</f>
        <v/>
      </c>
      <c r="C20" s="29" t="n">
        <v>37</v>
      </c>
      <c r="D20" s="29" t="inlineStr">
        <is>
          <t>KATs</t>
        </is>
      </c>
      <c r="E20" s="29" t="inlineStr">
        <is>
          <t>Every fixture represented</t>
        </is>
      </c>
    </row>
    <row r="21">
      <c r="A21" s="29" t="inlineStr">
        <is>
          <t>Current artifact is canonical partial screening and SHA-pinned</t>
        </is>
      </c>
      <c r="B21" s="60">
        <f>IF('README'!B12=FALSE,"PASS","FAIL")</f>
        <v/>
      </c>
      <c r="C21" s="29" t="b">
        <v>0</v>
      </c>
      <c r="D21" s="29" t="inlineStr">
        <is>
          <t>README</t>
        </is>
      </c>
      <c r="E21" s="29" t="inlineStr">
        <is>
          <t>No runtime cutover</t>
        </is>
      </c>
    </row>
    <row r="22">
      <c r="A22" s="30" t="inlineStr">
        <is>
          <t>Package remains excluded</t>
        </is>
      </c>
      <c r="B22" s="61">
        <f>IF('README'!B13="not_included","PASS","FAIL")</f>
        <v/>
      </c>
      <c r="C22" s="30" t="inlineStr">
        <is>
          <t>not_included</t>
        </is>
      </c>
      <c r="D22" s="30" t="inlineStr">
        <is>
          <t>README</t>
        </is>
      </c>
      <c r="E22" s="30" t="inlineStr">
        <is>
          <t>No silent release</t>
        </is>
      </c>
    </row>
  </sheetData>
  <mergeCells count="2">
    <mergeCell ref="A2:E2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2026-08-08T22:31:48Z</dcterms:created>
  <dcterms:modified xsi:type="dcterms:W3CDTF">2026-08-08T22:42:42Z</dcterms:modified>
</cp:coreProperties>
</file>