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2b7ba630e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3ba6393855d4f64"/>
    <x:sheet xmlns:r="http://schemas.openxmlformats.org/officeDocument/2006/relationships" name="Seven_Steps" sheetId="2" r:id="Ra3450e97b1c040e6"/>
    <x:sheet xmlns:r="http://schemas.openxmlformats.org/officeDocument/2006/relationships" name="Shared_Substrate" sheetId="3" r:id="Rb0a2b6f35f484666"/>
    <x:sheet xmlns:r="http://schemas.openxmlformats.org/officeDocument/2006/relationships" name="Failure_Units" sheetId="4" r:id="R19fc253630694770"/>
    <x:sheet xmlns:r="http://schemas.openxmlformats.org/officeDocument/2006/relationships" name="Exposure_Value" sheetId="5" r:id="R714f72ffa61144ba"/>
    <x:sheet xmlns:r="http://schemas.openxmlformats.org/officeDocument/2006/relationships" name="Value_Crosswalk" sheetId="6" r:id="R34d7acaead824eb0"/>
    <x:sheet xmlns:r="http://schemas.openxmlformats.org/officeDocument/2006/relationships" name="Candidate_Audit" sheetId="7" r:id="R60844f817bef4c9a"/>
    <x:sheet xmlns:r="http://schemas.openxmlformats.org/officeDocument/2006/relationships" name="Legacy_Audit" sheetId="8" r:id="Rd35bd03360e8415c"/>
    <x:sheet xmlns:r="http://schemas.openxmlformats.org/officeDocument/2006/relationships" name="Site_Adapter" sheetId="9" r:id="R9b630145a84e4180"/>
    <x:sheet xmlns:r="http://schemas.openxmlformats.org/officeDocument/2006/relationships" name="Claim_Register" sheetId="10" r:id="Rd78c2849fb164263"/>
    <x:sheet xmlns:r="http://schemas.openxmlformats.org/officeDocument/2006/relationships" name="Source_Register" sheetId="11" r:id="Rd1eb4e94c40e4765"/>
    <x:sheet xmlns:r="http://schemas.openxmlformats.org/officeDocument/2006/relationships" name="Parameter_Tiers" sheetId="12" r:id="R1c7840c94067423d"/>
    <x:sheet xmlns:r="http://schemas.openxmlformats.org/officeDocument/2006/relationships" name="QA_Checks" sheetId="13" r:id="Rdb7356d5d285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"/>
    <x:numFmt numFmtId="202" formatCode="$#,##0"/>
    <x:numFmt numFmtId="203" formatCode="0.0%"/>
    <x:numFmt numFmtId="204" formatCode="0.000000"/>
    <x:numFmt numFmtId="205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4748B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  <x:font>
      <x:b/>
      <x:sz val="11"/>
      <x:color rgb="FF17233A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sz val="9"/>
      <x:color rgb="FF1E293B"/>
      <x:name val="Carlito"/>
    </x:font>
    <x:font>
      <x:b/>
      <x:sz val="9"/>
      <x:color rgb="FFFFFFFF"/>
      <x:name val="Carlito"/>
    </x:font>
    <x:font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33A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DDF4EF"/>
      </x:patternFill>
    </x:fill>
    <x:fill>
      <x:patternFill patternType="solid">
        <x:fgColor rgb="FFDCE8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5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0" fillId="0" borderId="0" xfId="0" applyNumberFormat="1" applyFont="1" applyFill="1" applyBorder="1"/>
    <x:xf numFmtId="200" fontId="6" fillId="7" borderId="0" xfId="0" applyNumberFormat="1" applyFont="1" applyFill="1" applyBorder="1"/>
    <x:xf numFmtId="200" fontId="5" fillId="6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vertical="top" wrapText="1"/>
    </x:xf>
    <x:xf numFmtId="0" fontId="9" fillId="4" borderId="7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vertical="top" wrapText="1"/>
    </x:xf>
    <x:xf numFmtId="0" fontId="9" fillId="4" borderId="11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center" wrapText="1"/>
    </x:xf>
    <x:xf numFmtId="0" fontId="9" fillId="4" borderId="10" xfId="0" applyNumberFormat="1" applyFont="1" applyFill="1" applyBorder="1" applyAlignment="1">
      <x:alignment vertical="center" wrapText="1"/>
    </x:xf>
    <x:xf numFmtId="0" fontId="9" fillId="4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8" xfId="0" applyNumberFormat="1" applyFont="1" applyFill="1" applyBorder="1" applyAlignment="1">
      <x:alignment vertical="top" wrapText="1"/>
    </x:xf>
    <x:xf numFmtId="202" fontId="8" fillId="0" borderId="8" xfId="0" applyNumberFormat="1" applyFont="1" applyFill="1" applyBorder="1" applyAlignment="1">
      <x:alignment vertical="top" wrapText="1"/>
    </x:xf>
    <x:xf numFmtId="203" fontId="8" fillId="0" borderId="8" xfId="0" applyNumberFormat="1" applyFont="1" applyFill="1" applyBorder="1" applyAlignment="1">
      <x:alignment vertical="top" wrapText="1"/>
    </x:xf>
    <x:xf numFmtId="200" fontId="8" fillId="0" borderId="8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2" xfId="0" applyNumberFormat="1" applyFont="1" applyFill="1" applyBorder="1"/>
    <x:xf numFmtId="0" fontId="0" fillId="0" borderId="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/>
    <x:xf numFmtId="201" fontId="0" fillId="0" borderId="12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1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14" xfId="0" applyNumberFormat="1" applyFont="1" applyFill="1" applyBorder="1"/>
    <x:xf numFmtId="201" fontId="0" fillId="0" borderId="6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4" fontId="0" fillId="0" borderId="12" xfId="0" applyNumberFormat="1" applyFont="1" applyFill="1" applyBorder="1"/>
    <x:xf numFmtId="204" fontId="0" fillId="0" borderId="13" xfId="0" applyNumberFormat="1" applyFont="1" applyFill="1" applyBorder="1"/>
    <x:xf numFmtId="204" fontId="0" fillId="0" borderId="14" xfId="0" applyNumberFormat="1" applyFont="1" applyFill="1" applyBorder="1"/>
    <x:xf numFmtId="204" fontId="0" fillId="0" borderId="0" xfId="0" applyNumberFormat="1" applyFont="1" applyFill="1" applyBorder="1"/>
    <x:xf numFmtId="204" fontId="0" fillId="3" borderId="0" xfId="0" applyNumberFormat="1" applyFont="1" applyFill="1" applyBorder="1"/>
    <x:xf numFmtId="0" fontId="5" fillId="3" borderId="0" xfId="0" applyNumberFormat="1" applyFont="1" applyFill="1" applyBorder="1"/>
    <x:xf numFmtId="204" fontId="5" fillId="3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205" fontId="8" fillId="0" borderId="8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1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2ff2d1da14db2" /><Relationship Type="http://schemas.openxmlformats.org/officeDocument/2006/relationships/theme" Target="/xl/theme/theme1.xml" Id="Rc8f781ea0a3d4997" /><Relationship Type="http://schemas.microsoft.com/office/2022/11/relationships/FeaturePropertyBag" Target="/xl/featurePropertyBag/featurePropertyBag.xml" Id="R0e4dda45c4ee4db2" /><Relationship Type="http://schemas.openxmlformats.org/officeDocument/2006/relationships/sharedStrings" Target="/xl/sharedStrings.xml" Id="R6fc9affcfb894902" /><Relationship Type="http://schemas.openxmlformats.org/officeDocument/2006/relationships/worksheet" Target="/xl/worksheets/sheet1.xml" Id="R63ba6393855d4f64" /><Relationship Type="http://schemas.openxmlformats.org/officeDocument/2006/relationships/worksheet" Target="/xl/worksheets/sheet2.xml" Id="Ra3450e97b1c040e6" /><Relationship Type="http://schemas.openxmlformats.org/officeDocument/2006/relationships/worksheet" Target="/xl/worksheets/sheet3.xml" Id="Rb0a2b6f35f484666" /><Relationship Type="http://schemas.openxmlformats.org/officeDocument/2006/relationships/worksheet" Target="/xl/worksheets/sheet4.xml" Id="R19fc253630694770" /><Relationship Type="http://schemas.openxmlformats.org/officeDocument/2006/relationships/worksheet" Target="/xl/worksheets/sheet5.xml" Id="R714f72ffa61144ba" /><Relationship Type="http://schemas.openxmlformats.org/officeDocument/2006/relationships/worksheet" Target="/xl/worksheets/sheet6.xml" Id="R34d7acaead824eb0" /><Relationship Type="http://schemas.openxmlformats.org/officeDocument/2006/relationships/worksheet" Target="/xl/worksheets/sheet7.xml" Id="R60844f817bef4c9a" /><Relationship Type="http://schemas.openxmlformats.org/officeDocument/2006/relationships/worksheet" Target="/xl/worksheets/sheet8.xml" Id="Rd35bd03360e8415c" /><Relationship Type="http://schemas.openxmlformats.org/officeDocument/2006/relationships/worksheet" Target="/xl/worksheets/sheet9.xml" Id="R9b630145a84e4180" /><Relationship Type="http://schemas.openxmlformats.org/officeDocument/2006/relationships/worksheet" Target="/xl/worksheets/sheet10.xml" Id="Rd78c2849fb164263" /><Relationship Type="http://schemas.openxmlformats.org/officeDocument/2006/relationships/worksheet" Target="/xl/worksheets/sheet11.xml" Id="Rd1eb4e94c40e4765" /><Relationship Type="http://schemas.openxmlformats.org/officeDocument/2006/relationships/worksheet" Target="/xl/worksheets/sheet12.xml" Id="R1c7840c94067423d" /><Relationship Type="http://schemas.openxmlformats.org/officeDocument/2006/relationships/worksheet" Target="/xl/worksheets/sheet13.xml" Id="Rdb7356d5d2854f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" hidden="0" customWidth="1"/>
    <x:col min="4" max="4" width="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3" t="str">
        <x:v>Flood × wind — governed audit workbook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Model v0.1 / docs r1 · proposed · noncanonical · zero runtime curves · candidates shown for audit only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Control field</x:v>
      </x:c>
      <x:c r="B4" s="19" t="str">
        <x:v>Value</x:v>
      </x:c>
      <x:c r="D4" s="10" t="str">
        <x:v>Central decision</x:v>
      </x:c>
      <x:c r="E4" s="10"/>
      <x:c r="F4" s="10"/>
      <x:c r="G4" s="10"/>
      <x:c r="H4" s="10"/>
    </x:row>
    <x:row r="5">
      <x:c r="A5" s="20" t="str">
        <x:v>cell_id</x:v>
      </x:c>
      <x:c r="B5" s="21" t="str">
        <x:v>flood_wind</x:v>
      </x:c>
      <x:c r="D5" s="28" t="str">
        <x:v>Exactly matched GSU/substation equipment may share one intrinsic flood response across solar and wind. Component presence, local exposure, owner, value, instance, capability, and release remain cell-local. No numeric response is approved in this scaffold.</x:v>
      </x:c>
      <x:c r="E5" s="28"/>
      <x:c r="F5" s="28"/>
      <x:c r="G5" s="28"/>
      <x:c r="H5" s="28"/>
    </x:row>
    <x:row r="6">
      <x:c r="A6" s="20" t="str">
        <x:v>semantic model</x:v>
      </x:c>
      <x:c r="B6" s="21" t="str">
        <x:v>model v0.1</x:v>
      </x:c>
      <x:c r="D6" s="28"/>
      <x:c r="E6" s="28"/>
      <x:c r="F6" s="28"/>
      <x:c r="G6" s="28"/>
      <x:c r="H6" s="28"/>
    </x:row>
    <x:row r="7">
      <x:c r="A7" s="20" t="str">
        <x:v>documentation</x:v>
      </x:c>
      <x:c r="B7" s="21" t="str">
        <x:v>docs r1</x:v>
      </x:c>
      <x:c r="D7" s="28"/>
      <x:c r="E7" s="28"/>
      <x:c r="F7" s="28"/>
      <x:c r="G7" s="28"/>
      <x:c r="H7" s="28"/>
    </x:row>
    <x:row r="8">
      <x:c r="A8" s="20" t="str">
        <x:v>canonical_runtime_artifact</x:v>
      </x:c>
      <x:c r="B8" s="22" t="b">
        <x:v>0</x:v>
      </x:c>
    </x:row>
    <x:row r="9">
      <x:c r="A9" s="20" t="str">
        <x:v>curve_records</x:v>
      </x:c>
      <x:c r="B9" s="21" t="n">
        <x:v>0</x:v>
      </x:c>
      <x:c r="D9" s="29" t="str">
        <x:v>Deep-curation priority</x:v>
      </x:c>
      <x:c r="E9" s="29"/>
      <x:c r="F9" s="29"/>
      <x:c r="G9" s="29"/>
      <x:c r="H9" s="29"/>
    </x:row>
    <x:row r="10">
      <x:c r="A10" s="20" t="str">
        <x:v>runtime reason</x:v>
      </x:c>
      <x:c r="B10" s="21" t="str">
        <x:v>NO_RUNTIME_CURVE</x:v>
      </x:c>
      <x:c r="D10" s="34" t="str">
        <x:v>1</x:v>
      </x:c>
      <x:c r="E10" s="31" t="str">
        <x:v>GSU switchgear + protection/control/DC inventory and cost endpoint</x:v>
      </x:c>
      <x:c r="F10" s="31"/>
      <x:c r="G10" s="31"/>
      <x:c r="H10" s="31"/>
    </x:row>
    <x:row r="11">
      <x:c r="A11" s="20" t="str">
        <x:v>pathway</x:v>
      </x:c>
      <x:c r="B11" s="21" t="str">
        <x:v>flood_inundation_contact</x:v>
      </x:c>
      <x:c r="D11" s="34" t="str">
        <x:v>2</x:v>
      </x:c>
      <x:c r="E11" s="31" t="str">
        <x:v>Main transformer versus auxiliaries/controls dependency-safe split</x:v>
      </x:c>
      <x:c r="F11" s="31"/>
      <x:c r="G11" s="31"/>
      <x:c r="H11" s="31"/>
    </x:row>
    <x:row r="12">
      <x:c r="A12" s="23" t="str">
        <x:v>axis method</x:v>
      </x:c>
      <x:c r="B12" s="24" t="str">
        <x:v>h_i=max(0,WSE-z_i_crit)</x:v>
      </x:c>
      <x:c r="D12" s="34" t="str">
        <x:v>3</x:v>
      </x:c>
      <x:c r="E12" s="31" t="str">
        <x:v>Turbine-base and pad/turbine step-up equipment</x:v>
      </x:c>
      <x:c r="F12" s="31"/>
      <x:c r="G12" s="31"/>
      <x:c r="H12" s="31"/>
    </x:row>
    <x:row r="13">
      <x:c r="D13" s="34" t="str">
        <x:v>4</x:v>
      </x:c>
      <x:c r="E13" s="31" t="str">
        <x:v>Wind MV collection terminations, joints, pull boxes, and pathways</x:v>
      </x:c>
      <x:c r="F13" s="31"/>
      <x:c r="G13" s="31"/>
      <x:c r="H13" s="31"/>
    </x:row>
    <x:row r="14">
      <x:c r="A14" s="10" t="str">
        <x:v>Reference value row</x:v>
      </x:c>
      <x:c r="B14" s="10" t="str">
        <x:v>2023 USD/kW</x:v>
      </x:c>
      <x:c r="D14" s="34" t="str">
        <x:v>5</x:v>
      </x:c>
      <x:c r="E14" s="31" t="str">
        <x:v>Civil/access/drainage and foundation scour as separate pathways</x:v>
      </x:c>
      <x:c r="F14" s="31"/>
      <x:c r="G14" s="31"/>
      <x:c r="H14" s="31"/>
    </x:row>
    <x:row r="15">
      <x:c r="A15" t="str">
        <x:v>Elevated turbine equipment</x:v>
      </x:c>
      <x:c r="B15" s="39" t="n">
        <x:v>1090</x:v>
      </x:c>
      <x:c r="D15" s="34" t="str">
        <x:v>6</x:v>
      </x:c>
      <x:c r="E15" s="31" t="str">
        <x:v>Elevated turbine equipment only where a real water path exists</x:v>
      </x:c>
      <x:c r="F15" s="31"/>
      <x:c r="G15" s="31"/>
      <x:c r="H15" s="31"/>
    </x:row>
    <x:row r="16">
      <x:c r="A16" t="str">
        <x:v>Foundation</x:v>
      </x:c>
      <x:c r="B16" s="39" t="n">
        <x:v>120</x:v>
      </x:c>
    </x:row>
    <x:row r="17">
      <x:c r="A17" t="str">
        <x:v>Mixed civil</x:v>
      </x:c>
      <x:c r="B17" s="39" t="n">
        <x:v>47</x:v>
      </x:c>
    </x:row>
    <x:row r="18">
      <x:c r="A18" t="str">
        <x:v>Mixed external electrical</x:v>
      </x:c>
      <x:c r="B18" s="39" t="n">
        <x:v>72</x:v>
      </x:c>
    </x:row>
    <x:row r="19">
      <x:c r="A19" t="str">
        <x:v>Support allocated once</x:v>
      </x:c>
      <x:c r="B19" s="39" t="n">
        <x:v>294</x:v>
      </x:c>
    </x:row>
    <x:row r="20">
      <x:c r="A20" s="36" t="str">
        <x:v>Physical reference total</x:v>
      </x:c>
      <x:c r="B20" s="40" t="n">
        <x:f>SUM(B15:B19)</x:f>
        <x:v>1623</x:v>
      </x:c>
    </x:row>
    <x:row r="21">
      <x:c r="A21" t="str">
        <x:v>Excluded soft/sunk/nonphysical</x:v>
      </x:c>
      <x:c r="B21" s="39" t="n">
        <x:v>345</x:v>
      </x:c>
    </x:row>
    <x:row r="22">
      <x:c r="A22" s="38" t="str">
        <x:v>Installed reference total</x:v>
      </x:c>
      <x:c r="B22" s="41" t="n">
        <x:f>B20+B21</x:f>
        <x:v>1968</x:v>
      </x:c>
    </x:row>
    <x:row r="24" ht="36" customHeight="1">
      <x:c r="A24" s="44" t="str">
        <x:v>Audit-only workbook: runtime truth is the JSON artifact. Candidate ordinates and legacy formulas below must not populate a damage emit or serve as fallback.</x:v>
      </x:c>
      <x:c r="B24" s="44"/>
      <x:c r="C24" s="44"/>
      <x:c r="D24" s="44"/>
      <x:c r="E24" s="44"/>
      <x:c r="F24" s="44"/>
      <x:c r="G24" s="44"/>
      <x:c r="H24" s="44"/>
    </x:row>
  </x:sheetData>
  <x:mergeCells>
    <x:mergeCell ref="A1:H1"/>
    <x:mergeCell ref="A2:H2"/>
    <x:mergeCell ref="D4:H4"/>
    <x:mergeCell ref="D5:H7"/>
    <x:mergeCell ref="D9:H9"/>
    <x:mergeCell ref="E10:H10"/>
    <x:mergeCell ref="E11:H11"/>
    <x:mergeCell ref="E12:H12"/>
    <x:mergeCell ref="E13:H13"/>
    <x:mergeCell ref="E14:H14"/>
    <x:mergeCell ref="E15:H15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48" hidden="0" customWidth="1"/>
    <x:col min="4" max="4" width="18" hidden="0" customWidth="1"/>
    <x:col min="5" max="5" width="42" hidden="0" customWidth="1"/>
  </x:cols>
  <x:sheetData>
    <x:row r="1" ht="30" customHeight="1">
      <x:c r="A1" s="3" t="str">
        <x:v>Seven-step audit</x:v>
      </x:c>
      <x:c r="B1" s="3"/>
      <x:c r="C1" s="3"/>
      <x:c r="D1" s="3"/>
      <x:c r="E1" s="3"/>
    </x:row>
    <x:row r="2" ht="32" customHeight="1">
      <x:c r="A2" s="7" t="str">
        <x:v>The physical and economic chain must close before a curve can ship.</x:v>
      </x:c>
      <x:c r="B2" s="7"/>
      <x:c r="C2" s="7"/>
      <x:c r="D2" s="7"/>
      <x:c r="E2" s="7"/>
    </x:row>
    <x:row r="5" ht="34" customHeight="1">
      <x:c r="A5" s="55" t="str">
        <x:v>Step</x:v>
      </x:c>
      <x:c r="B5" s="56" t="str">
        <x:v>Question</x:v>
      </x:c>
      <x:c r="C5" s="56" t="str">
        <x:v>Current result</x:v>
      </x:c>
      <x:c r="D5" s="56" t="str">
        <x:v>Gate</x:v>
      </x:c>
      <x:c r="E5" s="57" t="str">
        <x:v>Next evidence</x:v>
      </x:c>
    </x:row>
    <x:row r="6" ht="42" customHeight="1">
      <x:c r="A6" s="49" t="n">
        <x:v>1</x:v>
      </x:c>
      <x:c r="B6" s="49" t="str">
        <x:v>Define asset</x:v>
      </x:c>
      <x:c r="C6" s="49" t="str">
        <x:v>Wind facility + zero/one associated facility GSU</x:v>
      </x:c>
      <x:c r="D6" s="49" t="str">
        <x:v>PASS scaffold</x:v>
      </x:c>
      <x:c r="E6" s="49" t="str">
        <x:v>Site inventory and demarcation</x:v>
      </x:c>
    </x:row>
    <x:row r="7" ht="42" customHeight="1">
      <x:c r="A7" s="49" t="n">
        <x:v>2</x:v>
      </x:c>
      <x:c r="B7" s="49" t="str">
        <x:v>Decompose what fails</x:v>
      </x:c>
      <x:c r="C7" s="49" t="str">
        <x:v>14 governed physical/support subjects</x:v>
      </x:c>
      <x:c r="D7" s="49" t="str">
        <x:v>PARTIAL</x:v>
      </x:c>
      <x:c r="E7" s="49" t="str">
        <x:v>OEM/SOV same-unit anatomy</x:v>
      </x:c>
    </x:row>
    <x:row r="8" ht="42" customHeight="1">
      <x:c r="A8" s="49" t="n">
        <x:v>3</x:v>
      </x:c>
      <x:c r="B8" s="49" t="str">
        <x:v>Define ordinate</x:v>
      </x:c>
      <x:c r="C8" s="49" t="str">
        <x:v>Same-unit direct repair/replacement cost ratio</x:v>
      </x:c>
      <x:c r="D8" s="49" t="str">
        <x:v>DEFINITION PASS</x:v>
      </x:c>
      <x:c r="E8" s="49" t="str">
        <x:v>Economic endpoint calibration</x:v>
      </x:c>
    </x:row>
    <x:row r="9" ht="42" customHeight="1">
      <x:c r="A9" s="49" t="n">
        <x:v>4</x:v>
      </x:c>
      <x:c r="B9" s="49" t="str">
        <x:v>Split source value rows</x:v>
      </x:c>
      <x:c r="C9" s="49" t="str">
        <x:v>72 USD/kW electrical rollup remains mixed</x:v>
      </x:c>
      <x:c r="D9" s="49" t="str">
        <x:v>BLOCKED</x:v>
      </x:c>
      <x:c r="E9" s="49" t="str">
        <x:v>Component split</x:v>
      </x:c>
    </x:row>
    <x:row r="10" ht="42" customHeight="1">
      <x:c r="A10" s="49" t="n">
        <x:v>5</x:v>
      </x:c>
      <x:c r="B10" s="49" t="str">
        <x:v>Allocate physical value</x:v>
      </x:c>
      <x:c r="C10" s="49" t="str">
        <x:v>Ownership, count, SOV/BOM required</x:v>
      </x:c>
      <x:c r="D10" s="49" t="str">
        <x:v>BLOCKED</x:v>
      </x:c>
      <x:c r="E10" s="49" t="str">
        <x:v>Site agreement + value schedule</x:v>
      </x:c>
    </x:row>
    <x:row r="11" ht="42" customHeight="1">
      <x:c r="A11" s="49" t="n">
        <x:v>6</x:v>
      </x:c>
      <x:c r="B11" s="49" t="str">
        <x:v>Specify site adapter</x:v>
      </x:c>
      <x:c r="C11" s="49" t="str">
        <x:v>Local component-datum depth; no missing-to-dry</x:v>
      </x:c>
      <x:c r="D11" s="49" t="str">
        <x:v>METHOD PASS</x:v>
      </x:c>
      <x:c r="E11" s="49" t="str">
        <x:v>Observed local fields</x:v>
      </x:c>
    </x:row>
    <x:row r="12" ht="42" customHeight="1">
      <x:c r="A12" s="49" t="n">
        <x:v>7</x:v>
      </x:c>
      <x:c r="B12" s="49" t="str">
        <x:v>Apply curves or withhold</x:v>
      </x:c>
      <x:c r="C12" s="49" t="str">
        <x:v>No candidate passes all gates</x:v>
      </x:c>
      <x:c r="D12" s="49" t="str">
        <x:v>WITHHOLD</x:v>
      </x:c>
      <x:c r="E12" s="49" t="str">
        <x:v>Reviewed output-bearing record</x:v>
      </x:c>
    </x:row>
  </x:sheetData>
  <x:mergeCells>
    <x:mergeCell ref="A1:E1"/>
    <x:mergeCell ref="A2:E2"/>
  </x:mergeCells>
  <x:conditionalFormatting sqref="D6:D12">
    <x:cfRule type="containsText" dxfId="0" priority="1" operator="containsText" text="BLOCKED"/>
    <x:cfRule type="containsText" dxfId="1" priority="2" operator="containsText" text="PASS"/>
    <x:cfRule type="containsText" dxfId="2" priority="3" operator="containsText" text="WITHHOL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0" hidden="0" customWidth="1"/>
    <x:col min="3" max="3" width="24" hidden="0" customWidth="1"/>
    <x:col min="4" max="4" width="30" hidden="0" customWidth="1"/>
    <x:col min="5" max="5" width="2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28" hidden="0" customWidth="1"/>
    <x:col min="11" max="11" width="16" hidden="0" customWidth="1"/>
    <x:col min="12" max="12" width="48" hidden="0" customWidth="1"/>
  </x:cols>
  <x:sheetData>
    <x:row r="1" ht="30" customHeight="1">
      <x:c r="A1" s="3" t="str">
        <x:v>Shared flood-electrical substrate crosswalk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Definition, axis, and evidence reuse are separate from numeric runtime approval.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4" customHeight="1">
      <x:c r="A5" s="55" t="str">
        <x:v>shared_failure_unit_id</x:v>
      </x:c>
      <x:c r="B5" s="56" t="str">
        <x:v>flood_wind_failure_unit_id</x:v>
      </x:c>
      <x:c r="C5" s="56" t="str">
        <x:v>flood_solar_source_record</x:v>
      </x:c>
      <x:c r="D5" s="56" t="str">
        <x:v>source_pin</x:v>
      </x:c>
      <x:c r="E5" s="56" t="str">
        <x:v>source_artifact_sha256</x:v>
      </x:c>
      <x:c r="F5" s="56" t="str">
        <x:v>reuse_definition</x:v>
      </x:c>
      <x:c r="G5" s="56" t="str">
        <x:v>reuse_axis</x:v>
      </x:c>
      <x:c r="H5" s="56" t="str">
        <x:v>reuse_evidence</x:v>
      </x:c>
      <x:c r="I5" s="56" t="str">
        <x:v>reuse_numeric_candidate</x:v>
      </x:c>
      <x:c r="J5" s="56" t="str">
        <x:v>current_decision</x:v>
      </x:c>
      <x:c r="K5" s="56" t="str">
        <x:v>runtime_approved</x:v>
      </x:c>
      <x:c r="L5" s="57" t="str">
        <x:v>compatibility_blocker</x:v>
      </x:c>
    </x:row>
    <x:row r="6" ht="42" customHeight="1">
      <x:c r="A6" s="49" t="str">
        <x:v>FE_SUBSTATION_SWITCHGEAR</x:v>
      </x:c>
      <x:c r="B6" s="49" t="str">
        <x:v>FW_GSU_SWITCHGEAR</x:v>
      </x:c>
      <x:c r="C6" s="49" t="str">
        <x:v>FS_SWG</x:v>
      </x:c>
      <x:c r="D6" s="49" t="str">
        <x:v>flood_solar@model_v1_0__docs_r4</x:v>
      </x:c>
      <x:c r="E6" s="49" t="str">
        <x:v>a08e77ef034e1ecea3e7cd05d13c825921b54d610fca9de8651ebda8e857082d</x:v>
      </x:c>
      <x:c r="F6" s="61" t="b">
        <x:v>1</x:v>
      </x:c>
      <x:c r="G6" s="61" t="b">
        <x:v>1</x:v>
      </x:c>
      <x:c r="H6" s="61" t="b">
        <x:v>1</x:v>
      </x:c>
      <x:c r="I6" s="61" t="b">
        <x:v>1</x:v>
      </x:c>
      <x:c r="J6" s="49" t="str">
        <x:v>pinned_candidate_only</x:v>
      </x:c>
      <x:c r="K6" s="61" t="b">
        <x:v>0</x:v>
      </x:c>
      <x:c r="L6" s="49" t="str">
        <x:v>exact switchgear population/selectors and economic validation</x:v>
      </x:c>
    </x:row>
    <x:row r="7" ht="42" customHeight="1">
      <x:c r="A7" s="49" t="str">
        <x:v>FE_GSU_TRANSFORMER_MAIN</x:v>
      </x:c>
      <x:c r="B7" s="49" t="str">
        <x:v>FW_GSU_TRANSFORMER_MAIN</x:v>
      </x:c>
      <x:c r="C7" s="49" t="str">
        <x:v>FS_XFMR</x:v>
      </x:c>
      <x:c r="D7" s="49" t="str">
        <x:v>flood_solar@model_v1_0__docs_r4</x:v>
      </x:c>
      <x:c r="E7" s="49" t="str">
        <x:v>a08e77ef034e1ecea3e7cd05d13c825921b54d610fca9de8651ebda8e857082d</x:v>
      </x:c>
      <x:c r="F7" s="61" t="b">
        <x:v>1</x:v>
      </x:c>
      <x:c r="G7" s="61" t="b">
        <x:v>1</x:v>
      </x:c>
      <x:c r="H7" s="61" t="b">
        <x:v>1</x:v>
      </x:c>
      <x:c r="I7" s="61" t="b">
        <x:v>0</x:v>
      </x:c>
      <x:c r="J7" s="49" t="str">
        <x:v>reject_direct_numeric_reuse</x:v>
      </x:c>
      <x:c r="K7" s="61" t="b">
        <x:v>0</x:v>
      </x:c>
      <x:c r="L7" s="49" t="str">
        <x:v>main-transformer denominator is mixed with control/terminal datum</x:v>
      </x:c>
    </x:row>
    <x:row r="8" ht="42" customHeight="1">
      <x:c r="A8" s="49" t="str">
        <x:v>FE_GSU_TRANSFORMER_AUX_CONTROLS</x:v>
      </x:c>
      <x:c r="B8" s="49" t="str">
        <x:v>FW_GSU_TRANSFORMER_AUX_CONTROLS</x:v>
      </x:c>
      <x:c r="C8" s="49" t="str">
        <x:v>FS_XFMR_PARTIAL</x:v>
      </x:c>
      <x:c r="D8" s="49" t="str">
        <x:v>flood_solar@model_v1_0__docs_r4</x:v>
      </x:c>
      <x:c r="E8" s="49" t="str">
        <x:v>a08e77ef034e1ecea3e7cd05d13c825921b54d610fca9de8651ebda8e857082d</x:v>
      </x:c>
      <x:c r="F8" s="61" t="b">
        <x:v>1</x:v>
      </x:c>
      <x:c r="G8" s="61" t="b">
        <x:v>1</x:v>
      </x:c>
      <x:c r="H8" s="61" t="b">
        <x:v>1</x:v>
      </x:c>
      <x:c r="I8" s="61" t="b">
        <x:v>0</x:v>
      </x:c>
      <x:c r="J8" s="49" t="str">
        <x:v>decomposition_required</x:v>
      </x:c>
      <x:c r="K8" s="61" t="b">
        <x:v>0</x:v>
      </x:c>
      <x:c r="L8" s="49" t="str">
        <x:v>auxiliary/control inventory value and disposition not separated</x:v>
      </x:c>
    </x:row>
    <x:row r="9" ht="42" customHeight="1">
      <x:c r="A9" s="49" t="str">
        <x:v>FE_PROTECTION_SCADA_CONTROL</x:v>
      </x:c>
      <x:c r="B9" s="49" t="str">
        <x:v>FW_GSU_PROTECTION_SCADA</x:v>
      </x:c>
      <x:c r="C9" s="49" t="str">
        <x:v>FS_SCADA_PARTIAL</x:v>
      </x:c>
      <x:c r="D9" s="49" t="str">
        <x:v>flood_solar@model_v1_0__docs_r4</x:v>
      </x:c>
      <x:c r="E9" s="49" t="str">
        <x:v>a08e77ef034e1ecea3e7cd05d13c825921b54d610fca9de8651ebda8e857082d</x:v>
      </x:c>
      <x:c r="F9" s="61" t="b">
        <x:v>1</x:v>
      </x:c>
      <x:c r="G9" s="61" t="b">
        <x:v>1</x:v>
      </x:c>
      <x:c r="H9" s="61" t="b">
        <x:v>1</x:v>
      </x:c>
      <x:c r="I9" s="61" t="b">
        <x:v>0</x:v>
      </x:c>
      <x:c r="J9" s="49" t="str">
        <x:v>partial_semantic_match</x:v>
      </x:c>
      <x:c r="K9" s="61" t="b">
        <x:v>0</x:v>
      </x:c>
      <x:c r="L9" s="49" t="str">
        <x:v>plant monitoring versus protection relay control and communications</x:v>
      </x:c>
    </x:row>
    <x:row r="10" ht="42" customHeight="1">
      <x:c r="A10" s="49" t="str">
        <x:v>FE_STATION_SERVICE_DC</x:v>
      </x:c>
      <x:c r="B10" s="49" t="str">
        <x:v>FW_GSU_STATION_SERVICE_DC</x:v>
      </x:c>
      <x:c r="C10" s="49" t="str">
        <x:v>NONE</x:v>
      </x:c>
      <x:c r="D10" s="49" t="str">
        <x:v>flood_solar@model_v1_0__docs_r4</x:v>
      </x:c>
      <x:c r="E10" s="49" t="str">
        <x:v>a08e77ef034e1ecea3e7cd05d13c825921b54d610fca9de8651ebda8e857082d</x:v>
      </x:c>
      <x:c r="F10" s="61" t="b">
        <x:v>1</x:v>
      </x:c>
      <x:c r="G10" s="61" t="b">
        <x:v>1</x:v>
      </x:c>
      <x:c r="H10" s="61" t="b">
        <x:v>1</x:v>
      </x:c>
      <x:c r="I10" s="61" t="b">
        <x:v>0</x:v>
      </x:c>
      <x:c r="J10" s="49" t="str">
        <x:v>new_common_concept</x:v>
      </x:c>
      <x:c r="K10" s="61" t="b">
        <x:v>0</x:v>
      </x:c>
      <x:c r="L10" s="49" t="str">
        <x:v>no solar record and no same-unit cost response</x:v>
      </x:c>
    </x:row>
    <x:row r="11" ht="42" customHeight="1">
      <x:c r="A11" s="49" t="str">
        <x:v>FE_CABLE_TERMINATIONS</x:v>
      </x:c>
      <x:c r="B11" s="49" t="str">
        <x:v>FW_GSU_CABLE_TERMINATIONS</x:v>
      </x:c>
      <x:c r="C11" s="49" t="str">
        <x:v>FS_CABLE_PARTIAL</x:v>
      </x:c>
      <x:c r="D11" s="49" t="str">
        <x:v>flood_solar@model_v1_0__docs_r4</x:v>
      </x:c>
      <x:c r="E11" s="49" t="str">
        <x:v>a08e77ef034e1ecea3e7cd05d13c825921b54d610fca9de8651ebda8e857082d</x:v>
      </x:c>
      <x:c r="F11" s="61" t="b">
        <x:v>1</x:v>
      </x:c>
      <x:c r="G11" s="61" t="b">
        <x:v>0</x:v>
      </x:c>
      <x:c r="H11" s="61" t="b">
        <x:v>1</x:v>
      </x:c>
      <x:c r="I11" s="61" t="b">
        <x:v>0</x:v>
      </x:c>
      <x:c r="J11" s="49" t="str">
        <x:v>mechanism_only</x:v>
      </x:c>
      <x:c r="K11" s="61" t="b">
        <x:v>0</x:v>
      </x:c>
      <x:c r="L11" s="49" t="str">
        <x:v>axis construction and cable/termination value subjects unresolved</x:v>
      </x:c>
    </x:row>
  </x:sheetData>
  <x:mergeCells>
    <x:mergeCell ref="A1:L1"/>
    <x:mergeCell ref="A2:L2"/>
  </x:mergeCells>
  <x:conditionalFormatting sqref="K6:K11">
    <x:cfRule type="containsText" dxfId="3" priority="1" operator="containsText" text="FALS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7" hidden="0" customWidth="1"/>
    <x:col min="3" max="3" width="44" hidden="0" customWidth="1"/>
    <x:col min="4" max="4" width="28" hidden="0" customWidth="1"/>
    <x:col min="5" max="5" width="22" hidden="0" customWidth="1"/>
    <x:col min="6" max="6" width="38" hidden="0" customWidth="1"/>
    <x:col min="7" max="7" width="18" hidden="0" customWidth="1"/>
    <x:col min="8" max="8" width="38" hidden="0" customWidth="1"/>
    <x:col min="9" max="9" width="48" hidden="0" customWidth="1"/>
    <x:col min="10" max="10" width="34" hidden="0" customWidth="1"/>
  </x:cols>
  <x:sheetData>
    <x:row r="1" ht="30" customHeight="1">
      <x:c r="A1" s="3" t="str">
        <x:v>Flood-wind failure-unit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Withheld is not DR = 0. Support rows are allocation subjects, not independent curves.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55" t="str">
        <x:v>failure_unit_id</x:v>
      </x:c>
      <x:c r="B5" s="56" t="str">
        <x:v>subsystem</x:v>
      </x:c>
      <x:c r="C5" s="56" t="str">
        <x:v>component</x:v>
      </x:c>
      <x:c r="D5" s="56" t="str">
        <x:v>pathway</x:v>
      </x:c>
      <x:c r="E5" s="56" t="str">
        <x:v>coverage_role</x:v>
      </x:c>
      <x:c r="F5" s="56" t="str">
        <x:v>treatment</x:v>
      </x:c>
      <x:c r="G5" s="56" t="str">
        <x:v>ordinate_status</x:v>
      </x:c>
      <x:c r="H5" s="56" t="str">
        <x:v>exposure_grain</x:v>
      </x:c>
      <x:c r="I5" s="56" t="str">
        <x:v>main_blocker</x:v>
      </x:c>
      <x:c r="J5" s="57" t="str">
        <x:v>shared_failure_unit_id</x:v>
      </x:c>
    </x:row>
    <x:row r="6" ht="42" customHeight="1">
      <x:c r="A6" s="49" t="str">
        <x:v>FW_GSU_SWITCHGEAR</x:v>
      </x:c>
      <x:c r="B6" s="49" t="str">
        <x:v>FACILITY_GSU_SUBSTATION</x:v>
      </x:c>
      <x:c r="C6" s="49" t="str">
        <x:v>SWITCHGEAR</x:v>
      </x:c>
      <x:c r="D6" s="49" t="str">
        <x:v>flood_inundation_contact</x:v>
      </x:c>
      <x:c r="E6" s="49" t="str">
        <x:v>primary_candidate</x:v>
      </x:c>
      <x:c r="F6" s="49" t="str">
        <x:v>pinned_neighbor_candidate_no_curve</x:v>
      </x:c>
      <x:c r="G6" s="49" t="str">
        <x:v>withheld</x:v>
      </x:c>
      <x:c r="H6" s="49" t="str">
        <x:v>facility_component_point_or_polygon</x:v>
      </x:c>
      <x:c r="I6" s="49" t="str">
        <x:v>equipment applicability and same-unit economic validation</x:v>
      </x:c>
      <x:c r="J6" s="49" t="str">
        <x:v>FE_SUBSTATION_SWITCHGEAR</x:v>
      </x:c>
    </x:row>
    <x:row r="7" ht="42" customHeight="1">
      <x:c r="A7" s="49" t="str">
        <x:v>FW_GSU_TRANSFORMER_MAIN</x:v>
      </x:c>
      <x:c r="B7" s="49" t="str">
        <x:v>FACILITY_GSU_SUBSTATION</x:v>
      </x:c>
      <x:c r="C7" s="49" t="str">
        <x:v>PLANT_GSU_MAIN_TRANSFORMER</x:v>
      </x:c>
      <x:c r="D7" s="49" t="str">
        <x:v>flood_inundation_contact</x:v>
      </x:c>
      <x:c r="E7" s="49" t="str">
        <x:v>primary_candidate</x:v>
      </x:c>
      <x:c r="F7" s="49" t="str">
        <x:v>dependency_safe_state_model_required_no_curve</x:v>
      </x:c>
      <x:c r="G7" s="49" t="str">
        <x:v>withheld</x:v>
      </x:c>
      <x:c r="H7" s="49" t="str">
        <x:v>facility_component_point_or_polygon</x:v>
      </x:c>
      <x:c r="I7" s="49" t="str">
        <x:v>main versus auxiliary exposure disposition and value split</x:v>
      </x:c>
      <x:c r="J7" s="49" t="str">
        <x:v>FE_GSU_TRANSFORMER_MAIN</x:v>
      </x:c>
    </x:row>
    <x:row r="8" ht="42" customHeight="1">
      <x:c r="A8" s="49" t="str">
        <x:v>FW_GSU_TRANSFORMER_AUX_CONTROLS</x:v>
      </x:c>
      <x:c r="B8" s="49" t="str">
        <x:v>FACILITY_GSU_SUBSTATION</x:v>
      </x:c>
      <x:c r="C8" s="49" t="str">
        <x:v>TRANSFORMER_AUXILIARIES_AND_CONTROLS</x:v>
      </x:c>
      <x:c r="D8" s="49" t="str">
        <x:v>flood_inundation_contact</x:v>
      </x:c>
      <x:c r="E8" s="49" t="str">
        <x:v>primary_candidate</x:v>
      </x:c>
      <x:c r="F8" s="49" t="str">
        <x:v>decomposition_required_no_curve</x:v>
      </x:c>
      <x:c r="G8" s="49" t="str">
        <x:v>withheld</x:v>
      </x:c>
      <x:c r="H8" s="49" t="str">
        <x:v>facility_component_or_dependency_safe_assembly</x:v>
      </x:c>
      <x:c r="I8" s="49" t="str">
        <x:v>inventory disposition and same-unit value</x:v>
      </x:c>
      <x:c r="J8" s="49" t="str">
        <x:v>FE_GSU_TRANSFORMER_AUX_CONTROLS</x:v>
      </x:c>
    </x:row>
    <x:row r="9" ht="42" customHeight="1">
      <x:c r="A9" s="49" t="str">
        <x:v>FW_GSU_PROTECTION_SCADA</x:v>
      </x:c>
      <x:c r="B9" s="49" t="str">
        <x:v>FACILITY_GSU_SUBSTATION</x:v>
      </x:c>
      <x:c r="C9" s="49" t="str">
        <x:v>PROTECTION_RELAY_CONTROL_SCADA_COMMUNICATIONS</x:v>
      </x:c>
      <x:c r="D9" s="49" t="str">
        <x:v>flood_inundation_contact</x:v>
      </x:c>
      <x:c r="E9" s="49" t="str">
        <x:v>primary_candidate</x:v>
      </x:c>
      <x:c r="F9" s="49" t="str">
        <x:v>partial_neighbor_match_no_curve</x:v>
      </x:c>
      <x:c r="G9" s="49" t="str">
        <x:v>withheld</x:v>
      </x:c>
      <x:c r="H9" s="49" t="str">
        <x:v>control_room_cabinet_or_dependency_safe_assembly</x:v>
      </x:c>
      <x:c r="I9" s="49" t="str">
        <x:v>equipment crosswalk and direct cost endpoint</x:v>
      </x:c>
      <x:c r="J9" s="49" t="str">
        <x:v>FE_PROTECTION_SCADA_CONTROL</x:v>
      </x:c>
    </x:row>
    <x:row r="10" ht="42" customHeight="1">
      <x:c r="A10" s="49" t="str">
        <x:v>FW_GSU_STATION_SERVICE_DC</x:v>
      </x:c>
      <x:c r="B10" s="49" t="str">
        <x:v>FACILITY_GSU_SUBSTATION</x:v>
      </x:c>
      <x:c r="C10" s="49" t="str">
        <x:v>STATION_SERVICE_AND_DC_POWER</x:v>
      </x:c>
      <x:c r="D10" s="49" t="str">
        <x:v>flood_inundation_contact</x:v>
      </x:c>
      <x:c r="E10" s="49" t="str">
        <x:v>primary_candidate</x:v>
      </x:c>
      <x:c r="F10" s="49" t="str">
        <x:v>new_common_concept_no_curve</x:v>
      </x:c>
      <x:c r="G10" s="49" t="str">
        <x:v>withheld</x:v>
      </x:c>
      <x:c r="H10" s="49" t="str">
        <x:v>station_service_or_dc_component</x:v>
      </x:c>
      <x:c r="I10" s="49" t="str">
        <x:v>same-unit flood disposition and value</x:v>
      </x:c>
      <x:c r="J10" s="49" t="str">
        <x:v>FE_STATION_SERVICE_DC</x:v>
      </x:c>
    </x:row>
    <x:row r="11" ht="42" customHeight="1">
      <x:c r="A11" s="49" t="str">
        <x:v>FW_GSU_CABLE_TERMINATIONS</x:v>
      </x:c>
      <x:c r="B11" s="49" t="str">
        <x:v>FACILITY_GSU_SUBSTATION</x:v>
      </x:c>
      <x:c r="C11" s="49" t="str">
        <x:v>CABLE_TERMINATIONS_PULL_BOXES_AND_WATER_PATHS</x:v>
      </x:c>
      <x:c r="D11" s="49" t="str">
        <x:v>flood_inundation_contact</x:v>
      </x:c>
      <x:c r="E11" s="49" t="str">
        <x:v>secondary_candidate</x:v>
      </x:c>
      <x:c r="F11" s="49" t="str">
        <x:v>mechanism_only_neighbor_no_curve</x:v>
      </x:c>
      <x:c r="G11" s="49" t="str">
        <x:v>withheld</x:v>
      </x:c>
      <x:c r="H11" s="49" t="str">
        <x:v>termination_point_or_pathway_segment</x:v>
      </x:c>
      <x:c r="I11" s="49" t="str">
        <x:v>construction disposition and value subject</x:v>
      </x:c>
      <x:c r="J11" s="49" t="str">
        <x:v>FE_CABLE_TERMINATIONS</x:v>
      </x:c>
    </x:row>
    <x:row r="12" ht="42" customHeight="1">
      <x:c r="A12" s="49" t="str">
        <x:v>FW_TURBINE_BASE_ELECTRICAL</x:v>
      </x:c>
      <x:c r="B12" s="49" t="str">
        <x:v>REPEATED_TURBINE_ELECTRICAL</x:v>
      </x:c>
      <x:c r="C12" s="49" t="str">
        <x:v>BASE_CABINET_CONVERTER_SWITCHGEAR_OR_CONTROL</x:v>
      </x:c>
      <x:c r="D12" s="49" t="str">
        <x:v>flood_inundation_contact</x:v>
      </x:c>
      <x:c r="E12" s="49" t="str">
        <x:v>primary_candidate</x:v>
      </x:c>
      <x:c r="F12" s="49" t="str">
        <x:v>wind_specific_inventory_required_no_curve</x:v>
      </x:c>
      <x:c r="G12" s="49" t="str">
        <x:v>withheld</x:v>
      </x:c>
      <x:c r="H12" s="49" t="str">
        <x:v>per_turbine_or_verified_cluster_point</x:v>
      </x:c>
      <x:c r="I12" s="49" t="str">
        <x:v>equipment inventory local datum disposition and value</x:v>
      </x:c>
      <x:c r="J12" s="49"/>
    </x:row>
    <x:row r="13" ht="42" customHeight="1">
      <x:c r="A13" s="49" t="str">
        <x:v>FW_PADMOUNT_STEPUP_TRANSFORMER</x:v>
      </x:c>
      <x:c r="B13" s="49" t="str">
        <x:v>REPEATED_TURBINE_ELECTRICAL</x:v>
      </x:c>
      <x:c r="C13" s="49" t="str">
        <x:v>PAD_OR_TURBINE_STEPUP_TRANSFORMER</x:v>
      </x:c>
      <x:c r="D13" s="49" t="str">
        <x:v>flood_inundation_contact</x:v>
      </x:c>
      <x:c r="E13" s="49" t="str">
        <x:v>primary_candidate</x:v>
      </x:c>
      <x:c r="F13" s="49" t="str">
        <x:v>wind_specific_inventory_required_no_curve</x:v>
      </x:c>
      <x:c r="G13" s="49" t="str">
        <x:v>withheld</x:v>
      </x:c>
      <x:c r="H13" s="49" t="str">
        <x:v>per_transformer_or_verified_cluster_point</x:v>
      </x:c>
      <x:c r="I13" s="49" t="str">
        <x:v>construction count ownership disposition and value</x:v>
      </x:c>
      <x:c r="J13" s="49"/>
    </x:row>
    <x:row r="14" ht="42" customHeight="1">
      <x:c r="A14" s="49" t="str">
        <x:v>FW_COLLECTION_CABLE_TERMINATIONS</x:v>
      </x:c>
      <x:c r="B14" s="49" t="str">
        <x:v>PLANT_COLLECTION</x:v>
      </x:c>
      <x:c r="C14" s="49" t="str">
        <x:v>MV_CABLE_JOINT_TERMINATION_PULL_BOX_OR_CONDUIT_PATH</x:v>
      </x:c>
      <x:c r="D14" s="49" t="str">
        <x:v>flood_inundation_contact</x:v>
      </x:c>
      <x:c r="E14" s="49" t="str">
        <x:v>secondary_candidate</x:v>
      </x:c>
      <x:c r="F14" s="49" t="str">
        <x:v>network_decomposition_required_no_curve</x:v>
      </x:c>
      <x:c r="G14" s="49" t="str">
        <x:v>withheld</x:v>
      </x:c>
      <x:c r="H14" s="49" t="str">
        <x:v>point_and_line_network</x:v>
      </x:c>
      <x:c r="I14" s="49" t="str">
        <x:v>segment construction exposure disposition and value</x:v>
      </x:c>
      <x:c r="J14" s="49"/>
    </x:row>
    <x:row r="15" ht="42" customHeight="1">
      <x:c r="A15" s="49" t="str">
        <x:v>FW_TURBINE_FOUNDATION</x:v>
      </x:c>
      <x:c r="B15" s="49" t="str">
        <x:v>FOUNDATION</x:v>
      </x:c>
      <x:c r="C15" s="49" t="str">
        <x:v>TURBINE_FOUNDATION_AND_SUPPORTING_SOIL</x:v>
      </x:c>
      <x:c r="D15" s="49" t="str">
        <x:v>flood_scour_erosion</x:v>
      </x:c>
      <x:c r="E15" s="49" t="str">
        <x:v>out_of_primary_pathway</x:v>
      </x:c>
      <x:c r="F15" s="49" t="str">
        <x:v>separate_pathway_required_no_curve</x:v>
      </x:c>
      <x:c r="G15" s="49" t="str">
        <x:v>withheld</x:v>
      </x:c>
      <x:c r="H15" s="49" t="str">
        <x:v>per_turbine_hydraulic_geotechnical_point</x:v>
      </x:c>
      <x:c r="I15" s="49" t="str">
        <x:v>separate hydraulic geotechnical response</x:v>
      </x:c>
      <x:c r="J15" s="49"/>
    </x:row>
    <x:row r="16" ht="42" customHeight="1">
      <x:c r="A16" s="49" t="str">
        <x:v>FW_CIVIL_ACCESS_DRAINAGE</x:v>
      </x:c>
      <x:c r="B16" s="49" t="str">
        <x:v>PLANT_CIVIL</x:v>
      </x:c>
      <x:c r="C16" s="49" t="str">
        <x:v>ROADS_PADS_DRAINAGE_BUILDINGS_AND_FENCES_MIXED</x:v>
      </x:c>
      <x:c r="D16" s="49" t="str">
        <x:v>flood_scour_erosion</x:v>
      </x:c>
      <x:c r="E16" s="49" t="str">
        <x:v>out_of_primary_pathway</x:v>
      </x:c>
      <x:c r="F16" s="49" t="str">
        <x:v>split_and_separate_pathway_required_no_curve</x:v>
      </x:c>
      <x:c r="G16" s="49" t="str">
        <x:v>withheld</x:v>
      </x:c>
      <x:c r="H16" s="49" t="str">
        <x:v>line_network_and_polygon_split</x:v>
      </x:c>
      <x:c r="I16" s="49" t="str">
        <x:v>mixed subjects values and mechanisms</x:v>
      </x:c>
      <x:c r="J16" s="49"/>
    </x:row>
    <x:row r="17" ht="42" customHeight="1">
      <x:c r="A17" s="49" t="str">
        <x:v>FW_ELEVATED_TURBINE_EQUIPMENT</x:v>
      </x:c>
      <x:c r="B17" s="49" t="str">
        <x:v>REPEATED_TURBINE</x:v>
      </x:c>
      <x:c r="C17" s="49" t="str">
        <x:v>ELEVATED_ROTOR_NACELLE_AND_TOWER_EQUIPMENT</x:v>
      </x:c>
      <x:c r="D17" s="49" t="str">
        <x:v>flood_inundation_contact</x:v>
      </x:c>
      <x:c r="E17" s="49" t="str">
        <x:v>geometry_screened</x:v>
      </x:c>
      <x:c r="F17" s="49" t="str">
        <x:v>withheld_not_universal_zero</x:v>
      </x:c>
      <x:c r="G17" s="49" t="str">
        <x:v>withheld</x:v>
      </x:c>
      <x:c r="H17" s="49" t="str">
        <x:v>per_turbine</x:v>
      </x:c>
      <x:c r="I17" s="49" t="str">
        <x:v>site-specific water path and vulnerable elevation</x:v>
      </x:c>
      <x:c r="J17" s="49"/>
    </x:row>
    <x:row r="18" ht="42" customHeight="1">
      <x:c r="A18" s="49" t="str">
        <x:v>SUPPORT_FIELDWORK</x:v>
      </x:c>
      <x:c r="B18" s="49" t="str">
        <x:v>SUPPORT</x:v>
      </x:c>
      <x:c r="C18" s="49" t="str">
        <x:v>ASSEMBLY_AND_INSTALLATION</x:v>
      </x:c>
      <x:c r="D18" s="49" t="str">
        <x:v>all_shared</x:v>
      </x:c>
      <x:c r="E18" s="49" t="str">
        <x:v>support_once</x:v>
      </x:c>
      <x:c r="F18" s="49" t="str">
        <x:v>post_disposition_allocation_no_curve</x:v>
      </x:c>
      <x:c r="G18" s="49" t="str">
        <x:v>not_applicable</x:v>
      </x:c>
      <x:c r="H18" s="49" t="str">
        <x:v>post_damage_repair_scope</x:v>
      </x:c>
      <x:c r="I18" s="49" t="str">
        <x:v>claims-backed allocation rule</x:v>
      </x:c>
      <x:c r="J18" s="49"/>
    </x:row>
    <x:row r="19" ht="42" customHeight="1">
      <x:c r="A19" s="49" t="str">
        <x:v>SUPPORT_TRANSPORT_LOGISTICS</x:v>
      </x:c>
      <x:c r="B19" s="49" t="str">
        <x:v>SUPPORT</x:v>
      </x:c>
      <x:c r="C19" s="49" t="str">
        <x:v>WIND_TURBINE_TRANSPORT_AND_LOGISTICS</x:v>
      </x:c>
      <x:c r="D19" s="49" t="str">
        <x:v>all_shared</x:v>
      </x:c>
      <x:c r="E19" s="49" t="str">
        <x:v>support_once</x:v>
      </x:c>
      <x:c r="F19" s="49" t="str">
        <x:v>post_disposition_allocation_no_curve</x:v>
      </x:c>
      <x:c r="G19" s="49" t="str">
        <x:v>not_applicable</x:v>
      </x:c>
      <x:c r="H19" s="49" t="str">
        <x:v>post_damage_replacement_scope</x:v>
      </x:c>
      <x:c r="I19" s="49" t="str">
        <x:v>distance crane access and replacement rule</x:v>
      </x:c>
      <x:c r="J19" s="49"/>
    </x:row>
  </x:sheetData>
  <x:mergeCells>
    <x:mergeCell ref="A1:J1"/>
    <x:mergeCell ref="A2:J2"/>
  </x:mergeCells>
  <x:conditionalFormatting sqref="G6:G19">
    <x:cfRule type="containsText" dxfId="4" priority="1" operator="containsText" text="withhel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35" hidden="0" customWidth="1"/>
    <x:col min="4" max="4" width="14" hidden="0" customWidth="1"/>
    <x:col min="5" max="5" width="19" hidden="0" customWidth="1"/>
    <x:col min="6" max="6" width="16" hidden="0" customWidth="1"/>
    <x:col min="7" max="7" width="19" hidden="0" customWidth="1"/>
    <x:col min="8" max="8" width="24" hidden="0" customWidth="1"/>
    <x:col min="9" max="9" width="23" hidden="0" customWidth="1"/>
    <x:col min="10" max="10" width="19" hidden="0" customWidth="1"/>
    <x:col min="11" max="11" width="23" hidden="0" customWidth="1"/>
  </x:cols>
  <x:sheetData>
    <x:row r="1" ht="30" customHeight="1">
      <x:c r="A1" s="3" t="str">
        <x:v>Exposure and value assembly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Illustrative class-template calculations only; local depth does not authorize a damage ratio.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case_id</x:v>
      </x:c>
      <x:c r="B5" s="56" t="str">
        <x:v>provenance</x:v>
      </x:c>
      <x:c r="C5" s="56" t="str">
        <x:v>failure_unit_id</x:v>
      </x:c>
      <x:c r="D5" s="56" t="str">
        <x:v>WSE_m</x:v>
      </x:c>
      <x:c r="E5" s="56" t="str">
        <x:v>component_zcrit_m</x:v>
      </x:c>
      <x:c r="F5" s="56" t="str">
        <x:v>WSE_datum</x:v>
      </x:c>
      <x:c r="G5" s="56" t="str">
        <x:v>component_datum</x:v>
      </x:c>
      <x:c r="H5" s="56" t="str">
        <x:v>derived_local_depth_m</x:v>
      </x:c>
      <x:c r="I5" s="56" t="str">
        <x:v>same_unit_value_USD</x:v>
      </x:c>
      <x:c r="J5" s="56" t="str">
        <x:v>exposure_fraction</x:v>
      </x:c>
      <x:c r="K5" s="57" t="str">
        <x:v>at_risk_value_USD</x:v>
      </x:c>
    </x:row>
    <x:row r="6" ht="42" customHeight="1">
      <x:c r="A6" s="49" t="str">
        <x:v>ILLUSTRATIVE_SHALLOW_SWITCHGEAR</x:v>
      </x:c>
      <x:c r="B6" s="49" t="str">
        <x:v>class_template</x:v>
      </x:c>
      <x:c r="C6" s="49" t="str">
        <x:v>FW_GSU_SWITCHGEAR</x:v>
      </x:c>
      <x:c r="D6" s="62" t="n">
        <x:v>101.2</x:v>
      </x:c>
      <x:c r="E6" s="62" t="n">
        <x:v>101</x:v>
      </x:c>
      <x:c r="F6" s="49" t="str">
        <x:v>NAVD88</x:v>
      </x:c>
      <x:c r="G6" s="49" t="str">
        <x:v>NAVD88</x:v>
      </x:c>
      <x:c r="H6" s="62" t="n">
        <x:f>IF(OR(D6="",E6="",F6&lt;&gt;G6),"",MAX(0,D6-E6))</x:f>
        <x:v>0.20000000000000284</x:v>
      </x:c>
      <x:c r="I6" s="63" t="n">
        <x:v>500000</x:v>
      </x:c>
      <x:c r="J6" s="64" t="n">
        <x:v>1</x:v>
      </x:c>
      <x:c r="K6" s="63" t="n">
        <x:f>IF(OR(I6="",J6=""),"",I6*J6)</x:f>
        <x:v>500000</x:v>
      </x:c>
    </x:row>
    <x:row r="7" ht="42" customHeight="1">
      <x:c r="A7" s="49" t="str">
        <x:v>ILLUSTRATIVE_ELEVATED_EQUIPMENT</x:v>
      </x:c>
      <x:c r="B7" s="49" t="str">
        <x:v>class_template</x:v>
      </x:c>
      <x:c r="C7" s="49" t="str">
        <x:v>FW_ELEVATED_TURBINE_EQUIPMENT</x:v>
      </x:c>
      <x:c r="D7" s="62" t="n">
        <x:v>101.2</x:v>
      </x:c>
      <x:c r="E7" s="62" t="n">
        <x:v>120</x:v>
      </x:c>
      <x:c r="F7" s="49" t="str">
        <x:v>NAVD88</x:v>
      </x:c>
      <x:c r="G7" s="49" t="str">
        <x:v>NAVD88</x:v>
      </x:c>
      <x:c r="H7" s="62" t="n">
        <x:f>IF(OR(D7="",E7="",F7&lt;&gt;G7),"",MAX(0,D7-E7))</x:f>
        <x:v>0</x:v>
      </x:c>
      <x:c r="I7" s="63" t="n">
        <x:v>1000000</x:v>
      </x:c>
      <x:c r="J7" s="64" t="n">
        <x:v>1</x:v>
      </x:c>
      <x:c r="K7" s="63" t="n">
        <x:f>IF(OR(I7="",J7=""),"",I7*J7)</x:f>
        <x:v>1000000</x:v>
      </x:c>
    </x:row>
    <x:row r="8" ht="42" customHeight="1">
      <x:c r="A8" s="49" t="str">
        <x:v>ILLUSTRATIVE_DATUM_MISMATCH</x:v>
      </x:c>
      <x:c r="B8" s="49" t="str">
        <x:v>class_template</x:v>
      </x:c>
      <x:c r="C8" s="49" t="str">
        <x:v>FW_GSU_SWITCHGEAR</x:v>
      </x:c>
      <x:c r="D8" s="62" t="n">
        <x:v>101.2</x:v>
      </x:c>
      <x:c r="E8" s="62" t="n">
        <x:v>101</x:v>
      </x:c>
      <x:c r="F8" s="49" t="str">
        <x:v>NAVD88</x:v>
      </x:c>
      <x:c r="G8" s="49" t="str">
        <x:v>LOCAL_GRADE</x:v>
      </x:c>
      <x:c r="H8" s="62" t="str">
        <x:f>IF(OR(D8="",E8="",F8&lt;&gt;G8),"",MAX(0,D8-E8))</x:f>
      </x:c>
      <x:c r="I8" s="63" t="n">
        <x:v>500000</x:v>
      </x:c>
      <x:c r="J8" s="64" t="n">
        <x:v>1</x:v>
      </x:c>
      <x:c r="K8" s="63" t="n">
        <x:f>IF(OR(I8="",J8=""),"",I8*J8)</x:f>
        <x:v>500000</x:v>
      </x:c>
    </x:row>
    <x:row r="9" ht="42" customHeight="1">
      <x:c r="A9" s="49" t="str">
        <x:v>MISSING_COMPONENT_DATUM</x:v>
      </x:c>
      <x:c r="B9" s="49" t="str">
        <x:v>unknown</x:v>
      </x:c>
      <x:c r="C9" s="49" t="str">
        <x:v>FW_GSU_SWITCHGEAR</x:v>
      </x:c>
      <x:c r="D9" s="62" t="n">
        <x:v>101.2</x:v>
      </x:c>
      <x:c r="E9" s="62"/>
      <x:c r="F9" s="49" t="str">
        <x:v>NAVD88</x:v>
      </x:c>
      <x:c r="G9" s="49" t="str">
        <x:v>NAVD88</x:v>
      </x:c>
      <x:c r="H9" s="62" t="str">
        <x:f>IF(OR(D9="",E9="",F9&lt;&gt;G9),"",MAX(0,D9-E9))</x:f>
      </x:c>
      <x:c r="I9" s="63" t="n">
        <x:v>500000</x:v>
      </x:c>
      <x:c r="J9" s="64" t="n">
        <x:v>1</x:v>
      </x:c>
      <x:c r="K9" s="63" t="n">
        <x:f>IF(OR(I9="",J9=""),"",I9*J9)</x:f>
        <x:v>500000</x:v>
      </x:c>
    </x:row>
  </x:sheetData>
  <x:mergeCells>
    <x:mergeCell ref="A1:K1"/>
    <x:mergeCell ref="A2:K2"/>
  </x:mergeCells>
  <x:conditionalFormatting sqref="H8:H9">
    <x:cfRule type="containsBlanks" dxfId="5" priority="1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34" hidden="0" customWidth="1"/>
    <x:col min="4" max="4" width="38" hidden="0" customWidth="1"/>
    <x:col min="5" max="5" width="15" hidden="0" customWidth="1"/>
    <x:col min="6" max="6" width="22" hidden="0" customWidth="1"/>
    <x:col min="7" max="7" width="24" hidden="0" customWidth="1"/>
    <x:col min="8" max="8" width="36" hidden="0" customWidth="1"/>
    <x:col min="9" max="9" width="28" hidden="0" customWidth="1"/>
    <x:col min="10" max="10" width="25" hidden="0" customWidth="1"/>
    <x:col min="11" max="11" width="19" hidden="0" customWidth="1"/>
    <x:col min="12" max="12" width="48" hidden="0" customWidth="1"/>
    <x:col min="13" max="13" width="48" hidden="0" customWidth="1"/>
    <x:col min="14" max="14" width="28" hidden="0" customWidth="1"/>
    <x:col min="15" max="15" width="38" hidden="0" customWidth="1"/>
  </x:cols>
  <x:sheetData>
    <x:row r="1" ht="30" customHeight="1">
      <x:c r="A1" s="3" t="str">
        <x:v>Row-level value crosswalk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Reference values reconcile the archetype; blank site values are intentional promotion blockers.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4" customHeight="1">
      <x:c r="A5" s="55" t="str">
        <x:v>value_source_id</x:v>
      </x:c>
      <x:c r="B5" s="56" t="str">
        <x:v>source_location</x:v>
      </x:c>
      <x:c r="C5" s="56" t="str">
        <x:v>row_or_bucket_id</x:v>
      </x:c>
      <x:c r="D5" s="56" t="str">
        <x:v>row_or_bucket_label</x:v>
      </x:c>
      <x:c r="E5" s="56" t="str">
        <x:v>value</x:v>
      </x:c>
      <x:c r="F5" s="56" t="str">
        <x:v>unit</x:v>
      </x:c>
      <x:c r="G5" s="56" t="str">
        <x:v>financial_class</x:v>
      </x:c>
      <x:c r="H5" s="56" t="str">
        <x:v>failure_unit_id</x:v>
      </x:c>
      <x:c r="I5" s="56" t="str">
        <x:v>applicable_pathway_ids</x:v>
      </x:c>
      <x:c r="J5" s="56" t="str">
        <x:v>role_in_loss</x:v>
      </x:c>
      <x:c r="K5" s="56" t="str">
        <x:v>include_in_direct_denominator</x:v>
      </x:c>
      <x:c r="L5" s="56" t="str">
        <x:v>allocation_rule</x:v>
      </x:c>
      <x:c r="M5" s="56" t="str">
        <x:v>double_count_guardrail</x:v>
      </x:c>
      <x:c r="N5" s="56" t="str">
        <x:v>status</x:v>
      </x:c>
      <x:c r="O5" s="57" t="str">
        <x:v>notes</x:v>
      </x:c>
    </x:row>
    <x:row r="6" ht="42" customHeight="1">
      <x:c r="A6" s="49" t="str">
        <x:v>NREL_CWER_2024</x:v>
      </x:c>
      <x:c r="B6" s="49" t="str">
        <x:v>docs/method/value_basis/solar_wind_value_breakdown.xlsx::Wind_Map!12</x:v>
      </x:c>
      <x:c r="C6" s="49" t="str">
        <x:v>WIND_VALUE_012_ELECTRICAL</x:v>
      </x:c>
      <x:c r="D6" s="49" t="str">
        <x:v>Electrical infrastructure</x:v>
      </x:c>
      <x:c r="E6" s="65" t="n">
        <x:v>72</x:v>
      </x:c>
      <x:c r="F6" s="49" t="str">
        <x:v>2023_USD_per_kW</x:v>
      </x:c>
      <x:c r="G6" s="49" t="str">
        <x:v>mixed_direct_hardware</x:v>
      </x:c>
      <x:c r="H6" s="49" t="str">
        <x:v>FW_ELECTRICAL_ROLLUP_UNSPLIT</x:v>
      </x:c>
      <x:c r="I6" s="49" t="str">
        <x:v>flood_inundation_contact</x:v>
      </x:c>
      <x:c r="J6" s="49" t="str">
        <x:v>split_required</x:v>
      </x:c>
      <x:c r="K6" s="61" t="b">
        <x:v>0</x:v>
      </x:c>
      <x:c r="L6" s="49" t="str">
        <x:v>Split among turbine-base/pad/collection/substation components using site/OEM schedule before loss.</x:v>
      </x:c>
      <x:c r="M6" s="49" t="str">
        <x:v>Do not add 9% electrical plus 9% substation or repeat one GSU per turbine.</x:v>
      </x:c>
      <x:c r="N6" s="49" t="str">
        <x:v>withheld_split_required</x:v>
      </x:c>
      <x:c r="O6" s="49" t="str">
        <x:v>Reference rollup only.</x:v>
      </x:c>
    </x:row>
    <x:row r="7" ht="42" customHeight="1">
      <x:c r="A7" s="49" t="str">
        <x:v>NREL_CWER_2024</x:v>
      </x:c>
      <x:c r="B7" s="49" t="str">
        <x:v>Wind_Map!12</x:v>
      </x:c>
      <x:c r="C7" s="49" t="str">
        <x:v>FW_VALUE_GSU_SWITCHGEAR</x:v>
      </x:c>
      <x:c r="D7" s="49" t="str">
        <x:v>Substation switchgear</x:v>
      </x:c>
      <x:c r="E7" s="65"/>
      <x:c r="F7" s="49" t="str">
        <x:v>site_USD_required</x:v>
      </x:c>
      <x:c r="G7" s="49" t="str">
        <x:v>direct_hardware</x:v>
      </x:c>
      <x:c r="H7" s="49" t="str">
        <x:v>FW_GSU_SWITCHGEAR</x:v>
      </x:c>
      <x:c r="I7" s="49" t="str">
        <x:v>flood_inundation_contact</x:v>
      </x:c>
      <x:c r="J7" s="49" t="str">
        <x:v>direct_vulnerable_value</x:v>
      </x:c>
      <x:c r="K7" s="61" t="b">
        <x:v>0</x:v>
      </x:c>
      <x:c r="L7" s="49" t="str">
        <x:v>Site component value and ownership required.</x:v>
      </x:c>
      <x:c r="M7" s="49" t="str">
        <x:v>Do not apply DR to full 72 USD/kW rollup or project TIV.</x:v>
      </x:c>
      <x:c r="N7" s="49" t="str">
        <x:v>withheld_value_and_ownership</x:v>
      </x:c>
      <x:c r="O7" s="49" t="str">
        <x:v>No public split.</x:v>
      </x:c>
    </x:row>
    <x:row r="8" ht="42" customHeight="1">
      <x:c r="A8" s="49" t="str">
        <x:v>NREL_CWER_2024</x:v>
      </x:c>
      <x:c r="B8" s="49" t="str">
        <x:v>Wind_Map!12</x:v>
      </x:c>
      <x:c r="C8" s="49" t="str">
        <x:v>FW_VALUE_GSU_TRANSFORMER_MAIN</x:v>
      </x:c>
      <x:c r="D8" s="49" t="str">
        <x:v>Plant GSU main transformer</x:v>
      </x:c>
      <x:c r="E8" s="65"/>
      <x:c r="F8" s="49" t="str">
        <x:v>site_USD_required</x:v>
      </x:c>
      <x:c r="G8" s="49" t="str">
        <x:v>direct_hardware</x:v>
      </x:c>
      <x:c r="H8" s="49" t="str">
        <x:v>FW_GSU_TRANSFORMER_MAIN</x:v>
      </x:c>
      <x:c r="I8" s="49" t="str">
        <x:v>flood_inundation_contact</x:v>
      </x:c>
      <x:c r="J8" s="49" t="str">
        <x:v>direct_vulnerable_value</x:v>
      </x:c>
      <x:c r="K8" s="61" t="b">
        <x:v>0</x:v>
      </x:c>
      <x:c r="L8" s="49" t="str">
        <x:v>Site component value and ownership required.</x:v>
      </x:c>
      <x:c r="M8" s="49" t="str">
        <x:v>Do not use control exposure against full transformer value without dependency-safe state.</x:v>
      </x:c>
      <x:c r="N8" s="49" t="str">
        <x:v>withheld_value_and_ownership</x:v>
      </x:c>
      <x:c r="O8" s="49" t="str">
        <x:v>No public split.</x:v>
      </x:c>
    </x:row>
    <x:row r="9" ht="42" customHeight="1">
      <x:c r="A9" s="49" t="str">
        <x:v>NREL_CWER_2024</x:v>
      </x:c>
      <x:c r="B9" s="49" t="str">
        <x:v>Wind_Map!12</x:v>
      </x:c>
      <x:c r="C9" s="49" t="str">
        <x:v>FW_VALUE_GSU_TRANSFORMER_AUX</x:v>
      </x:c>
      <x:c r="D9" s="49" t="str">
        <x:v>GSU auxiliaries and controls</x:v>
      </x:c>
      <x:c r="E9" s="65"/>
      <x:c r="F9" s="49" t="str">
        <x:v>site_USD_required</x:v>
      </x:c>
      <x:c r="G9" s="49" t="str">
        <x:v>direct_hardware</x:v>
      </x:c>
      <x:c r="H9" s="49" t="str">
        <x:v>FW_GSU_TRANSFORMER_AUX_CONTROLS</x:v>
      </x:c>
      <x:c r="I9" s="49" t="str">
        <x:v>flood_inundation_contact</x:v>
      </x:c>
      <x:c r="J9" s="49" t="str">
        <x:v>direct_vulnerable_value</x:v>
      </x:c>
      <x:c r="K9" s="61" t="b">
        <x:v>0</x:v>
      </x:c>
      <x:c r="L9" s="49" t="str">
        <x:v>Separate SOV/BOM or dependency-safe assembly.</x:v>
      </x:c>
      <x:c r="M9" s="49" t="str">
        <x:v>Do not duplicate value inside main transformer and auxiliaries.</x:v>
      </x:c>
      <x:c r="N9" s="49" t="str">
        <x:v>withheld_value_and_ownership</x:v>
      </x:c>
      <x:c r="O9" s="49" t="str">
        <x:v>No public split.</x:v>
      </x:c>
    </x:row>
    <x:row r="10" ht="42" customHeight="1">
      <x:c r="A10" s="49" t="str">
        <x:v>NREL_CWER_2024</x:v>
      </x:c>
      <x:c r="B10" s="49" t="str">
        <x:v>Wind_Map!12</x:v>
      </x:c>
      <x:c r="C10" s="49" t="str">
        <x:v>FW_VALUE_GSU_PROTECTION</x:v>
      </x:c>
      <x:c r="D10" s="49" t="str">
        <x:v>Protection SCADA and control</x:v>
      </x:c>
      <x:c r="E10" s="65"/>
      <x:c r="F10" s="49" t="str">
        <x:v>site_USD_required</x:v>
      </x:c>
      <x:c r="G10" s="49" t="str">
        <x:v>direct_hardware</x:v>
      </x:c>
      <x:c r="H10" s="49" t="str">
        <x:v>FW_GSU_PROTECTION_SCADA</x:v>
      </x:c>
      <x:c r="I10" s="49" t="str">
        <x:v>flood_inundation_contact</x:v>
      </x:c>
      <x:c r="J10" s="49" t="str">
        <x:v>direct_vulnerable_value</x:v>
      </x:c>
      <x:c r="K10" s="61" t="b">
        <x:v>0</x:v>
      </x:c>
      <x:c r="L10" s="49" t="str">
        <x:v>Separate physical equipment value from outage consequence.</x:v>
      </x:c>
      <x:c r="M10" s="49" t="str">
        <x:v>Do not convert MW outage to value or add plant BI.</x:v>
      </x:c>
      <x:c r="N10" s="49" t="str">
        <x:v>withheld_value_and_ownership</x:v>
      </x:c>
      <x:c r="O10" s="49" t="str">
        <x:v>No public split.</x:v>
      </x:c>
    </x:row>
    <x:row r="11" ht="42" customHeight="1">
      <x:c r="A11" s="49" t="str">
        <x:v>NREL_CWER_2024</x:v>
      </x:c>
      <x:c r="B11" s="49" t="str">
        <x:v>Wind_Map!12</x:v>
      </x:c>
      <x:c r="C11" s="49" t="str">
        <x:v>FW_VALUE_GSU_STATION_DC</x:v>
      </x:c>
      <x:c r="D11" s="49" t="str">
        <x:v>Station service and DC power</x:v>
      </x:c>
      <x:c r="E11" s="65"/>
      <x:c r="F11" s="49" t="str">
        <x:v>site_USD_required</x:v>
      </x:c>
      <x:c r="G11" s="49" t="str">
        <x:v>direct_hardware</x:v>
      </x:c>
      <x:c r="H11" s="49" t="str">
        <x:v>FW_GSU_STATION_SERVICE_DC</x:v>
      </x:c>
      <x:c r="I11" s="49" t="str">
        <x:v>flood_inundation_contact</x:v>
      </x:c>
      <x:c r="J11" s="49" t="str">
        <x:v>direct_vulnerable_value</x:v>
      </x:c>
      <x:c r="K11" s="61" t="b">
        <x:v>0</x:v>
      </x:c>
      <x:c r="L11" s="49" t="str">
        <x:v>Site equipment schedule required.</x:v>
      </x:c>
      <x:c r="M11" s="49" t="str">
        <x:v>Do not include twice through protection/control value.</x:v>
      </x:c>
      <x:c r="N11" s="49" t="str">
        <x:v>withheld_value_and_ownership</x:v>
      </x:c>
      <x:c r="O11" s="49" t="str">
        <x:v>No public split.</x:v>
      </x:c>
    </x:row>
    <x:row r="12" ht="42" customHeight="1">
      <x:c r="A12" s="49" t="str">
        <x:v>NREL_CWER_2024</x:v>
      </x:c>
      <x:c r="B12" s="49" t="str">
        <x:v>Wind_Map!12</x:v>
      </x:c>
      <x:c r="C12" s="49" t="str">
        <x:v>FW_VALUE_GSU_TERMINATIONS</x:v>
      </x:c>
      <x:c r="D12" s="49" t="str">
        <x:v>GSU cable terminations and pathways</x:v>
      </x:c>
      <x:c r="E12" s="65"/>
      <x:c r="F12" s="49" t="str">
        <x:v>site_USD_required</x:v>
      </x:c>
      <x:c r="G12" s="49" t="str">
        <x:v>direct_hardware</x:v>
      </x:c>
      <x:c r="H12" s="49" t="str">
        <x:v>FW_GSU_CABLE_TERMINATIONS</x:v>
      </x:c>
      <x:c r="I12" s="49" t="str">
        <x:v>flood_inundation_contact</x:v>
      </x:c>
      <x:c r="J12" s="49" t="str">
        <x:v>direct_vulnerable_value</x:v>
      </x:c>
      <x:c r="K12" s="61" t="b">
        <x:v>0</x:v>
      </x:c>
      <x:c r="L12" s="49" t="str">
        <x:v>Separate cable body joints terminations pull boxes and conduits.</x:v>
      </x:c>
      <x:c r="M12" s="49" t="str">
        <x:v>Do not apply a full cable-rollup DR to pathway damage.</x:v>
      </x:c>
      <x:c r="N12" s="49" t="str">
        <x:v>withheld_value_and_ownership</x:v>
      </x:c>
      <x:c r="O12" s="49" t="str">
        <x:v>No public split.</x:v>
      </x:c>
    </x:row>
    <x:row r="13" ht="42" customHeight="1">
      <x:c r="A13" s="49" t="str">
        <x:v>NREL_CWER_2024</x:v>
      </x:c>
      <x:c r="B13" s="49" t="str">
        <x:v>Wind_Map!12</x:v>
      </x:c>
      <x:c r="C13" s="49" t="str">
        <x:v>FW_VALUE_TURBINE_BASE</x:v>
      </x:c>
      <x:c r="D13" s="49" t="str">
        <x:v>Turbine-base power electronics and switchgear</x:v>
      </x:c>
      <x:c r="E13" s="65"/>
      <x:c r="F13" s="49" t="str">
        <x:v>site_USD_required</x:v>
      </x:c>
      <x:c r="G13" s="49" t="str">
        <x:v>direct_hardware</x:v>
      </x:c>
      <x:c r="H13" s="49" t="str">
        <x:v>FW_TURBINE_BASE_ELECTRICAL</x:v>
      </x:c>
      <x:c r="I13" s="49" t="str">
        <x:v>flood_inundation_contact</x:v>
      </x:c>
      <x:c r="J13" s="49" t="str">
        <x:v>direct_vulnerable_value</x:v>
      </x:c>
      <x:c r="K13" s="61" t="b">
        <x:v>0</x:v>
      </x:c>
      <x:c r="L13" s="49" t="str">
        <x:v>Split per turbine/cluster and use local equipment value.</x:v>
      </x:c>
      <x:c r="M13" s="49" t="str">
        <x:v>Do not use solar inverter value or full electrical rollup.</x:v>
      </x:c>
      <x:c r="N13" s="49" t="str">
        <x:v>withheld_split_required</x:v>
      </x:c>
      <x:c r="O13" s="49" t="str">
        <x:v>Wind-specific inventory.</x:v>
      </x:c>
    </x:row>
    <x:row r="14" ht="42" customHeight="1">
      <x:c r="A14" s="49" t="str">
        <x:v>NREL_CWER_2024</x:v>
      </x:c>
      <x:c r="B14" s="49" t="str">
        <x:v>Wind_Map!12</x:v>
      </x:c>
      <x:c r="C14" s="49" t="str">
        <x:v>FW_VALUE_PAD_TRANSFORMER</x:v>
      </x:c>
      <x:c r="D14" s="49" t="str">
        <x:v>Pad or turbine step-up transformer</x:v>
      </x:c>
      <x:c r="E14" s="65"/>
      <x:c r="F14" s="49" t="str">
        <x:v>site_USD_required</x:v>
      </x:c>
      <x:c r="G14" s="49" t="str">
        <x:v>direct_hardware</x:v>
      </x:c>
      <x:c r="H14" s="49" t="str">
        <x:v>FW_PADMOUNT_STEPUP_TRANSFORMER</x:v>
      </x:c>
      <x:c r="I14" s="49" t="str">
        <x:v>flood_inundation_contact</x:v>
      </x:c>
      <x:c r="J14" s="49" t="str">
        <x:v>direct_vulnerable_value</x:v>
      </x:c>
      <x:c r="K14" s="61" t="b">
        <x:v>0</x:v>
      </x:c>
      <x:c r="L14" s="49" t="str">
        <x:v>Split by installed units and ownership.</x:v>
      </x:c>
      <x:c r="M14" s="49" t="str">
        <x:v>Do not include inside turbine equipment and external electrical twice.</x:v>
      </x:c>
      <x:c r="N14" s="49" t="str">
        <x:v>withheld_split_required</x:v>
      </x:c>
      <x:c r="O14" s="49" t="str">
        <x:v>Wind-specific inventory.</x:v>
      </x:c>
    </x:row>
    <x:row r="15" ht="42" customHeight="1">
      <x:c r="A15" s="49" t="str">
        <x:v>NREL_CWER_2024</x:v>
      </x:c>
      <x:c r="B15" s="49" t="str">
        <x:v>Wind_Map!12</x:v>
      </x:c>
      <x:c r="C15" s="49" t="str">
        <x:v>FW_VALUE_COLLECTION_TERMINATIONS</x:v>
      </x:c>
      <x:c r="D15" s="49" t="str">
        <x:v>Wind MV collection cable terminations</x:v>
      </x:c>
      <x:c r="E15" s="65"/>
      <x:c r="F15" s="49" t="str">
        <x:v>site_USD_required</x:v>
      </x:c>
      <x:c r="G15" s="49" t="str">
        <x:v>direct_hardware</x:v>
      </x:c>
      <x:c r="H15" s="49" t="str">
        <x:v>FW_COLLECTION_CABLE_TERMINATIONS</x:v>
      </x:c>
      <x:c r="I15" s="49" t="str">
        <x:v>flood_inundation_contact</x:v>
      </x:c>
      <x:c r="J15" s="49" t="str">
        <x:v>direct_vulnerable_value</x:v>
      </x:c>
      <x:c r="K15" s="61" t="b">
        <x:v>0</x:v>
      </x:c>
      <x:c r="L15" s="49" t="str">
        <x:v>Segment/termination schedule and line-network exposure required.</x:v>
      </x:c>
      <x:c r="M15" s="49" t="str">
        <x:v>Do not allocate by turbine count alone.</x:v>
      </x:c>
      <x:c r="N15" s="49" t="str">
        <x:v>withheld_split_required</x:v>
      </x:c>
      <x:c r="O15" s="49" t="str">
        <x:v>Wind-specific inventory.</x:v>
      </x:c>
    </x:row>
    <x:row r="16" ht="42" customHeight="1">
      <x:c r="A16" s="49" t="str">
        <x:v>NREL_CWER_2024</x:v>
      </x:c>
      <x:c r="B16" s="49" t="str">
        <x:v>Wind_Map!10</x:v>
      </x:c>
      <x:c r="C16" s="49" t="str">
        <x:v>WIND_VALUE_010_FOUNDATION</x:v>
      </x:c>
      <x:c r="D16" s="49" t="str">
        <x:v>Foundation</x:v>
      </x:c>
      <x:c r="E16" s="65" t="n">
        <x:v>120</x:v>
      </x:c>
      <x:c r="F16" s="49" t="str">
        <x:v>2023_USD_per_kW</x:v>
      </x:c>
      <x:c r="G16" s="49" t="str">
        <x:v>direct_hardware</x:v>
      </x:c>
      <x:c r="H16" s="49" t="str">
        <x:v>FW_TURBINE_FOUNDATION</x:v>
      </x:c>
      <x:c r="I16" s="49" t="str">
        <x:v>flood_scour_erosion</x:v>
      </x:c>
      <x:c r="J16" s="49" t="str">
        <x:v>withheld_separate_pathway</x:v>
      </x:c>
      <x:c r="K16" s="61" t="b">
        <x:v>0</x:v>
      </x:c>
      <x:c r="L16" s="49" t="str">
        <x:v>Site foundation type/value and hydraulic/geotech response required.</x:v>
      </x:c>
      <x:c r="M16" s="49" t="str">
        <x:v>Do not use legacy depth logistic or treat missing response as zero.</x:v>
      </x:c>
      <x:c r="N16" s="49" t="str">
        <x:v>withheld</x:v>
      </x:c>
      <x:c r="O16" s="49" t="str">
        <x:v>Reference value only.</x:v>
      </x:c>
    </x:row>
    <x:row r="17" ht="42" customHeight="1">
      <x:c r="A17" s="49" t="str">
        <x:v>NREL_CWER_2024</x:v>
      </x:c>
      <x:c r="B17" s="49" t="str">
        <x:v>Wind_Map!11</x:v>
      </x:c>
      <x:c r="C17" s="49" t="str">
        <x:v>WIND_VALUE_011_CIVIL</x:v>
      </x:c>
      <x:c r="D17" s="49" t="str">
        <x:v>Site access staging and facilities</x:v>
      </x:c>
      <x:c r="E17" s="65" t="n">
        <x:v>47</x:v>
      </x:c>
      <x:c r="F17" s="49" t="str">
        <x:v>2023_USD_per_kW</x:v>
      </x:c>
      <x:c r="G17" s="49" t="str">
        <x:v>mixed_civil</x:v>
      </x:c>
      <x:c r="H17" s="49" t="str">
        <x:v>FW_CIVIL_ACCESS_DRAINAGE</x:v>
      </x:c>
      <x:c r="I17" s="49" t="str">
        <x:v>flood_scour_erosion</x:v>
      </x:c>
      <x:c r="J17" s="49" t="str">
        <x:v>split_required</x:v>
      </x:c>
      <x:c r="K17" s="61" t="b">
        <x:v>0</x:v>
      </x:c>
      <x:c r="L17" s="49" t="str">
        <x:v>Split roads pads drainage buildings and fences before exposure/value.</x:v>
      </x:c>
      <x:c r="M17" s="49" t="str">
        <x:v>Do not apply one civil depth curve to the mixed row.</x:v>
      </x:c>
      <x:c r="N17" s="49" t="str">
        <x:v>withheld</x:v>
      </x:c>
      <x:c r="O17" s="49" t="str">
        <x:v>Reference value only.</x:v>
      </x:c>
    </x:row>
    <x:row r="18" ht="42" customHeight="1">
      <x:c r="A18" s="49" t="str">
        <x:v>NREL_CWER_2024</x:v>
      </x:c>
      <x:c r="B18" s="49" t="str">
        <x:v>Wind_Map!2:9</x:v>
      </x:c>
      <x:c r="C18" s="49" t="str">
        <x:v>WT_ELEVATED_EQUIPMENT_TOTAL</x:v>
      </x:c>
      <x:c r="D18" s="49" t="str">
        <x:v>Elevated turbine equipment</x:v>
      </x:c>
      <x:c r="E18" s="65" t="n">
        <x:v>1090</x:v>
      </x:c>
      <x:c r="F18" s="49" t="str">
        <x:v>2023_USD_per_kW</x:v>
      </x:c>
      <x:c r="G18" s="49" t="str">
        <x:v>direct_hardware</x:v>
      </x:c>
      <x:c r="H18" s="49" t="str">
        <x:v>FW_ELEVATED_TURBINE_EQUIPMENT</x:v>
      </x:c>
      <x:c r="I18" s="49" t="str">
        <x:v>flood_inundation_contact</x:v>
      </x:c>
      <x:c r="J18" s="49" t="str">
        <x:v>reconciliation_geometry_screen</x:v>
      </x:c>
      <x:c r="K18" s="61" t="b">
        <x:v>0</x:v>
      </x:c>
      <x:c r="L18" s="49" t="str">
        <x:v>Include only if water reaches a documented vulnerable path/component; otherwise geometry-screened.</x:v>
      </x:c>
      <x:c r="M18" s="49" t="str">
        <x:v>Do not declare universal immunity or use the share as a DR cap.</x:v>
      </x:c>
      <x:c r="N18" s="49" t="str">
        <x:v>withheld_geometry_dependent</x:v>
      </x:c>
      <x:c r="O18" s="49" t="str">
        <x:v>Rotor nacelle tower/equipment reference rollup.</x:v>
      </x:c>
    </x:row>
    <x:row r="19" ht="42" customHeight="1">
      <x:c r="A19" s="49" t="str">
        <x:v>NREL_CWER_2024</x:v>
      </x:c>
      <x:c r="B19" s="49" t="str">
        <x:v>Wind_Map!13</x:v>
      </x:c>
      <x:c r="C19" s="49" t="str">
        <x:v>WIND_VALUE_013_FIELDWORK</x:v>
      </x:c>
      <x:c r="D19" s="49" t="str">
        <x:v>Assembly and installation</x:v>
      </x:c>
      <x:c r="E19" s="65" t="n">
        <x:v>100</x:v>
      </x:c>
      <x:c r="F19" s="49" t="str">
        <x:v>2023_USD_per_kW</x:v>
      </x:c>
      <x:c r="G19" s="49" t="str">
        <x:v>support_logistics</x:v>
      </x:c>
      <x:c r="H19" s="49" t="str">
        <x:v>SUPPORT_FIELDWORK</x:v>
      </x:c>
      <x:c r="I19" s="49" t="str">
        <x:v>all_shared</x:v>
      </x:c>
      <x:c r="J19" s="49" t="str">
        <x:v>support_once</x:v>
      </x:c>
      <x:c r="K19" s="61" t="b">
        <x:v>0</x:v>
      </x:c>
      <x:c r="L19" s="49" t="str">
        <x:v>Allocate once after qualified repair scope.</x:v>
      </x:c>
      <x:c r="M19" s="49" t="str">
        <x:v>No independent fragility or automatic proportional add-on.</x:v>
      </x:c>
      <x:c r="N19" s="49" t="str">
        <x:v>mapped_support_rule_open</x:v>
      </x:c>
      <x:c r="O19" s="49" t="str">
        <x:v>Reference only.</x:v>
      </x:c>
    </x:row>
    <x:row r="20" ht="42" customHeight="1">
      <x:c r="A20" s="49" t="str">
        <x:v>NREL_CWER_2024</x:v>
      </x:c>
      <x:c r="B20" s="49" t="str">
        <x:v>Wind_Map!14</x:v>
      </x:c>
      <x:c r="C20" s="49" t="str">
        <x:v>WIND_VALUE_014_TRANSPORT</x:v>
      </x:c>
      <x:c r="D20" s="49" t="str">
        <x:v>Wind turbine transport</x:v>
      </x:c>
      <x:c r="E20" s="65" t="n">
        <x:v>194</x:v>
      </x:c>
      <x:c r="F20" s="49" t="str">
        <x:v>2023_USD_per_kW</x:v>
      </x:c>
      <x:c r="G20" s="49" t="str">
        <x:v>support_logistics</x:v>
      </x:c>
      <x:c r="H20" s="49" t="str">
        <x:v>SUPPORT_TRANSPORT_LOGISTICS</x:v>
      </x:c>
      <x:c r="I20" s="49" t="str">
        <x:v>all_shared</x:v>
      </x:c>
      <x:c r="J20" s="49" t="str">
        <x:v>support_once</x:v>
      </x:c>
      <x:c r="K20" s="61" t="b">
        <x:v>0</x:v>
      </x:c>
      <x:c r="L20" s="49" t="str">
        <x:v>Allocate once when replacement and logistics require it.</x:v>
      </x:c>
      <x:c r="M20" s="49" t="str">
        <x:v>Do not include in intrinsic DR denominator and add again.</x:v>
      </x:c>
      <x:c r="N20" s="49" t="str">
        <x:v>mapped_support_rule_open</x:v>
      </x:c>
      <x:c r="O20" s="49" t="str">
        <x:v>Reference only.</x:v>
      </x:c>
    </x:row>
    <x:row r="21" ht="42" customHeight="1">
      <x:c r="A21" s="49" t="str">
        <x:v>SUMMARY</x:v>
      </x:c>
      <x:c r="B21" s="49" t="str">
        <x:v>Wind_Map!2:14</x:v>
      </x:c>
      <x:c r="C21" s="49" t="str">
        <x:v>PHYSICAL_REFERENCE_TOTAL</x:v>
      </x:c>
      <x:c r="D21" s="49" t="str">
        <x:v>Physical reference basis</x:v>
      </x:c>
      <x:c r="E21" s="65" t="n">
        <x:v>1623</x:v>
      </x:c>
      <x:c r="F21" s="49" t="str">
        <x:v>2023_USD_per_kW</x:v>
      </x:c>
      <x:c r="G21" s="49" t="str">
        <x:v>reconciliation</x:v>
      </x:c>
      <x:c r="H21" s="49" t="str">
        <x:v>REFERENCE_DENOMINATOR_ONLY</x:v>
      </x:c>
      <x:c r="I21" s="49" t="str">
        <x:v>all_shared</x:v>
      </x:c>
      <x:c r="J21" s="49" t="str">
        <x:v>reference</x:v>
      </x:c>
      <x:c r="K21" s="61" t="b">
        <x:v>0</x:v>
      </x:c>
      <x:c r="L21" s="49" t="str">
        <x:v>1090 equipment + 120 foundation + 47 civil + 72 electrical + 294 support.</x:v>
      </x:c>
      <x:c r="M21" s="49" t="str">
        <x:v>No pooled physical-base DR.</x:v>
      </x:c>
      <x:c r="N21" s="49" t="str">
        <x:v>reconciled</x:v>
      </x:c>
      <x:c r="O21" s="49" t="str">
        <x:v>Reference reporting denominator only.</x:v>
      </x:c>
    </x:row>
    <x:row r="22" ht="42" customHeight="1">
      <x:c r="A22" s="49" t="str">
        <x:v>SUMMARY</x:v>
      </x:c>
      <x:c r="B22" s="49" t="str">
        <x:v>Wind_Map!15:19</x:v>
      </x:c>
      <x:c r="C22" s="49" t="str">
        <x:v>EXCLUDED_TOTAL</x:v>
      </x:c>
      <x:c r="D22" s="49" t="str">
        <x:v>Excluded soft sunk nonphysical</x:v>
      </x:c>
      <x:c r="E22" s="65" t="n">
        <x:v>345</x:v>
      </x:c>
      <x:c r="F22" s="49" t="str">
        <x:v>2023_USD_per_kW</x:v>
      </x:c>
      <x:c r="G22" s="49" t="str">
        <x:v>reconciliation</x:v>
      </x:c>
      <x:c r="H22" s="49" t="str">
        <x:v>OUTSIDE_PHYSICAL_CELL</x:v>
      </x:c>
      <x:c r="I22" s="49" t="str">
        <x:v>all_shared</x:v>
      </x:c>
      <x:c r="J22" s="49" t="str">
        <x:v>excluded</x:v>
      </x:c>
      <x:c r="K22" s="61" t="b">
        <x:v>0</x:v>
      </x:c>
      <x:c r="L22" s="49" t="str">
        <x:v>Exclude from direct physical destruction by default.</x:v>
      </x:c>
      <x:c r="M22" s="49" t="str">
        <x:v>Do not reintroduce through damage or support scaling.</x:v>
      </x:c>
      <x:c r="N22" s="49" t="str">
        <x:v>reconciled</x:v>
      </x:c>
      <x:c r="O22" s="49" t="str">
        <x:v>Installed minus physical.</x:v>
      </x:c>
    </x:row>
    <x:row r="23" ht="42" customHeight="1">
      <x:c r="A23" s="49" t="str">
        <x:v>SUMMARY</x:v>
      </x:c>
      <x:c r="B23" s="49" t="str">
        <x:v>Wind_Map!2:19</x:v>
      </x:c>
      <x:c r="C23" s="49" t="str">
        <x:v>INSTALLED_REFERENCE_TOTAL</x:v>
      </x:c>
      <x:c r="D23" s="49" t="str">
        <x:v>Installed reference basis</x:v>
      </x:c>
      <x:c r="E23" s="65" t="n">
        <x:v>1968</x:v>
      </x:c>
      <x:c r="F23" s="49" t="str">
        <x:v>2023_USD_per_kW</x:v>
      </x:c>
      <x:c r="G23" s="49" t="str">
        <x:v>reconciliation</x:v>
      </x:c>
      <x:c r="H23" s="49" t="str">
        <x:v>REFERENCE_REPORTING_DENOMINATOR</x:v>
      </x:c>
      <x:c r="I23" s="49" t="str">
        <x:v>all_shared</x:v>
      </x:c>
      <x:c r="J23" s="49" t="str">
        <x:v>reference</x:v>
      </x:c>
      <x:c r="K23" s="61" t="b">
        <x:v>0</x:v>
      </x:c>
      <x:c r="L23" s="49" t="str">
        <x:v>Reference reporting denominator only.</x:v>
      </x:c>
      <x:c r="M23" s="49" t="str">
        <x:v>No implicit full-TIV curve or scenario loss.</x:v>
      </x:c>
      <x:c r="N23" s="49" t="str">
        <x:v>reconciled</x:v>
      </x:c>
      <x:c r="O23" s="49" t="str">
        <x:v>Physical 1623 plus excluded 345.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3" hidden="0" customWidth="1"/>
    <x:col min="4" max="4" width="17" hidden="0" customWidth="1"/>
    <x:col min="5" max="5" width="13" hidden="0" customWidth="1"/>
    <x:col min="6" max="6" width="17" hidden="0" customWidth="1"/>
    <x:col min="7" max="7" width="13" hidden="0" customWidth="1"/>
    <x:col min="8" max="8" width="17" hidden="0" customWidth="1"/>
    <x:col min="9" max="9" width="13" hidden="0" customWidth="1"/>
    <x:col min="10" max="10" width="3" hidden="0" customWidth="1"/>
    <x:col min="11" max="11" width="18" hidden="0" customWidth="1"/>
    <x:col min="12" max="12" width="30" hidden="0" customWidth="1"/>
    <x:col min="13" max="13" width="20" hidden="0" customWidth="1"/>
  </x:cols>
  <x:sheetData>
    <x:row r="1" ht="30" customHeight="1">
      <x:c r="A1" s="3" t="str">
        <x:v>Pinned neighboring-cell numerical candidates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Exact flood-solar ordinates are shown for reproducibility; runtime_approved is false for every candidate.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>
      <x:c r="A5" s="66" t="str">
        <x:v>depth_m</x:v>
      </x:c>
      <x:c r="B5" s="66" t="str">
        <x:v>FS_SWG_DR</x:v>
      </x:c>
      <x:c r="C5" s="66" t="str">
        <x:v>Δ SWG</x:v>
      </x:c>
      <x:c r="D5" s="66" t="str">
        <x:v>FS_XFMR_DR</x:v>
      </x:c>
      <x:c r="E5" s="66" t="str">
        <x:v>Δ XFMR</x:v>
      </x:c>
      <x:c r="F5" s="66" t="str">
        <x:v>FS_SCADA_DR</x:v>
      </x:c>
      <x:c r="G5" s="66" t="str">
        <x:v>Δ SCADA</x:v>
      </x:c>
      <x:c r="H5" s="66" t="str">
        <x:v>FS_CABLE_DR</x:v>
      </x:c>
      <x:c r="I5" s="66" t="str">
        <x:v>Δ CABLE</x:v>
      </x:c>
      <x:c r="K5" s="66" t="str">
        <x:v>candidate</x:v>
      </x:c>
      <x:c r="L5" s="66" t="str">
        <x:v>decision</x:v>
      </x:c>
      <x:c r="M5" s="66" t="str">
        <x:v>runtime_approved</x:v>
      </x:c>
    </x:row>
    <x:row r="6">
      <x:c r="A6" s="74" t="n">
        <x:v>0</x:v>
      </x:c>
      <x:c r="B6" s="75" t="n">
        <x:v>0</x:v>
      </x:c>
      <x:c r="C6" s="75" t="n">
        <x:v>0</x:v>
      </x:c>
      <x:c r="D6" s="75"/>
      <x:c r="E6" s="75" t="n">
        <x:v>0</x:v>
      </x:c>
      <x:c r="F6" s="75" t="n">
        <x:v>0</x:v>
      </x:c>
      <x:c r="G6" s="75" t="n">
        <x:v>0</x:v>
      </x:c>
      <x:c r="H6" s="75"/>
      <x:c r="I6" s="76" t="n">
        <x:v>0</x:v>
      </x:c>
      <x:c r="K6" s="67" t="str">
        <x:v>FS_SWG</x:v>
      </x:c>
      <x:c r="L6" s="68" t="str">
        <x:v>pinned_candidate_only</x:v>
      </x:c>
      <x:c r="M6" s="72" t="b">
        <x:v>0</x:v>
      </x:c>
    </x:row>
    <x:row r="7">
      <x:c r="A7" s="77" t="n">
        <x:v>0.02</x:v>
      </x:c>
      <x:c r="B7" s="78" t="n">
        <x:v>0.1</x:v>
      </x:c>
      <x:c r="C7" s="78" t="n">
        <x:f>B7-B6</x:f>
        <x:v>0.1</x:v>
      </x:c>
      <x:c r="D7" s="78" t="n">
        <x:v>0.03</x:v>
      </x:c>
      <x:c r="E7" s="78" t="n">
        <x:f>D7-D6</x:f>
        <x:v>0.03</x:v>
      </x:c>
      <x:c r="F7" s="78" t="n">
        <x:v>0.15</x:v>
      </x:c>
      <x:c r="G7" s="78" t="n">
        <x:f>F7-F6</x:f>
        <x:v>0.15</x:v>
      </x:c>
      <x:c r="H7" s="78" t="n">
        <x:v>0.02</x:v>
      </x:c>
      <x:c r="I7" s="79" t="n">
        <x:f>H7-H6</x:f>
        <x:v>0.02</x:v>
      </x:c>
      <x:c r="K7" s="13" t="str">
        <x:v>FS_XFMR</x:v>
      </x:c>
      <x:c r="L7" s="70" t="str">
        <x:v>reject_direct_reuse</x:v>
      </x:c>
      <x:c r="M7" s="15" t="b">
        <x:v>0</x:v>
      </x:c>
    </x:row>
    <x:row r="8">
      <x:c r="A8" s="77" t="n">
        <x:v>0.05</x:v>
      </x:c>
      <x:c r="B8" s="78" t="n">
        <x:v>0.4</x:v>
      </x:c>
      <x:c r="C8" s="78" t="n">
        <x:f>B8-B7</x:f>
        <x:v>0.30000000000000004</x:v>
      </x:c>
      <x:c r="D8" s="78" t="n">
        <x:v>0.1</x:v>
      </x:c>
      <x:c r="E8" s="78" t="n">
        <x:f>D8-D7</x:f>
        <x:v>0.07</x:v>
      </x:c>
      <x:c r="F8" s="78" t="n">
        <x:v>0.45</x:v>
      </x:c>
      <x:c r="G8" s="78" t="n">
        <x:f>F8-F7</x:f>
        <x:v>0.30000000000000004</x:v>
      </x:c>
      <x:c r="H8" s="78" t="n">
        <x:v>0.05</x:v>
      </x:c>
      <x:c r="I8" s="79" t="n">
        <x:f>H8-H7</x:f>
        <x:v>0.030000000000000002</x:v>
      </x:c>
      <x:c r="K8" s="13" t="str">
        <x:v>FS_SCADA</x:v>
      </x:c>
      <x:c r="L8" s="70" t="str">
        <x:v>partial_semantic_match</x:v>
      </x:c>
      <x:c r="M8" s="15" t="b">
        <x:v>0</x:v>
      </x:c>
    </x:row>
    <x:row r="9">
      <x:c r="A9" s="77" t="n">
        <x:v>0.15</x:v>
      </x:c>
      <x:c r="B9" s="78" t="n">
        <x:v>0.85</x:v>
      </x:c>
      <x:c r="C9" s="78" t="n">
        <x:f>B9-B8</x:f>
        <x:v>0.44999999999999996</x:v>
      </x:c>
      <x:c r="D9" s="78" t="n">
        <x:v>0.25</x:v>
      </x:c>
      <x:c r="E9" s="78" t="n">
        <x:f>D9-D8</x:f>
        <x:v>0.15</x:v>
      </x:c>
      <x:c r="F9" s="78" t="n">
        <x:v>0.9</x:v>
      </x:c>
      <x:c r="G9" s="78" t="n">
        <x:f>F9-F8</x:f>
        <x:v>0.45</x:v>
      </x:c>
      <x:c r="H9" s="78" t="n">
        <x:v>0.1</x:v>
      </x:c>
      <x:c r="I9" s="79" t="n">
        <x:f>H9-H8</x:f>
        <x:v>0.05</x:v>
      </x:c>
      <x:c r="K9" s="16" t="str">
        <x:v>FS_CABLE</x:v>
      </x:c>
      <x:c r="L9" s="71" t="str">
        <x:v>mechanism_only</x:v>
      </x:c>
      <x:c r="M9" s="73" t="b">
        <x:v>0</x:v>
      </x:c>
    </x:row>
    <x:row r="10">
      <x:c r="A10" s="77" t="n">
        <x:v>0.3</x:v>
      </x:c>
      <x:c r="B10" s="78" t="n">
        <x:v>1</x:v>
      </x:c>
      <x:c r="C10" s="78" t="n">
        <x:f>B10-B9</x:f>
        <x:v>0.15000000000000002</x:v>
      </x:c>
      <x:c r="D10" s="78" t="n">
        <x:v>0.45</x:v>
      </x:c>
      <x:c r="E10" s="78" t="n">
        <x:f>D10-D9</x:f>
        <x:v>0.2</x:v>
      </x:c>
      <x:c r="F10" s="78" t="n">
        <x:v>1</x:v>
      </x:c>
      <x:c r="G10" s="78" t="n">
        <x:f>F10-F9</x:f>
        <x:v>0.09999999999999998</x:v>
      </x:c>
      <x:c r="H10" s="78" t="n">
        <x:v>0.15</x:v>
      </x:c>
      <x:c r="I10" s="79" t="n">
        <x:f>H10-H9</x:f>
        <x:v>0.04999999999999999</x:v>
      </x:c>
    </x:row>
    <x:row r="11">
      <x:c r="A11" s="77" t="n">
        <x:v>0.6</x:v>
      </x:c>
      <x:c r="B11" s="78" t="n">
        <x:v>1</x:v>
      </x:c>
      <x:c r="C11" s="78" t="n">
        <x:f>B11-B10</x:f>
        <x:v>0</x:v>
      </x:c>
      <x:c r="D11" s="78" t="n">
        <x:v>0.65</x:v>
      </x:c>
      <x:c r="E11" s="78" t="n">
        <x:f>D11-D10</x:f>
        <x:v>0.2</x:v>
      </x:c>
      <x:c r="F11" s="78" t="n">
        <x:v>1</x:v>
      </x:c>
      <x:c r="G11" s="78" t="n">
        <x:f>F11-F10</x:f>
        <x:v>0</x:v>
      </x:c>
      <x:c r="H11" s="78" t="n">
        <x:v>0.25</x:v>
      </x:c>
      <x:c r="I11" s="79" t="n">
        <x:f>H11-H10</x:f>
        <x:v>0.1</x:v>
      </x:c>
    </x:row>
    <x:row r="12">
      <x:c r="A12" s="77" t="n">
        <x:v>1</x:v>
      </x:c>
      <x:c r="B12" s="78" t="n">
        <x:v>1</x:v>
      </x:c>
      <x:c r="C12" s="78" t="n">
        <x:f>B12-B11</x:f>
        <x:v>0</x:v>
      </x:c>
      <x:c r="D12" s="78" t="n">
        <x:v>0.8</x:v>
      </x:c>
      <x:c r="E12" s="78" t="n">
        <x:f>D12-D11</x:f>
        <x:v>0.15000000000000002</x:v>
      </x:c>
      <x:c r="F12" s="78" t="n">
        <x:v>1</x:v>
      </x:c>
      <x:c r="G12" s="78" t="n">
        <x:f>F12-F11</x:f>
        <x:v>0</x:v>
      </x:c>
      <x:c r="H12" s="78" t="n">
        <x:v>0.4</x:v>
      </x:c>
      <x:c r="I12" s="79" t="n">
        <x:f>H12-H11</x:f>
        <x:v>0.15000000000000002</x:v>
      </x:c>
    </x:row>
    <x:row r="13">
      <x:c r="A13" s="77" t="n">
        <x:v>1.5</x:v>
      </x:c>
      <x:c r="B13" s="78" t="n">
        <x:v>1</x:v>
      </x:c>
      <x:c r="C13" s="78" t="n">
        <x:f>B13-B12</x:f>
        <x:v>0</x:v>
      </x:c>
      <x:c r="D13" s="78" t="n">
        <x:v>0.95</x:v>
      </x:c>
      <x:c r="E13" s="78" t="n">
        <x:f>D13-D12</x:f>
        <x:v>0.1499999999999999</x:v>
      </x:c>
      <x:c r="F13" s="78" t="n">
        <x:v>1</x:v>
      </x:c>
      <x:c r="G13" s="78" t="n">
        <x:f>F13-F12</x:f>
        <x:v>0</x:v>
      </x:c>
      <x:c r="H13" s="78" t="n">
        <x:v>0.55</x:v>
      </x:c>
      <x:c r="I13" s="79" t="n">
        <x:f>H13-H12</x:f>
        <x:v>0.15000000000000002</x:v>
      </x:c>
    </x:row>
    <x:row r="14">
      <x:c r="A14" s="80" t="n">
        <x:v>2</x:v>
      </x:c>
      <x:c r="B14" s="81" t="n">
        <x:v>1</x:v>
      </x:c>
      <x:c r="C14" s="81" t="n">
        <x:f>B14-B13</x:f>
        <x:v>0</x:v>
      </x:c>
      <x:c r="D14" s="81" t="n">
        <x:v>1</x:v>
      </x:c>
      <x:c r="E14" s="81" t="n">
        <x:f>D14-D13</x:f>
        <x:v>0.050000000000000044</x:v>
      </x:c>
      <x:c r="F14" s="81" t="n">
        <x:v>1</x:v>
      </x:c>
      <x:c r="G14" s="81" t="n">
        <x:f>F14-F13</x:f>
        <x:v>0</x:v>
      </x:c>
      <x:c r="H14" s="81" t="n">
        <x:v>0.65</x:v>
      </x:c>
      <x:c r="I14" s="82" t="n">
        <x:f>H14-H13</x:f>
        <x:v>0.09999999999999998</x:v>
      </x:c>
    </x:row>
    <x:row r="17">
      <x:c r="A17" s="85" t="str">
        <x:v>Negative increments</x:v>
      </x:c>
      <x:c r="B17" s="84" t="n">
        <x:f>COUNTIF(C7:C14,"&lt;0")+COUNTIF(E7:E14,"&lt;0")+COUNTIF(G7:G14,"&lt;0")+COUNTIF(I7:I14,"&lt;0")</x:f>
        <x:v>0</x:v>
      </x:c>
    </x:row>
    <x:row r="18">
      <x:c r="A18" s="85" t="str">
        <x:v>Runtime-approved candidates</x:v>
      </x:c>
      <x:c r="B18" s="84" t="n">
        <x:f>COUNTIF(M6:M9,TRUE)</x:f>
        <x:v>0</x:v>
      </x:c>
    </x:row>
    <x:row r="19">
      <x:c r="A19" s="85" t="str">
        <x:v>Pinned source SHA-256</x:v>
      </x:c>
      <x:c r="B19" s="84" t="str">
        <x:v>a08e77ef034e1ecea3e7cd05d13c825921b54d610fca9de8651ebda8e857082d</x:v>
      </x:c>
    </x:row>
  </x:sheetData>
  <x:mergeCells>
    <x:mergeCell ref="A1:M1"/>
    <x:mergeCell ref="A2:M2"/>
    <x:mergeCell ref="B19:M19"/>
  </x:mergeCells>
  <x:conditionalFormatting sqref="M6:M9">
    <x:cfRule type="containsText" dxfId="6" priority="1" operator="containsText" text="FALS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4" hidden="0" customWidth="1"/>
    <x:col min="5" max="5" width="17" hidden="0" customWidth="1"/>
    <x:col min="6" max="6" width="17" hidden="0" customWidth="1"/>
    <x:col min="7" max="7" width="19" hidden="0" customWidth="1"/>
    <x:col min="8" max="8" width="24" hidden="0" customWidth="1"/>
    <x:col min="9" max="9" width="30" hidden="0" customWidth="1"/>
  </x:cols>
  <x:sheetData>
    <x:row r="1" ht="30" customHeight="1">
      <x:c r="A1" s="3" t="str">
        <x:v>Hazard legacy flood/wind characterization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Regression fixtures only. The anchored logistic subtracts raw(0) without renormalizing.</x:v>
      </x:c>
      <x:c r="B2" s="7"/>
      <x:c r="C2" s="7"/>
      <x:c r="D2" s="7"/>
      <x:c r="E2" s="7"/>
      <x:c r="F2" s="7"/>
      <x:c r="G2" s="7"/>
      <x:c r="H2" s="7"/>
      <x:c r="I2" s="7"/>
    </x:row>
    <x:row r="5">
      <x:c r="A5" s="66" t="str">
        <x:v>bucket</x:v>
      </x:c>
      <x:c r="B5" s="66" t="str">
        <x:v>L stated</x:v>
      </x:c>
      <x:c r="C5" s="66" t="str">
        <x:v>k</x:v>
      </x:c>
      <x:c r="D5" s="66" t="str">
        <x:v>x0_ft</x:v>
      </x:c>
      <x:c r="E5" s="66" t="str">
        <x:v>project_share</x:v>
      </x:c>
      <x:c r="F5" s="66" t="str">
        <x:v>raw_at_zero</x:v>
      </x:c>
      <x:c r="G5" s="66" t="str">
        <x:v>actual_asymptote</x:v>
      </x:c>
      <x:c r="H5" s="66" t="str">
        <x:v>max_TIV_contribution</x:v>
      </x:c>
      <x:c r="I5" s="66" t="str">
        <x:v>runtime decision</x:v>
      </x:c>
    </x:row>
    <x:row r="6">
      <x:c r="A6" s="67" t="str">
        <x:v>electrical</x:v>
      </x:c>
      <x:c r="B6" s="86" t="n">
        <x:v>0.9</x:v>
      </x:c>
      <x:c r="C6" s="86" t="n">
        <x:v>3</x:v>
      </x:c>
      <x:c r="D6" s="86" t="n">
        <x:v>0.75</x:v>
      </x:c>
      <x:c r="E6" s="86" t="n">
        <x:v>0.09</x:v>
      </x:c>
      <x:c r="F6" s="86" t="n">
        <x:f>B6/(1+EXP(C6*D6))</x:f>
        <x:v>0.08581451840919854</x:v>
      </x:c>
      <x:c r="G6" s="86" t="n">
        <x:f>B6-F6</x:f>
        <x:v>0.8141854815908015</x:v>
      </x:c>
      <x:c r="H6" s="86" t="n">
        <x:f>E6*G6</x:f>
        <x:v>0.07327669334317213</x:v>
      </x:c>
      <x:c r="I6" s="69" t="str">
        <x:v>reject_regression_only</x:v>
      </x:c>
    </x:row>
    <x:row r="7">
      <x:c r="A7" s="13" t="str">
        <x:v>substation</x:v>
      </x:c>
      <x:c r="B7" s="87" t="n">
        <x:v>0.95</x:v>
      </x:c>
      <x:c r="C7" s="87" t="n">
        <x:v>2.5</x:v>
      </x:c>
      <x:c r="D7" s="87" t="n">
        <x:v>1.5</x:v>
      </x:c>
      <x:c r="E7" s="87" t="n">
        <x:v>0.09</x:v>
      </x:c>
      <x:c r="F7" s="87" t="n">
        <x:f>B7/(1+EXP(C7*D7))</x:f>
        <x:v>0.02182850141452433</x:v>
      </x:c>
      <x:c r="G7" s="87" t="n">
        <x:f>B7-F7</x:f>
        <x:v>0.9281714985854757</x:v>
      </x:c>
      <x:c r="H7" s="87" t="n">
        <x:f>E7*G7</x:f>
        <x:v>0.0835354348726928</x:v>
      </x:c>
      <x:c r="I7" s="14" t="str">
        <x:v>reject_regression_only</x:v>
      </x:c>
    </x:row>
    <x:row r="8">
      <x:c r="A8" s="13" t="str">
        <x:v>civil</x:v>
      </x:c>
      <x:c r="B8" s="87" t="n">
        <x:v>0.7</x:v>
      </x:c>
      <x:c r="C8" s="87" t="n">
        <x:v>1.2</x:v>
      </x:c>
      <x:c r="D8" s="87" t="n">
        <x:v>2</x:v>
      </x:c>
      <x:c r="E8" s="87" t="n">
        <x:v>0.07</x:v>
      </x:c>
      <x:c r="F8" s="87" t="n">
        <x:f>B8/(1+EXP(C8*D8))</x:f>
        <x:v>0.058220887545745656</x:v>
      </x:c>
      <x:c r="G8" s="87" t="n">
        <x:f>B8-F8</x:f>
        <x:v>0.6417791124542543</x:v>
      </x:c>
      <x:c r="H8" s="87" t="n">
        <x:f>E8*G8</x:f>
        <x:v>0.04492453787179781</x:v>
      </x:c>
      <x:c r="I8" s="14" t="str">
        <x:v>reject_regression_only</x:v>
      </x:c>
    </x:row>
    <x:row r="9">
      <x:c r="A9" s="16" t="str">
        <x:v>foundation</x:v>
      </x:c>
      <x:c r="B9" s="88" t="n">
        <x:v>0.4</x:v>
      </x:c>
      <x:c r="C9" s="88" t="n">
        <x:v>0.8</x:v>
      </x:c>
      <x:c r="D9" s="88" t="n">
        <x:v>3</x:v>
      </x:c>
      <x:c r="E9" s="88" t="n">
        <x:v>0.12</x:v>
      </x:c>
      <x:c r="F9" s="88" t="n">
        <x:f>B9/(1+EXP(C9*D9))</x:f>
        <x:v>0.03326907859756894</x:v>
      </x:c>
      <x:c r="G9" s="88" t="n">
        <x:f>B9-F9</x:f>
        <x:v>0.3667309214024311</x:v>
      </x:c>
      <x:c r="H9" s="88" t="n">
        <x:f>E9*G9</x:f>
        <x:v>0.044007710568291725</x:v>
      </x:c>
      <x:c r="I9" s="17" t="str">
        <x:v>reject_regression_only</x:v>
      </x:c>
    </x:row>
    <x:row r="10">
      <x:c r="A10" s="91" t="str">
        <x:v>Combined maximum TIV contribution</x:v>
      </x:c>
      <x:c r="B10" s="92"/>
      <x:c r="C10" s="92"/>
      <x:c r="D10" s="92"/>
      <x:c r="E10" s="92"/>
      <x:c r="F10" s="92"/>
      <x:c r="G10" s="92"/>
      <x:c r="H10" s="92" t="n">
        <x:f>SUM(H6:H9)</x:f>
        <x:v>0.24574437665595447</x:v>
      </x:c>
    </x:row>
    <x:row r="11">
      <x:c r="A11" s="91" t="str">
        <x:v>Electrical + substation maximum TIV contribution</x:v>
      </x:c>
      <x:c r="B11" s="92"/>
      <x:c r="C11" s="92"/>
      <x:c r="D11" s="92"/>
      <x:c r="E11" s="92"/>
      <x:c r="F11" s="92"/>
      <x:c r="G11" s="92"/>
      <x:c r="H11" s="92" t="n">
        <x:f>H6+H7</x:f>
        <x:v>0.15681212821586493</x:v>
      </x:c>
    </x:row>
    <x:row r="13">
      <x:c r="A13" s="95" t="str">
        <x:v>Frozen pins: Hazard commit d876ef7190ef6baf7339cb32cb95a77bde89af4d; M3 SHA b45fba70544d348638be4f3ad6af65193a272bbe2b4b25098128fa8b810a159e; M4 SHA 7f91344b4495a2899be6475350728dd8d5f114052270f6221e2c4c7b82f7adfa.</x:v>
      </x:c>
      <x:c r="B13" s="95"/>
      <x:c r="C13" s="95"/>
      <x:c r="D13" s="95"/>
      <x:c r="E13" s="95"/>
      <x:c r="F13" s="95"/>
      <x:c r="G13" s="95"/>
      <x:c r="H13" s="95"/>
      <x:c r="I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</x:row>
  </x:sheetData>
  <x:mergeCells>
    <x:mergeCell ref="A1:I1"/>
    <x:mergeCell ref="A2:I2"/>
    <x:mergeCell ref="A10:G10"/>
    <x:mergeCell ref="A11:G11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2" hidden="0" customWidth="1"/>
    <x:col min="3" max="3" width="34" hidden="0" customWidth="1"/>
    <x:col min="4" max="4" width="34" hidden="0" customWidth="1"/>
    <x:col min="5" max="5" width="22" hidden="0" customWidth="1"/>
  </x:cols>
  <x:sheetData>
    <x:row r="1" ht="30" customHeight="1">
      <x:c r="A1" s="3" t="str">
        <x:v>Site-condition adapter contract</x:v>
      </x:c>
      <x:c r="B1" s="3"/>
      <x:c r="C1" s="3"/>
      <x:c r="D1" s="3"/>
      <x:c r="E1" s="3"/>
    </x:row>
    <x:row r="2" ht="32" customHeight="1">
      <x:c r="A2" s="7" t="str">
        <x:v>Separate identity, exposure, fixed selectors, event conditioners, ownership, and value.</x:v>
      </x:c>
      <x:c r="B2" s="7"/>
      <x:c r="C2" s="7"/>
      <x:c r="D2" s="7"/>
      <x:c r="E2" s="7"/>
    </x:row>
    <x:row r="5" ht="34" customHeight="1">
      <x:c r="A5" s="55" t="str">
        <x:v>Layer</x:v>
      </x:c>
      <x:c r="B5" s="56" t="str">
        <x:v>Required field or group</x:v>
      </x:c>
      <x:c r="C5" s="56" t="str">
        <x:v>Role</x:v>
      </x:c>
      <x:c r="D5" s="56" t="str">
        <x:v>Missing/invalid behavior</x:v>
      </x:c>
      <x:c r="E5" s="57" t="str">
        <x:v>Numeric effect in v0.1</x:v>
      </x:c>
    </x:row>
    <x:row r="6" ht="42" customHeight="1">
      <x:c r="A6" s="49" t="str">
        <x:v>identity</x:v>
      </x:c>
      <x:c r="B6" s="49" t="str">
        <x:v>event_id; event_family_id; pathway_id; source_peril_id</x:v>
      </x:c>
      <x:c r="C6" s="49" t="str">
        <x:v>occurrence and routing</x:v>
      </x:c>
      <x:c r="D6" s="49" t="str">
        <x:v>reject</x:v>
      </x:c>
      <x:c r="E6" s="49" t="str">
        <x:v>none</x:v>
      </x:c>
    </x:row>
    <x:row r="7" ht="42" customHeight="1">
      <x:c r="A7" s="49" t="str">
        <x:v>component identity</x:v>
      </x:c>
      <x:c r="B7" s="49" t="str">
        <x:v>asset_id; component_instance_id; failure_unit_id</x:v>
      </x:c>
      <x:c r="C7" s="49" t="str">
        <x:v>same-unit subject</x:v>
      </x:c>
      <x:c r="D7" s="49" t="str">
        <x:v>reject aggregate/placeholder</x:v>
      </x:c>
      <x:c r="E7" s="49" t="str">
        <x:v>none</x:v>
      </x:c>
    </x:row>
    <x:row r="8" ht="42" customHeight="1">
      <x:c r="A8" s="49" t="str">
        <x:v>exposure</x:v>
      </x:c>
      <x:c r="B8" s="49" t="str">
        <x:v>WSE; component zcrit; shared vertical datum; geometry</x:v>
      </x:c>
      <x:c r="C8" s="49" t="str">
        <x:v>derive local contact depth</x:v>
      </x:c>
      <x:c r="D8" s="49" t="str">
        <x:v>withhold, not dry</x:v>
      </x:c>
      <x:c r="E8" s="49" t="str">
        <x:v>axis only</x:v>
      </x:c>
    </x:row>
    <x:row r="9" ht="42" customHeight="1">
      <x:c r="A9" s="49" t="str">
        <x:v>fixed selectors</x:v>
      </x:c>
      <x:c r="B9" s="49" t="str">
        <x:v>construction; voltage; enclosure; transformer/cable type</x:v>
      </x:c>
      <x:c r="C9" s="49" t="str">
        <x:v>future response compatibility</x:v>
      </x:c>
      <x:c r="D9" s="49" t="str">
        <x:v>preserve unknown</x:v>
      </x:c>
      <x:c r="E9" s="49" t="str">
        <x:v>none</x:v>
      </x:c>
    </x:row>
    <x:row r="10" ht="42" customHeight="1">
      <x:c r="A10" s="49" t="str">
        <x:v>event conditioners</x:v>
      </x:c>
      <x:c r="B10" s="49" t="str">
        <x:v>duration; water quality; energized/isolation; water path</x:v>
      </x:c>
      <x:c r="C10" s="49" t="str">
        <x:v>future state selection/modification</x:v>
      </x:c>
      <x:c r="D10" s="49" t="str">
        <x:v>no favorable default</x:v>
      </x:c>
      <x:c r="E10" s="49" t="str">
        <x:v>none</x:v>
      </x:c>
    </x:row>
    <x:row r="11" ht="42" customHeight="1">
      <x:c r="A11" s="49" t="str">
        <x:v>ownership</x:v>
      </x:c>
      <x:c r="B11" s="49" t="str">
        <x:v>owner; project_owned; insured inclusion</x:v>
      </x:c>
      <x:c r="C11" s="49" t="str">
        <x:v>baseline project value boundary</x:v>
      </x:c>
      <x:c r="D11" s="49" t="str">
        <x:v>withhold baseline loss</x:v>
      </x:c>
      <x:c r="E11" s="49" t="str">
        <x:v>none</x:v>
      </x:c>
    </x:row>
    <x:row r="12" ht="42" customHeight="1">
      <x:c r="A12" s="49" t="str">
        <x:v>value</x:v>
      </x:c>
      <x:c r="B12" s="49" t="str">
        <x:v>same-unit replacement value; quantity; exposure fraction</x:v>
      </x:c>
      <x:c r="C12" s="49" t="str">
        <x:v>future physical loss</x:v>
      </x:c>
      <x:c r="D12" s="49" t="str">
        <x:v>withhold scenario loss</x:v>
      </x:c>
      <x:c r="E12" s="49" t="str">
        <x:v>none</x:v>
      </x:c>
    </x:row>
    <x:row r="13" ht="42" customHeight="1">
      <x:c r="A13" s="49" t="str">
        <x:v>support</x:v>
      </x:c>
      <x:c r="B13" s="49" t="str">
        <x:v>fieldwork/transport allocation rule</x:v>
      </x:c>
      <x:c r="C13" s="49" t="str">
        <x:v>add once after disposition</x:v>
      </x:c>
      <x:c r="D13" s="49" t="str">
        <x:v>do not allocate</x:v>
      </x:c>
      <x:c r="E13" s="49" t="str">
        <x:v>none</x:v>
      </x:c>
    </x:row>
    <x:row r="14" ht="42" customHeight="1">
      <x:c r="A14" s="49" t="str">
        <x:v>neighbor pathway</x:v>
      </x:c>
      <x:c r="B14" s="49" t="str">
        <x:v>scour/erosion; debris; wave loading</x:v>
      </x:c>
      <x:c r="C14" s="49" t="str">
        <x:v>separate mechanism</x:v>
      </x:c>
      <x:c r="D14" s="49" t="str">
        <x:v>reject/no fallback</x:v>
      </x:c>
      <x:c r="E14" s="49" t="str">
        <x:v>none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56" hidden="0" customWidth="1"/>
    <x:col min="4" max="4" width="25" hidden="0" customWidth="1"/>
    <x:col min="5" max="5" width="28" hidden="0" customWidth="1"/>
    <x:col min="6" max="6" width="36" hidden="0" customWidth="1"/>
    <x:col min="7" max="7" width="28" hidden="0" customWidth="1"/>
    <x:col min="8" max="8" width="30" hidden="0" customWidth="1"/>
    <x:col min="9" max="9" width="24" hidden="0" customWidth="1"/>
    <x:col min="10" max="10" width="50" hidden="0" customWidth="1"/>
    <x:col min="11" max="11" width="52" hidden="0" customWidth="1"/>
    <x:col min="12" max="12" width="52" hidden="0" customWidth="1"/>
    <x:col min="13" max="13" width="40" hidden="0" customWidth="1"/>
  </x:cols>
  <x:sheetData>
    <x:row r="1" ht="30" customHeight="1">
      <x:c r="A1" s="3" t="str">
        <x:v>Claim and parameter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Every load-bearing inference carries sources, exact limits, and an update trigger.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4" customHeight="1">
      <x:c r="A5" s="55" t="str">
        <x:v>claim_id</x:v>
      </x:c>
      <x:c r="B5" s="56" t="str">
        <x:v>pathway_id</x:v>
      </x:c>
      <x:c r="C5" s="56" t="str">
        <x:v>claim_text</x:v>
      </x:c>
      <x:c r="D5" s="56" t="str">
        <x:v>claim_type</x:v>
      </x:c>
      <x:c r="E5" s="56" t="str">
        <x:v>source_ids</x:v>
      </x:c>
      <x:c r="F5" s="56" t="str">
        <x:v>exact_locator</x:v>
      </x:c>
      <x:c r="G5" s="56" t="str">
        <x:v>evidence_tier</x:v>
      </x:c>
      <x:c r="H5" s="56" t="str">
        <x:v>parameter_or_rule</x:v>
      </x:c>
      <x:c r="I5" s="56" t="str">
        <x:v>adoption_status</x:v>
      </x:c>
      <x:c r="J5" s="56" t="str">
        <x:v>permitted_inference</x:v>
      </x:c>
      <x:c r="K5" s="56" t="str">
        <x:v>prohibited_inference</x:v>
      </x:c>
      <x:c r="L5" s="56" t="str">
        <x:v>reasoning</x:v>
      </x:c>
      <x:c r="M5" s="57" t="str">
        <x:v>update_trigger</x:v>
      </x:c>
    </x:row>
    <x:row r="6" ht="42" customHeight="1">
      <x:c r="A6" s="49" t="str">
        <x:v>FW-C001</x:v>
      </x:c>
      <x:c r="B6" s="49" t="str">
        <x:v>all_shared</x:v>
      </x:c>
      <x:c r="C6" s="49" t="str">
        <x:v>Typical wind and solar generation facilities can use the same facility-level Plant GSU role and collection-bus-to-interconnection architecture.</x:v>
      </x:c>
      <x:c r="D6" s="49" t="str">
        <x:v>direct_observation</x:v>
      </x:c>
      <x:c r="E6" s="49" t="str">
        <x:v>FW-S001</x:v>
      </x:c>
      <x:c r="F6" s="49" t="str">
        <x:v>pp. 2-3</x:v>
      </x:c>
      <x:c r="G6" s="49" t="str">
        <x:v>T2_public_lab_standard_or_physics</x:v>
      </x:c>
      <x:c r="H6" s="49" t="str">
        <x:v>shared_asset_anatomy</x:v>
      </x:c>
      <x:c r="I6" s="49" t="str">
        <x:v>adopt</x:v>
      </x:c>
      <x:c r="J6" s="49" t="str">
        <x:v>Define asset-neutral GSU/substation component concepts.</x:v>
      </x:c>
      <x:c r="K6" s="49" t="str">
        <x:v>Assume identical site configuration ownership value or vulnerability.</x:v>
      </x:c>
      <x:c r="L6" s="49" t="str">
        <x:v>FERC describes both technology configurations explicitly.</x:v>
      </x:c>
      <x:c r="M6" s="49" t="str">
        <x:v>FERC configuration guidance or class scope changes.</x:v>
      </x:c>
    </x:row>
    <x:row r="7" ht="42" customHeight="1">
      <x:c r="A7" s="49" t="str">
        <x:v>FW-C002</x:v>
      </x:c>
      <x:c r="B7" s="49" t="str">
        <x:v>flood_inundation_contact</x:v>
      </x:c>
      <x:c r="C7" s="49" t="str">
        <x:v>The intrinsic flood axis is local water depth above the component vulnerable datum: h_i=max(0,WSE-z_i_crit).</x:v>
      </x:c>
      <x:c r="D7" s="49" t="str">
        <x:v>engineering_inference</x:v>
      </x:c>
      <x:c r="E7" s="49" t="str">
        <x:v>FW-S005;FW-S006;FW-S007;FW-S010</x:v>
      </x:c>
      <x:c r="F7" s="49" t="str">
        <x:v>elevation/critical-depth method and canonical flood_solar axis</x:v>
      </x:c>
      <x:c r="G7" s="49" t="str">
        <x:v>T2_public_lab_standard_or_physics</x:v>
      </x:c>
      <x:c r="H7" s="49" t="str">
        <x:v>axis_transform</x:v>
      </x:c>
      <x:c r="I7" s="49" t="str">
        <x:v>adopt</x:v>
      </x:c>
      <x:c r="J7" s="49" t="str">
        <x:v>Use when WSE and component datum share a vertical reference.</x:v>
      </x:c>
      <x:c r="K7" s="49" t="str">
        <x:v>Use grade depth without a component transform or mix datums.</x:v>
      </x:c>
      <x:c r="L7" s="49" t="str">
        <x:v>Flood contact begins at the vulnerable component elevation rather than at a universal site grade.</x:v>
      </x:c>
      <x:c r="M7" s="49" t="str">
        <x:v>A stronger equipment-specific demand measure is validated.</x:v>
      </x:c>
    </x:row>
    <x:row r="8" ht="42" customHeight="1">
      <x:c r="A8" s="49" t="str">
        <x:v>FW-C003</x:v>
      </x:c>
      <x:c r="B8" s="49" t="str">
        <x:v>flood_inundation_contact</x:v>
      </x:c>
      <x:c r="C8" s="49" t="str">
        <x:v>Asset label solar versus wind is not an intrinsic selector for materially identical equipment and delivered exposure.</x:v>
      </x:c>
      <x:c r="D8" s="49" t="str">
        <x:v>governance_decision</x:v>
      </x:c>
      <x:c r="E8" s="49" t="str">
        <x:v>FW-S001;GOVERNANCE_CONTRACT;SHARED_SUBSTRATE</x:v>
      </x:c>
      <x:c r="F8" s="49" t="str">
        <x:v>method standard 20 compatibility key</x:v>
      </x:c>
      <x:c r="G8" s="49" t="str">
        <x:v>T4_placeholder_or_expert_judgment</x:v>
      </x:c>
      <x:c r="H8" s="49" t="str">
        <x:v>curve_selection_rule</x:v>
      </x:c>
      <x:c r="I8" s="49" t="str">
        <x:v>adopt</x:v>
      </x:c>
      <x:c r="J8" s="49" t="str">
        <x:v>Share a response after exact compatibility passes.</x:v>
      </x:c>
      <x:c r="K8" s="49" t="str">
        <x:v>Ignore equipment construction selectors or copy exposure/value.</x:v>
      </x:c>
      <x:c r="L8" s="49" t="str">
        <x:v>The physical component sees water and its own state not the upstream generation label.</x:v>
      </x:c>
      <x:c r="M8" s="49" t="str">
        <x:v>Evidence shows technology context changes intrinsic response after controls.</x:v>
      </x:c>
    </x:row>
    <x:row r="9" ht="42" customHeight="1">
      <x:c r="A9" s="49" t="str">
        <x:v>FW-C004</x:v>
      </x:c>
      <x:c r="B9" s="49" t="str">
        <x:v>flood_inundation_contact</x:v>
      </x:c>
      <x:c r="C9" s="49" t="str">
        <x:v>Switchgear main transformer auxiliaries controls station service and terminations require separate failure-unit identities.</x:v>
      </x:c>
      <x:c r="D9" s="49" t="str">
        <x:v>source_interpretation</x:v>
      </x:c>
      <x:c r="E9" s="49" t="str">
        <x:v>FW-S002;FW-S003;FW-S004;SHARED_SUBSTRATE</x:v>
      </x:c>
      <x:c r="F9" s="49" t="str">
        <x:v>equipment categories and case endpoints</x:v>
      </x:c>
      <x:c r="G9" s="49" t="str">
        <x:v>T3_engineering_proxy_or_adjacent_empirical</x:v>
      </x:c>
      <x:c r="H9" s="49" t="str">
        <x:v>failure_unit_decomposition</x:v>
      </x:c>
      <x:c r="I9" s="49" t="str">
        <x:v>adopt</x:v>
      </x:c>
      <x:c r="J9" s="49" t="str">
        <x:v>Build separate subjects/datums/values or a dependency-safe assembly.</x:v>
      </x:c>
      <x:c r="K9" s="49" t="str">
        <x:v>Apply one aggregated substation DR to all value.</x:v>
      </x:c>
      <x:c r="L9" s="49" t="str">
        <x:v>Sources describe different equipment functions and disposition paths.</x:v>
      </x:c>
      <x:c r="M9" s="49" t="str">
        <x:v>Claims/OEM data prove a same-replacement-unit assembly.</x:v>
      </x:c>
    </x:row>
    <x:row r="10" ht="42" customHeight="1">
      <x:c r="A10" s="49" t="str">
        <x:v>FW-C005</x:v>
      </x:c>
      <x:c r="B10" s="49" t="str">
        <x:v>flood_inundation_contact</x:v>
      </x:c>
      <x:c r="C10" s="49" t="str">
        <x:v>NERC shallow relay-room flooding demonstrates operational sensitivity but does not calibrate physical DR.</x:v>
      </x:c>
      <x:c r="D10" s="49" t="str">
        <x:v>direct_observation</x:v>
      </x:c>
      <x:c r="E10" s="49" t="str">
        <x:v>FW-S003</x:v>
      </x:c>
      <x:c r="F10" s="49" t="str">
        <x:v>approximately 8 inches and 495 MW operational consequence</x:v>
      </x:c>
      <x:c r="G10" s="49" t="str">
        <x:v>T3_engineering_proxy_or_adjacent_empirical</x:v>
      </x:c>
      <x:c r="H10" s="49" t="str">
        <x:v>endpoint_boundary</x:v>
      </x:c>
      <x:c r="I10" s="49" t="str">
        <x:v>adopt_with_limits</x:v>
      </x:c>
      <x:c r="J10" s="49" t="str">
        <x:v>Prioritize controls/protection curation and route outage downstream.</x:v>
      </x:c>
      <x:c r="K10" s="49" t="str">
        <x:v>Use MW removed from service as repair-cost ratio.</x:v>
      </x:c>
      <x:c r="L10" s="49" t="str">
        <x:v>The source reports operations and unavailable equipment rather than same-unit cost.</x:v>
      </x:c>
      <x:c r="M10" s="49" t="str">
        <x:v>A source publishes component disposition and cost for the event.</x:v>
      </x:c>
    </x:row>
    <x:row r="11" ht="42" customHeight="1">
      <x:c r="A11" s="49" t="str">
        <x:v>FW-C006</x:v>
      </x:c>
      <x:c r="B11" s="49" t="str">
        <x:v>flood_inundation_contact</x:v>
      </x:c>
      <x:c r="C11" s="49" t="str">
        <x:v>FS_SWG is the strongest pinned common numerical candidate but remains T3 and audit-only for flood_wind.</x:v>
      </x:c>
      <x:c r="D11" s="49" t="str">
        <x:v>governance_decision</x:v>
      </x:c>
      <x:c r="E11" s="49" t="str">
        <x:v>FW-S010</x:v>
      </x:c>
      <x:c r="F11" s="49" t="str">
        <x:v>FS_SWG and parameter tier table</x:v>
      </x:c>
      <x:c r="G11" s="49" t="str">
        <x:v>T3_engineering_proxy_or_adjacent_empirical</x:v>
      </x:c>
      <x:c r="H11" s="49" t="str">
        <x:v>FS_SWG_candidate</x:v>
      </x:c>
      <x:c r="I11" s="49" t="str">
        <x:v>withhold</x:v>
      </x:c>
      <x:c r="J11" s="49" t="str">
        <x:v>Retain exact source pin/ordinates for future review.</x:v>
      </x:c>
      <x:c r="K11" s="49" t="str">
        <x:v>Populate a flood_wind emit or call it claims-calibrated.</x:v>
      </x:c>
      <x:c r="L11" s="49" t="str">
        <x:v>Definition/axis align, but numeric transfer and KATs are not approved.</x:v>
      </x:c>
      <x:c r="M11" s="49" t="str">
        <x:v>Exact equipment applicability and economic validation pass.</x:v>
      </x:c>
    </x:row>
    <x:row r="12" ht="42" customHeight="1">
      <x:c r="A12" s="49" t="str">
        <x:v>FW-C007</x:v>
      </x:c>
      <x:c r="B12" s="49" t="str">
        <x:v>flood_inundation_contact</x:v>
      </x:c>
      <x:c r="C12" s="49" t="str">
        <x:v>FS_XFMR cannot transfer directly because its datum/control semantics and main-transformer value denominator are mixed.</x:v>
      </x:c>
      <x:c r="D12" s="49" t="str">
        <x:v>source_interpretation</x:v>
      </x:c>
      <x:c r="E12" s="49" t="str">
        <x:v>FW-S010</x:v>
      </x:c>
      <x:c r="F12" s="49" t="str">
        <x:v>FS_XFMR record plus dossier/metadata wording</x:v>
      </x:c>
      <x:c r="G12" s="49" t="str">
        <x:v>T3_engineering_proxy_or_adjacent_empirical</x:v>
      </x:c>
      <x:c r="H12" s="49" t="str">
        <x:v>FS_XFMR_candidate</x:v>
      </x:c>
      <x:c r="I12" s="49" t="str">
        <x:v>reject_direct_reuse</x:v>
      </x:c>
      <x:c r="J12" s="49" t="str">
        <x:v>Use as a decomposition prompt only.</x:v>
      </x:c>
      <x:c r="K12" s="49" t="str">
        <x:v>Apply control-water depth to full main-transformer value.</x:v>
      </x:c>
      <x:c r="L12" s="49" t="str">
        <x:v>Same-unit denominator and exposed vulnerable parts are not aligned.</x:v>
      </x:c>
      <x:c r="M12" s="49" t="str">
        <x:v>A dependency-safe transformer state/cost model is validated.</x:v>
      </x:c>
    </x:row>
    <x:row r="13" ht="42" customHeight="1">
      <x:c r="A13" s="49" t="str">
        <x:v>FW-C008</x:v>
      </x:c>
      <x:c r="B13" s="49" t="str">
        <x:v>flood_inundation_contact</x:v>
      </x:c>
      <x:c r="C13" s="49" t="str">
        <x:v>FS_SCADA and FS_CABLE are partial concept/mechanism matches only.</x:v>
      </x:c>
      <x:c r="D13" s="49" t="str">
        <x:v>source_interpretation</x:v>
      </x:c>
      <x:c r="E13" s="49" t="str">
        <x:v>FW-S007;FW-S010</x:v>
      </x:c>
      <x:c r="F13" s="49" t="str">
        <x:v>FS_SCADA and FS_CABLE semantics</x:v>
      </x:c>
      <x:c r="G13" s="49" t="str">
        <x:v>T3_engineering_proxy_or_adjacent_empirical</x:v>
      </x:c>
      <x:c r="H13" s="49" t="str">
        <x:v>neighbor_candidate_reuse</x:v>
      </x:c>
      <x:c r="I13" s="49" t="str">
        <x:v>withhold</x:v>
      </x:c>
      <x:c r="J13" s="49" t="str">
        <x:v>Crosswalk equipment and pathways.</x:v>
      </x:c>
      <x:c r="K13" s="49" t="str">
        <x:v>Equate plant SCADA with protection/control or solar AC/DC cable with wind MV inventory.</x:v>
      </x:c>
      <x:c r="L13" s="49" t="str">
        <x:v>The existing records aggregate different subjects.</x:v>
      </x:c>
      <x:c r="M13" s="49" t="str">
        <x:v>Qualified equipment and value crosswalks pass.</x:v>
      </x:c>
    </x:row>
    <x:row r="14" ht="42" customHeight="1">
      <x:c r="A14" s="49" t="str">
        <x:v>FW-C009</x:v>
      </x:c>
      <x:c r="B14" s="49" t="str">
        <x:v>all_shared</x:v>
      </x:c>
      <x:c r="C14" s="49" t="str">
        <x:v>The CWER wind electrical value is one mixed 72 2023 USD/kW bucket and does not support a standalone 9% substation allocation.</x:v>
      </x:c>
      <x:c r="D14" s="49" t="str">
        <x:v>source_interpretation</x:v>
      </x:c>
      <x:c r="E14" s="49" t="str">
        <x:v>FW-S008</x:v>
      </x:c>
      <x:c r="F14" s="49" t="str">
        <x:v>land-based reference breakdown and local Wind_Map row 12</x:v>
      </x:c>
      <x:c r="G14" s="49" t="str">
        <x:v>T2_public_lab_standard_or_physics</x:v>
      </x:c>
      <x:c r="H14" s="49" t="str">
        <x:v>value_rollup</x:v>
      </x:c>
      <x:c r="I14" s="49" t="str">
        <x:v>adopt_with_limits</x:v>
      </x:c>
      <x:c r="J14" s="49" t="str">
        <x:v>Preserve the 72 USD/kW reconciliation row and require a component split.</x:v>
      </x:c>
      <x:c r="K14" s="49" t="str">
        <x:v>Use 9% GSU plus 9% electrical or treat the row as a site appraisal.</x:v>
      </x:c>
      <x:c r="L14" s="49" t="str">
        <x:v>The source ledger does not split collection and substation.</x:v>
      </x:c>
      <x:c r="M14" s="49" t="str">
        <x:v>Site/OEM/insured schedule supplies component values.</x:v>
      </x:c>
    </x:row>
    <x:row r="15" ht="42" customHeight="1">
      <x:c r="A15" s="49" t="str">
        <x:v>FW-C010</x:v>
      </x:c>
      <x:c r="B15" s="49" t="str">
        <x:v>all_shared</x:v>
      </x:c>
      <x:c r="C15" s="49" t="str">
        <x:v>Functional association or mapped generation-substation role does not prove project ownership or insured inclusion.</x:v>
      </x:c>
      <x:c r="D15" s="49" t="str">
        <x:v>governance_decision</x:v>
      </x:c>
      <x:c r="E15" s="49" t="str">
        <x:v>FW-S009;LEG-FW-001;GOVERNANCE_CONTRACT</x:v>
      </x:c>
      <x:c r="F15" s="49" t="str">
        <x:v>LGIA demarcation definitions and Hazard ownership audit</x:v>
      </x:c>
      <x:c r="G15" s="49" t="str">
        <x:v>T3_engineering_proxy_or_adjacent_empirical</x:v>
      </x:c>
      <x:c r="H15" s="49" t="str">
        <x:v>ownership_value_rule</x:v>
      </x:c>
      <x:c r="I15" s="49" t="str">
        <x:v>adopt</x:v>
      </x:c>
      <x:c r="J15" s="49" t="str">
        <x:v>Withhold baseline project physical loss and permit labeled dependency/sensitivity treatment.</x:v>
      </x:c>
      <x:c r="K15" s="49" t="str">
        <x:v>Price unknown or utility-owned POI equipment as project value.</x:v>
      </x:c>
      <x:c r="L15" s="49" t="str">
        <x:v>Ownership and demarcation are agreement/site specific.</x:v>
      </x:c>
      <x:c r="M15" s="49" t="str">
        <x:v>Executed agreement one-line and value schedule resolve the boundary.</x:v>
      </x:c>
    </x:row>
    <x:row r="16" ht="42" customHeight="1">
      <x:c r="A16" s="49" t="str">
        <x:v>FW-C011</x:v>
      </x:c>
      <x:c r="B16" s="49" t="str">
        <x:v>flood_inundation_contact</x:v>
      </x:c>
      <x:c r="C16" s="49" t="str">
        <x:v>Riverine pluvial and coastal sources may share a contact response only for the same delivered exposure and conditioner vector.</x:v>
      </x:c>
      <x:c r="D16" s="49" t="str">
        <x:v>governance_decision</x:v>
      </x:c>
      <x:c r="E16" s="49" t="str">
        <x:v>FW-S002;FW-S005;GOVERNANCE_CONTRACT</x:v>
      </x:c>
      <x:c r="F16" s="49" t="str">
        <x:v>pathway and binding rules</x:v>
      </x:c>
      <x:c r="G16" s="49" t="str">
        <x:v>T3_engineering_proxy_or_adjacent_empirical</x:v>
      </x:c>
      <x:c r="H16" s="49" t="str">
        <x:v>source_peril_routing</x:v>
      </x:c>
      <x:c r="I16" s="49" t="str">
        <x:v>adopt</x:v>
      </x:c>
      <x:c r="J16" s="49" t="str">
        <x:v>Preserve source provenance event identity duration water quality and local depth.</x:v>
      </x:c>
      <x:c r="K16" s="49" t="str">
        <x:v>Treat equal grade depth as equal damage under salinity debris velocity or duration differences.</x:v>
      </x:c>
      <x:c r="L16" s="49" t="str">
        <x:v>Source label alone is not mechanism equivalence.</x:v>
      </x:c>
      <x:c r="M16" s="49" t="str">
        <x:v>Validated source-specific variants or equivalence tests pass.</x:v>
      </x:c>
    </x:row>
    <x:row r="17" ht="42" customHeight="1">
      <x:c r="A17" s="49" t="str">
        <x:v>FW-C012</x:v>
      </x:c>
      <x:c r="B17" s="49" t="str">
        <x:v>flood_scour_erosion</x:v>
      </x:c>
      <x:c r="C17" s="49" t="str">
        <x:v>Scour erosion and saturated-soil support loss are separate from direct inundation contact.</x:v>
      </x:c>
      <x:c r="D17" s="49" t="str">
        <x:v>governance_decision</x:v>
      </x:c>
      <x:c r="E17" s="49" t="str">
        <x:v>FW-S005;GOVERNANCE_CONTRACT</x:v>
      </x:c>
      <x:c r="F17" s="49" t="str">
        <x:v>method standard 18 and discussion boundary</x:v>
      </x:c>
      <x:c r="G17" s="49" t="str">
        <x:v>T4_placeholder_or_expert_judgment</x:v>
      </x:c>
      <x:c r="H17" s="49" t="str">
        <x:v>pathway_split</x:v>
      </x:c>
      <x:c r="I17" s="49" t="str">
        <x:v>adopt</x:v>
      </x:c>
      <x:c r="J17" s="49" t="str">
        <x:v>Defer to hydraulic/geotechnical pathway.</x:v>
      </x:c>
      <x:c r="K17" s="49" t="str">
        <x:v>Use cabinet-depth curves or the legacy foundation logistic.</x:v>
      </x:c>
      <x:c r="L17" s="49" t="str">
        <x:v>Axes mechanisms and site dependence differ.</x:v>
      </x:c>
      <x:c r="M17" s="49" t="str">
        <x:v>Qualified scour pathway is released.</x:v>
      </x:c>
    </x:row>
    <x:row r="18" ht="42" customHeight="1">
      <x:c r="A18" s="49" t="str">
        <x:v>FW-C013</x:v>
      </x:c>
      <x:c r="B18" s="49" t="str">
        <x:v>flood_inundation_contact</x:v>
      </x:c>
      <x:c r="C18" s="49" t="str">
        <x:v>The legacy M3 anchored logistics are regression fixtures and contain a non-renormalized asymptote discrepancy.</x:v>
      </x:c>
      <x:c r="D18" s="49" t="str">
        <x:v>direct_observation</x:v>
      </x:c>
      <x:c r="E18" s="49" t="str">
        <x:v>LEG-FW-001</x:v>
      </x:c>
      <x:c r="F18" s="49" t="str">
        <x:v>dr() and hardcoded CAPEX/curves</x:v>
      </x:c>
      <x:c r="G18" s="49" t="str">
        <x:v>T4_placeholder_or_expert_judgment</x:v>
      </x:c>
      <x:c r="H18" s="49" t="str">
        <x:v>legacy_curve</x:v>
      </x:c>
      <x:c r="I18" s="49" t="str">
        <x:v>reject</x:v>
      </x:c>
      <x:c r="J18" s="49" t="str">
        <x:v>Reproduce old characterization values only.</x:v>
      </x:c>
      <x:c r="K18" s="49" t="str">
        <x:v>Use L as actual asymptote x0 as emitted midpoint or accept the 0.37 ceiling as curve saturation.</x:v>
      </x:c>
      <x:c r="L18" s="49" t="str">
        <x:v>Subtracting raw(0) anchors but does not renormalize.</x:v>
      </x:c>
      <x:c r="M18" s="49" t="str">
        <x:v>Legacy code is retired after pinned migration.</x:v>
      </x:c>
    </x:row>
    <x:row r="19" ht="42" customHeight="1">
      <x:c r="A19" s="49" t="str">
        <x:v>FW-C014</x:v>
      </x:c>
      <x:c r="B19" s="49" t="str">
        <x:v>flood_inundation_contact</x:v>
      </x:c>
      <x:c r="C19" s="49" t="str">
        <x:v>Replacing Hazard M3 alone does not remove the M4 coastal hardcoded bypass.</x:v>
      </x:c>
      <x:c r="D19" s="49" t="str">
        <x:v>direct_observation</x:v>
      </x:c>
      <x:c r="E19" s="49" t="str">
        <x:v>LEG-FW-002</x:v>
      </x:c>
      <x:c r="F19" s="49" t="str">
        <x:v>CAPEX7 and SURGE_CURVE reconstruction</x:v>
      </x:c>
      <x:c r="G19" s="49" t="str">
        <x:v>T4_placeholder_or_expert_judgment</x:v>
      </x:c>
      <x:c r="H19" s="49" t="str">
        <x:v>consumer_migration_scope</x:v>
      </x:c>
      <x:c r="I19" s="49" t="str">
        <x:v>adopt</x:v>
      </x:c>
      <x:c r="J19" s="49" t="str">
        <x:v>Require one pinned loader for M3 and coastal M4.</x:v>
      </x:c>
      <x:c r="K19" s="49" t="str">
        <x:v>Declare migration complete after M3-only replacement.</x:v>
      </x:c>
      <x:c r="L19" s="49" t="str">
        <x:v>M4 independently reconstructs the provisional response.</x:v>
      </x:c>
      <x:c r="M19" s="49" t="str">
        <x:v>Consumer dual-read and bypass KAT pass.</x:v>
      </x:c>
    </x:row>
    <x:row r="20" ht="42" customHeight="1">
      <x:c r="A20" s="49" t="str">
        <x:v>FW-C015</x:v>
      </x:c>
      <x:c r="B20" s="49" t="str">
        <x:v>flood_inundation_contact</x:v>
      </x:c>
      <x:c r="C20" s="49" t="str">
        <x:v>Missing ground/elevation data and synthetic centroid fallback cannot become dry or a priced substation.</x:v>
      </x:c>
      <x:c r="D20" s="49" t="str">
        <x:v>governance_decision</x:v>
      </x:c>
      <x:c r="E20" s="49" t="str">
        <x:v>LEG-FW-001;GOVERNANCE_CONTRACT</x:v>
      </x:c>
      <x:c r="F20" s="49" t="str">
        <x:v>legacy audit and missing-state rules</x:v>
      </x:c>
      <x:c r="G20" s="49" t="str">
        <x:v>T4_placeholder_or_expert_judgment</x:v>
      </x:c>
      <x:c r="H20" s="49" t="str">
        <x:v>missing_exposure_policy</x:v>
      </x:c>
      <x:c r="I20" s="49" t="str">
        <x:v>adopt</x:v>
      </x:c>
      <x:c r="J20" s="49" t="str">
        <x:v>Preserve missing/placeholder state and withhold.</x:v>
      </x:c>
      <x:c r="K20" s="49" t="str">
        <x:v>Convert invalid elevation to zero depth or price a centroid as a 9% GSU.</x:v>
      </x:c>
      <x:c r="L20" s="49" t="str">
        <x:v>Unknown exposure and absent physical identity are not observations.</x:v>
      </x:c>
      <x:c r="M20" s="49" t="str">
        <x:v>Observed component identity geometry and datum become available.</x:v>
      </x:c>
    </x:row>
    <x:row r="21" ht="42" customHeight="1">
      <x:c r="A21" s="49" t="str">
        <x:v>FW-C016</x:v>
      </x:c>
      <x:c r="B21" s="49" t="str">
        <x:v>all_shared</x:v>
      </x:c>
      <x:c r="C21" s="49" t="str">
        <x:v>Support fieldwork and transport are allocated once after direct damaged units and disposition are known.</x:v>
      </x:c>
      <x:c r="D21" s="49" t="str">
        <x:v>governance_decision</x:v>
      </x:c>
      <x:c r="E21" s="49" t="str">
        <x:v>FW-S008;GOVERNANCE_CONTRACT</x:v>
      </x:c>
      <x:c r="F21" s="49" t="str">
        <x:v>Wind_Map rows 13-14 and value standard</x:v>
      </x:c>
      <x:c r="G21" s="49" t="str">
        <x:v>T4_placeholder_or_expert_judgment</x:v>
      </x:c>
      <x:c r="H21" s="49" t="str">
        <x:v>support_once_rule</x:v>
      </x:c>
      <x:c r="I21" s="49" t="str">
        <x:v>adopt_with_limits</x:v>
      </x:c>
      <x:c r="J21" s="49" t="str">
        <x:v>Preserve 294 USD/kW reference reconciliation and require explicit allocation.</x:v>
      </x:c>
      <x:c r="K21" s="49" t="str">
        <x:v>Give support an independent flood curve or add it twice.</x:v>
      </x:c>
      <x:c r="L21" s="49" t="str">
        <x:v>Support is repair-scope dependent not vulnerable hardware.</x:v>
      </x:c>
      <x:c r="M21" s="49" t="str">
        <x:v>Claims-backed support allocation is approved.</x:v>
      </x:c>
    </x:row>
    <x:row r="22" ht="42" customHeight="1">
      <x:c r="A22" s="49" t="str">
        <x:v>FW-C017</x:v>
      </x:c>
      <x:c r="B22" s="49" t="str">
        <x:v>flood_inundation_contact</x:v>
      </x:c>
      <x:c r="C22" s="49" t="str">
        <x:v>No bounded public evidence chain was found from representative component-local flood state to inspected disposition and same-unit direct cost.</x:v>
      </x:c>
      <x:c r="D22" s="49" t="str">
        <x:v>governance_decision</x:v>
      </x:c>
      <x:c r="E22" s="49" t="str">
        <x:v>FW-S002;FW-S003;FW-S004;BOUNDED_SEARCH_LOG</x:v>
      </x:c>
      <x:c r="F22" s="49" t="str">
        <x:v>bounded endpoint review</x:v>
      </x:c>
      <x:c r="G22" s="49" t="str">
        <x:v>T3_engineering_proxy_or_adjacent_empirical</x:v>
      </x:c>
      <x:c r="H22" s="49" t="str">
        <x:v>runtime_curve_gate</x:v>
      </x:c>
      <x:c r="I22" s="49" t="str">
        <x:v>withhold</x:v>
      </x:c>
      <x:c r="J22" s="49" t="str">
        <x:v>Support the recorded NO_RUNTIME_CURVE decision.</x:v>
      </x:c>
      <x:c r="K22" s="49" t="str">
        <x:v>Claim universal absence or ignore private/OEM/claims evidence.</x:v>
      </x:c>
      <x:c r="L22" s="49" t="str">
        <x:v>Available sources stop at mechanism case operations method or engineered proxies.</x:v>
      </x:c>
      <x:c r="M22" s="49" t="str">
        <x:v>Matched evidence or governed structured elicitation closes the chain.</x:v>
      </x:c>
    </x:row>
    <x:row r="23" ht="42" customHeight="1">
      <x:c r="A23" s="49" t="str">
        <x:v>FW-C018</x:v>
      </x:c>
      <x:c r="B23" s="49" t="str">
        <x:v>flood_inundation_contact</x:v>
      </x:c>
      <x:c r="C23" s="49" t="str">
        <x:v>All numeric damage and loss outputs are withheld in model v0.1.</x:v>
      </x:c>
      <x:c r="D23" s="49" t="str">
        <x:v>governance_decision</x:v>
      </x:c>
      <x:c r="E23" s="49" t="str">
        <x:v>GOVERNANCE_CONTRACT</x:v>
      </x:c>
      <x:c r="F23" s="49" t="str">
        <x:v>decision D-FW-08 and capability declaration</x:v>
      </x:c>
      <x:c r="G23" s="49" t="str">
        <x:v>T4_placeholder_or_expert_judgment</x:v>
      </x:c>
      <x:c r="H23" s="49" t="str">
        <x:v>capability</x:v>
      </x:c>
      <x:c r="I23" s="49" t="str">
        <x:v>withhold</x:v>
      </x:c>
      <x:c r="J23" s="49" t="str">
        <x:v>Return null with NO_RUNTIME_CURVE.</x:v>
      </x:c>
      <x:c r="K23" s="49" t="str">
        <x:v>Return zero or a solar/legacy fallback.</x:v>
      </x:c>
      <x:c r="L23" s="49" t="str">
        <x:v>No numeric record passed promotion gates.</x:v>
      </x:c>
      <x:c r="M23" s="49" t="str">
        <x:v>Reviewed model v1.0 behavior change.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52" hidden="0" customWidth="1"/>
    <x:col min="4" max="4" width="16" hidden="0" customWidth="1"/>
    <x:col min="5" max="5" width="45" hidden="0" customWidth="1"/>
    <x:col min="6" max="6" width="26" hidden="0" customWidth="1"/>
    <x:col min="7" max="7" width="28" hidden="0" customWidth="1"/>
    <x:col min="8" max="8" width="27" hidden="0" customWidth="1"/>
    <x:col min="9" max="9" width="27" hidden="0" customWidth="1"/>
    <x:col min="10" max="10" width="22" hidden="0" customWidth="1"/>
    <x:col min="11" max="11" width="25" hidden="0" customWidth="1"/>
    <x:col min="12" max="12" width="48" hidden="0" customWidth="1"/>
    <x:col min="13" max="13" width="52" hidden="0" customWidth="1"/>
    <x:col min="14" max="14" width="52" hidden="0" customWidth="1"/>
    <x:col min="15" max="15" width="26" hidden="0" customWidth="1"/>
    <x:col min="16" max="16" width="18" hidden="0" customWidth="1"/>
    <x:col min="17" max="17" width="46" hidden="0" customWidth="1"/>
  </x:cols>
  <x:sheetData>
    <x:row r="1" ht="30" customHeight="1">
      <x:c r="A1" s="3" t="str">
        <x:v>Source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7" t="str">
        <x:v>URLs are plain text for auditability; permitted and prohibited inferences are explicit.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34" customHeight="1">
      <x:c r="A5" s="55" t="str">
        <x:v>source_id</x:v>
      </x:c>
      <x:c r="B5" s="56" t="str">
        <x:v>citation</x:v>
      </x:c>
      <x:c r="C5" s="56" t="str">
        <x:v>url</x:v>
      </x:c>
      <x:c r="D5" s="56" t="str">
        <x:v>accessed_on</x:v>
      </x:c>
      <x:c r="E5" s="56" t="str">
        <x:v>exact_locator</x:v>
      </x:c>
      <x:c r="F5" s="56" t="str">
        <x:v>source_type</x:v>
      </x:c>
      <x:c r="G5" s="56" t="str">
        <x:v>source_role</x:v>
      </x:c>
      <x:c r="H5" s="56" t="str">
        <x:v>pathway_ids</x:v>
      </x:c>
      <x:c r="I5" s="56" t="str">
        <x:v>evidence_tier</x:v>
      </x:c>
      <x:c r="J5" s="56" t="str">
        <x:v>target_asset_match</x:v>
      </x:c>
      <x:c r="K5" s="56" t="str">
        <x:v>target_failure_unit_match</x:v>
      </x:c>
      <x:c r="L5" s="56" t="str">
        <x:v>measured_or_modeled_endpoint</x:v>
      </x:c>
      <x:c r="M5" s="56" t="str">
        <x:v>permitted_inference</x:v>
      </x:c>
      <x:c r="N5" s="56" t="str">
        <x:v>prohibited_inference</x:v>
      </x:c>
      <x:c r="O5" s="56" t="str">
        <x:v>decision</x:v>
      </x:c>
      <x:c r="P5" s="56" t="str">
        <x:v>status</x:v>
      </x:c>
      <x:c r="Q5" s="57" t="str">
        <x:v>notes</x:v>
      </x:c>
    </x:row>
    <x:row r="6" ht="42" customHeight="1">
      <x:c r="A6" s="49" t="str">
        <x:v>FW-S001</x:v>
      </x:c>
      <x:c r="B6" s="49" t="str">
        <x:v>Federal Energy Regulatory Commission, Order on accounting for renewable generating assets, 174 FERC 61,033 (2021).</x:v>
      </x:c>
      <x:c r="C6" s="49" t="str">
        <x:v>https://www.ferc.gov/sites/default/files/2021-01/E-7-011921.pdf</x:v>
      </x:c>
      <x:c r="D6" s="96" t="str">
        <x:v>2026-07-28</x:v>
      </x:c>
      <x:c r="E6" s="49" t="str">
        <x:v>pp. 2-3, wind items a-e and solar items a-g</x:v>
      </x:c>
      <x:c r="F6" s="49" t="str">
        <x:v>government order</x:v>
      </x:c>
      <x:c r="G6" s="49" t="str">
        <x:v>asset_anatomy</x:v>
      </x:c>
      <x:c r="H6" s="49" t="str">
        <x:v>all_shared</x:v>
      </x:c>
      <x:c r="I6" s="49" t="str">
        <x:v>T2_public_lab_standard_or_physics</x:v>
      </x:c>
      <x:c r="J6" s="49" t="str">
        <x:v>direct</x:v>
      </x:c>
      <x:c r="K6" s="49" t="str">
        <x:v>direct</x:v>
      </x:c>
      <x:c r="L6" s="49" t="str">
        <x:v>typical wind and solar collection buses and high-voltage Plant GSU configuration</x:v>
      </x:c>
      <x:c r="M6" s="49" t="str">
        <x:v>Define common Plant-GSU/substation anatomy across solar and wind.</x:v>
      </x:c>
      <x:c r="N6" s="49" t="str">
        <x:v>Infer flood vulnerability, component value, ownership, quantity, or a universal site configuration.</x:v>
      </x:c>
      <x:c r="O6" s="49" t="str">
        <x:v>adopt_with_limits</x:v>
      </x:c>
      <x:c r="P6" s="49" t="str">
        <x:v>reviewed</x:v>
      </x:c>
      <x:c r="Q6" s="49" t="str">
        <x:v>Both technologies use a facility-substation collection bus and Plant GSU; upstream equipment remains technology-specific.</x:v>
      </x:c>
    </x:row>
    <x:row r="7" ht="42" customHeight="1">
      <x:c r="A7" s="49" t="str">
        <x:v>FW-S002</x:v>
      </x:c>
      <x:c r="B7" s="49" t="str">
        <x:v>National Electrical Manufacturers Association, NEMA GD 1-2016, Evaluating Water-Damaged Electrical Equipment.</x:v>
      </x:c>
      <x:c r="C7" s="49" t="str">
        <x:v>https://www.nema.org/docs/default-source/secure-document-library/nema-gd-1-2016-evaluating-water-damaged-electrical-equipment-guide.pdf</x:v>
      </x:c>
      <x:c r="D7" s="96" t="str">
        <x:v>2026-07-28</x:v>
      </x:c>
      <x:c r="E7" s="49" t="str">
        <x:v>sections 4.3 Power Equipment and 4.4 Transformers</x:v>
      </x:c>
      <x:c r="F7" s="49" t="str">
        <x:v>industry standard</x:v>
      </x:c>
      <x:c r="G7" s="49" t="str">
        <x:v>mechanism_and_disposition</x:v>
      </x:c>
      <x:c r="H7" s="49" t="str">
        <x:v>flood_inundation_contact</x:v>
      </x:c>
      <x:c r="I7" s="49" t="str">
        <x:v>T2_public_lab_standard_or_physics</x:v>
      </x:c>
      <x:c r="J7" s="49" t="str">
        <x:v>direct</x:v>
      </x:c>
      <x:c r="K7" s="49" t="str">
        <x:v>direct</x:v>
      </x:c>
      <x:c r="L7" s="49" t="str">
        <x:v>water-exposed switchgear/power equipment and transformer evaluation reconditioning replacement considerations</x:v>
      </x:c>
      <x:c r="M7" s="49" t="str">
        <x:v>Separate equipment families and post-water disposition logic.</x:v>
      </x:c>
      <x:c r="N7" s="49" t="str">
        <x:v>Derive continuous depth-DR ordinates or override OEM/manufacturer guidance.</x:v>
      </x:c>
      <x:c r="O7" s="49" t="str">
        <x:v>adopt_with_limits</x:v>
      </x:c>
      <x:c r="P7" s="49" t="str">
        <x:v>reviewed</x:v>
      </x:c>
      <x:c r="Q7" s="49" t="str">
        <x:v>Supports category-specific response; not a curve.</x:v>
      </x:c>
    </x:row>
    <x:row r="8" ht="42" customHeight="1">
      <x:c r="A8" s="49" t="str">
        <x:v>FW-S003</x:v>
      </x:c>
      <x:c r="B8" s="49" t="str">
        <x:v>North American Electric Reliability Corporation, Substation Flooding Events Highlight Potential Design Deficiencies (2022).</x:v>
      </x:c>
      <x:c r="C8" s="49" t="str">
        <x:v>https://www.nerc.com/pa/rrm/ea/Lessons%20Learned%20Document%20Library/LL20220404_Substation_Flooding_Events_Highlight_Potential_Design_Deficiencies.pdf</x:v>
      </x:c>
      <x:c r="D8" s="96" t="str">
        <x:v>2026-07-28</x:v>
      </x:c>
      <x:c r="E8" s="49" t="str">
        <x:v>p. 1, approximately 8 inches at 250 VDC control connections and resulting operations</x:v>
      </x:c>
      <x:c r="F8" s="49" t="str">
        <x:v>industry reliability lesson</x:v>
      </x:c>
      <x:c r="G8" s="49" t="str">
        <x:v>case_study_severity</x:v>
      </x:c>
      <x:c r="H8" s="49" t="str">
        <x:v>flood_inundation_contact</x:v>
      </x:c>
      <x:c r="I8" s="49" t="str">
        <x:v>T3_engineering_proxy_or_adjacent_empirical</x:v>
      </x:c>
      <x:c r="J8" s="49" t="str">
        <x:v>direct</x:v>
      </x:c>
      <x:c r="K8" s="49" t="str">
        <x:v>direct</x:v>
      </x:c>
      <x:c r="L8" s="49" t="str">
        <x:v>one relay-room flood case causing false breaker operations and removal of two circuits and six generating units</x:v>
      </x:c>
      <x:c r="M8" s="49" t="str">
        <x:v>Confirm shallow control/protection inundation can be operationally material and motivate separate control/DC units.</x:v>
      </x:c>
      <x:c r="N8" s="49" t="str">
        <x:v>Treat 495 MW removed from service as direct physical DR or repair cost.</x:v>
      </x:c>
      <x:c r="O8" s="49" t="str">
        <x:v>adopt_with_limits</x:v>
      </x:c>
      <x:c r="P8" s="49" t="str">
        <x:v>reviewed</x:v>
      </x:c>
      <x:c r="Q8" s="49" t="str">
        <x:v>Operational consequence is downstream; no same-unit cost endpoint.</x:v>
      </x:c>
    </x:row>
    <x:row r="9" ht="42" customHeight="1">
      <x:c r="A9" s="49" t="str">
        <x:v>FW-S004</x:v>
      </x:c>
      <x:c r="B9" s="49" t="str">
        <x:v>North American Electric Reliability Corporation, Severe Flooding Damages Transformer Substations (2015).</x:v>
      </x:c>
      <x:c r="C9" s="49" t="str">
        <x:v>https://www.nerc.com/pa/rrm/ea/Lessons%20Learned%20Document%20Library/LL20150402_Severe_Flooding_Damages_Transformer_Substations_final.pdf</x:v>
      </x:c>
      <x:c r="D9" s="96" t="str">
        <x:v>2026-07-28</x:v>
      </x:c>
      <x:c r="E9" s="49" t="str">
        <x:v>problem statement, details, and corrective actions</x:v>
      </x:c>
      <x:c r="F9" s="49" t="str">
        <x:v>industry reliability lesson</x:v>
      </x:c>
      <x:c r="G9" s="49" t="str">
        <x:v>case_study_severity</x:v>
      </x:c>
      <x:c r="H9" s="49" t="str">
        <x:v>flood_inundation_contact</x:v>
      </x:c>
      <x:c r="I9" s="49" t="str">
        <x:v>T3_engineering_proxy_or_adjacent_empirical</x:v>
      </x:c>
      <x:c r="J9" s="49" t="str">
        <x:v>adjacent</x:v>
      </x:c>
      <x:c r="K9" s="49" t="str">
        <x:v>direct</x:v>
      </x:c>
      <x:c r="L9" s="49" t="str">
        <x:v>telecommunication protection and station-service damage and circuit unavailability at two substations</x:v>
      </x:c>
      <x:c r="M9" s="49" t="str">
        <x:v>Support component decomposition and water-path/elevation fields.</x:v>
      </x:c>
      <x:c r="N9" s="49" t="str">
        <x:v>Fit an economic damage curve or infer renewable-project ownership/value.</x:v>
      </x:c>
      <x:c r="O9" s="49" t="str">
        <x:v>adopt_with_limits</x:v>
      </x:c>
      <x:c r="P9" s="49" t="str">
        <x:v>reviewed</x:v>
      </x:c>
      <x:c r="Q9" s="49" t="str">
        <x:v>Transmission-station case; mechanism transfer only.</x:v>
      </x:c>
    </x:row>
    <x:row r="10" ht="42" customHeight="1">
      <x:c r="A10" s="49" t="str">
        <x:v>FW-S005</x:v>
      </x:c>
      <x:c r="B10" s="49" t="str">
        <x:v>Federal Emergency Management Agency, FEMA P-348, Protecting Building Utility Systems From Flood Damage, 2nd ed. (2017).</x:v>
      </x:c>
      <x:c r="C10" s="49" t="str">
        <x:v>https://www.fema.gov/sites/default/files/2020-07/fema_p-348_protecting_building_utility_systems_from_flood_damage_2017.pdf</x:v>
      </x:c>
      <x:c r="D10" s="96" t="str">
        <x:v>2026-07-28</x:v>
      </x:c>
      <x:c r="E10" s="49" t="str">
        <x:v>section 5.2, electrical-system flood risk and mitigation</x:v>
      </x:c>
      <x:c r="F10" s="49" t="str">
        <x:v>government guidance</x:v>
      </x:c>
      <x:c r="G10" s="49" t="str">
        <x:v>axis_and_exposure</x:v>
      </x:c>
      <x:c r="H10" s="49" t="str">
        <x:v>flood_inundation_contact</x:v>
      </x:c>
      <x:c r="I10" s="49" t="str">
        <x:v>T2_public_lab_standard_or_physics</x:v>
      </x:c>
      <x:c r="J10" s="49" t="str">
        <x:v>adjacent</x:v>
      </x:c>
      <x:c r="K10" s="49" t="str">
        <x:v>direct</x:v>
      </x:c>
      <x:c r="L10" s="49" t="str">
        <x:v>elevation/relocation/protection of transformers switchboards panels and feeders</x:v>
      </x:c>
      <x:c r="M10" s="49" t="str">
        <x:v>Support local vulnerable datum and equipment-elevation fields.</x:v>
      </x:c>
      <x:c r="N10" s="49" t="str">
        <x:v>Provide wind-farm ordinates or replacement percentages.</x:v>
      </x:c>
      <x:c r="O10" s="49" t="str">
        <x:v>adopt_with_limits</x:v>
      </x:c>
      <x:c r="P10" s="49" t="str">
        <x:v>reviewed</x:v>
      </x:c>
      <x:c r="Q10" s="49" t="str">
        <x:v>Building-utility setting; used for method, not calibration.</x:v>
      </x:c>
    </x:row>
    <x:row r="11" ht="42" customHeight="1">
      <x:c r="A11" s="49" t="str">
        <x:v>FW-S006</x:v>
      </x:c>
      <x:c r="B11" s="49" t="str">
        <x:v>U.S. Army Corps of Engineers, HEC-FIA Technical Reference, Depth-Percent Damage Relationships.</x:v>
      </x:c>
      <x:c r="C11" s="49" t="str">
        <x:v>https://www.hec.usace.army.mil/confluence/fiadocs/fiatechref/latest/direct-damage/depth-percent-damage-relationships-direct-damage</x:v>
      </x:c>
      <x:c r="D11" s="96" t="str">
        <x:v>2026-07-28</x:v>
      </x:c>
      <x:c r="E11" s="49" t="str">
        <x:v>direct damage, depth-percent relationship and linear interpolation</x:v>
      </x:c>
      <x:c r="F11" s="49" t="str">
        <x:v>government technical reference</x:v>
      </x:c>
      <x:c r="G11" s="49" t="str">
        <x:v>curve_form</x:v>
      </x:c>
      <x:c r="H11" s="49" t="str">
        <x:v>flood_inundation_contact</x:v>
      </x:c>
      <x:c r="I11" s="49" t="str">
        <x:v>T2_public_lab_standard_or_physics</x:v>
      </x:c>
      <x:c r="J11" s="49" t="str">
        <x:v>adjacent</x:v>
      </x:c>
      <x:c r="K11" s="49" t="str">
        <x:v>none</x:v>
      </x:c>
      <x:c r="L11" s="49" t="str">
        <x:v>tabular depth-percent relationship and interpolation method</x:v>
      </x:c>
      <x:c r="M11" s="49" t="str">
        <x:v>Support transparent piecewise/tabular curve form and critical-elevation semantics.</x:v>
      </x:c>
      <x:c r="N11" s="49" t="str">
        <x:v>Supply electrical-component ordinates.</x:v>
      </x:c>
      <x:c r="O11" s="49" t="str">
        <x:v>adopt_with_limits</x:v>
      </x:c>
      <x:c r="P11" s="49" t="str">
        <x:v>reviewed</x:v>
      </x:c>
      <x:c r="Q11" s="49" t="str">
        <x:v>Form precedent only.</x:v>
      </x:c>
    </x:row>
    <x:row r="12" ht="42" customHeight="1">
      <x:c r="A12" s="49" t="str">
        <x:v>FW-S007</x:v>
      </x:c>
      <x:c r="B12" s="49" t="str">
        <x:v>U.S. Department of Energy FEMP, Preventing and Mitigating Flood Damage to Solar Photovoltaic Systems.</x:v>
      </x:c>
      <x:c r="C12" s="49" t="str">
        <x:v>https://www.energy.gov/cmei/femp/preventing-and-mitigating-flood-damage-solar-photovoltaic-systems</x:v>
      </x:c>
      <x:c r="D12" s="96" t="str">
        <x:v>2026-07-28</x:v>
      </x:c>
      <x:c r="E12" s="49" t="str">
        <x:v>total submersion, equipment elevation, conduit-water pathway, and electrical enclosure sections</x:v>
      </x:c>
      <x:c r="F12" s="49" t="str">
        <x:v>government guidance</x:v>
      </x:c>
      <x:c r="G12" s="49" t="str">
        <x:v>mechanism_and_exposure</x:v>
      </x:c>
      <x:c r="H12" s="49" t="str">
        <x:v>flood_inundation_contact</x:v>
      </x:c>
      <x:c r="I12" s="49" t="str">
        <x:v>T2_public_lab_standard_or_physics</x:v>
      </x:c>
      <x:c r="J12" s="49" t="str">
        <x:v>adjacent</x:v>
      </x:c>
      <x:c r="K12" s="49" t="str">
        <x:v>partial</x:v>
      </x:c>
      <x:c r="L12" s="49" t="str">
        <x:v>solar-site observations and guidance for submerged electrical equipment and conduit water transport</x:v>
      </x:c>
      <x:c r="M12" s="49" t="str">
        <x:v>Support shared electrical water-path/elevation concepts where equipment matches.</x:v>
      </x:c>
      <x:c r="N12" s="49" t="str">
        <x:v>Infer wind-specific values or universal numeric curves.</x:v>
      </x:c>
      <x:c r="O12" s="49" t="str">
        <x:v>adopt_with_limits</x:v>
      </x:c>
      <x:c r="P12" s="49" t="str">
        <x:v>reviewed</x:v>
      </x:c>
      <x:c r="Q12" s="49" t="str">
        <x:v>Solar-specific adjacent source; no wind curve.</x:v>
      </x:c>
    </x:row>
    <x:row r="13" ht="42" customHeight="1">
      <x:c r="A13" s="49" t="str">
        <x:v>FW-S008</x:v>
      </x:c>
      <x:c r="B13" s="49" t="str">
        <x:v>Stehly, T.; Duffy, P.; Mulas Hernando, D. Cost of Wind Energy Review: 2024 Edition. NREL/TP-5000-91775.</x:v>
      </x:c>
      <x:c r="C13" s="49" t="str">
        <x:v>https://www.nrel.gov/docs/fy25osti/91775.pdf</x:v>
      </x:c>
      <x:c r="D13" s="96" t="str">
        <x:v>2026-07-28</x:v>
      </x:c>
      <x:c r="E13" s="49" t="str">
        <x:v>land-based reference plant capital-cost breakdown</x:v>
      </x:c>
      <x:c r="F13" s="49" t="str">
        <x:v>government technical report</x:v>
      </x:c>
      <x:c r="G13" s="49" t="str">
        <x:v>exposure_or_value</x:v>
      </x:c>
      <x:c r="H13" s="49" t="str">
        <x:v>all_shared</x:v>
      </x:c>
      <x:c r="I13" s="49" t="str">
        <x:v>T2_public_lab_standard_or_physics</x:v>
      </x:c>
      <x:c r="J13" s="49" t="str">
        <x:v>direct</x:v>
      </x:c>
      <x:c r="K13" s="49" t="str">
        <x:v>partial</x:v>
      </x:c>
      <x:c r="L13" s="49" t="str">
        <x:v>2023-USD wind component and balance-of-system reference values</x:v>
      </x:c>
      <x:c r="M13" s="49" t="str">
        <x:v>Use the row-level reference ledger and identify the mixed 72 USD/kW electrical bucket.</x:v>
      </x:c>
      <x:c r="N13" s="49" t="str">
        <x:v>Infer a 9% substation share, fragility, ownership, or site replacement value.</x:v>
      </x:c>
      <x:c r="O13" s="49" t="str">
        <x:v>adopt_with_limits</x:v>
      </x:c>
      <x:c r="P13" s="49" t="str">
        <x:v>reviewed</x:v>
      </x:c>
      <x:c r="Q13" s="49" t="str">
        <x:v>Value archetype only; substation and collection are not split.</x:v>
      </x:c>
    </x:row>
    <x:row r="14" ht="42" customHeight="1">
      <x:c r="A14" s="49" t="str">
        <x:v>FW-S009</x:v>
      </x:c>
      <x:c r="B14" s="49" t="str">
        <x:v>Federal Energy Regulatory Commission, pro forma Large Generator Interconnection Agreement.</x:v>
      </x:c>
      <x:c r="C14" s="49" t="str">
        <x:v>https://www.ferc.gov/sites/default/files/2020-04/LGIA.pdf</x:v>
      </x:c>
      <x:c r="D14" s="96" t="str">
        <x:v>2026-07-28</x:v>
      </x:c>
      <x:c r="E14" s="49" t="str">
        <x:v>definitions of Point of Change of Ownership and Point of Interconnection; Appendix A dependency</x:v>
      </x:c>
      <x:c r="F14" s="49" t="str">
        <x:v>government contract template</x:v>
      </x:c>
      <x:c r="G14" s="49" t="str">
        <x:v>ownership_boundary</x:v>
      </x:c>
      <x:c r="H14" s="49" t="str">
        <x:v>all_shared</x:v>
      </x:c>
      <x:c r="I14" s="49" t="str">
        <x:v>T2_public_lab_standard_or_physics</x:v>
      </x:c>
      <x:c r="J14" s="49" t="str">
        <x:v>direct</x:v>
      </x:c>
      <x:c r="K14" s="49" t="str">
        <x:v>partial</x:v>
      </x:c>
      <x:c r="L14" s="49" t="str">
        <x:v>contract-defined ownership/interconnection demarcations</x:v>
      </x:c>
      <x:c r="M14" s="49" t="str">
        <x:v>Require site agreement/one-line evidence for project versus transmission-owner inclusion.</x:v>
      </x:c>
      <x:c r="N14" s="49" t="str">
        <x:v>Assume ownership from physical role or map proximity.</x:v>
      </x:c>
      <x:c r="O14" s="49" t="str">
        <x:v>adopt_with_limits</x:v>
      </x:c>
      <x:c r="P14" s="49" t="str">
        <x:v>reviewed</x:v>
      </x:c>
      <x:c r="Q14" s="49" t="str">
        <x:v>Template establishes that demarcation is agreement-specific.</x:v>
      </x:c>
    </x:row>
    <x:row r="15" ht="42" customHeight="1">
      <x:c r="A15" s="49" t="str">
        <x:v>FW-S010</x:v>
      </x:c>
      <x:c r="B15" s="49" t="str">
        <x:v>Canonical Damage Modeling flood_solar artifact, flood_solar@model_v1_0__docs_r4.</x:v>
      </x:c>
      <x:c r="C15" s="49" t="str">
        <x:v>docs/cells/flood_solar/current/flood_solar__model_v1_0__docs_r4__curve_artifact.json</x:v>
      </x:c>
      <x:c r="D15" s="96" t="str">
        <x:v>2026-07-28</x:v>
      </x:c>
      <x:c r="E15" s="49" t="str">
        <x:v>FS_SWG, FS_XFMR, FS_SCADA, FS_CABLE; artifact SHA a08e77ef034e1ecea3e7cd05d13c825921b54d610fca9de8651ebda8e857082d</x:v>
      </x:c>
      <x:c r="F15" s="49" t="str">
        <x:v>canonical neighboring cell</x:v>
      </x:c>
      <x:c r="G15" s="49" t="str">
        <x:v>candidate_curve_and_method</x:v>
      </x:c>
      <x:c r="H15" s="49" t="str">
        <x:v>flood_inundation_contact</x:v>
      </x:c>
      <x:c r="I15" s="49" t="str">
        <x:v>T3_engineering_proxy_or_adjacent_empirical</x:v>
      </x:c>
      <x:c r="J15" s="49" t="str">
        <x:v>adjacent</x:v>
      </x:c>
      <x:c r="K15" s="49" t="str">
        <x:v>partial</x:v>
      </x:c>
      <x:c r="L15" s="49" t="str">
        <x:v>deterministic T3 electrical depth-damage records and T2 local-datum transform</x:v>
      </x:c>
      <x:c r="M15" s="49" t="str">
        <x:v>Reuse axis/method and retain exact ordinates as pinned audit candidates under explicit crosswalk.</x:v>
      </x:c>
      <x:c r="N15" s="49" t="str">
        <x:v>Silently copy numerics into flood_wind or call them claims-calibrated asset-neutral curves.</x:v>
      </x:c>
      <x:c r="O15" s="49" t="str">
        <x:v>defer_candidate_only</x:v>
      </x:c>
      <x:c r="P15" s="49" t="str">
        <x:v>reviewed</x:v>
      </x:c>
      <x:c r="Q15" s="49" t="str">
        <x:v>Canonical inside flood_solar; not runtime-approved for flood_wind.</x:v>
      </x:c>
    </x:row>
    <x:row r="16" ht="42" customHeight="1">
      <x:c r="A16" s="49" t="str">
        <x:v>LEG-FW-001</x:v>
      </x:c>
      <x:c r="B16" s="49" t="str">
        <x:v>Hazard Modeling flood/wind M3 greenfield consumer implementation.</x:v>
      </x:c>
      <x:c r="C16" s="49" t="str">
        <x:v>Hazard_modeling/Notebooks/flood/wind_farm/m3_damage/01_damage.py</x:v>
      </x:c>
      <x:c r="D16" s="96" t="str">
        <x:v>2026-07-28</x:v>
      </x:c>
      <x:c r="E16" s="49" t="str">
        <x:v>lines 65-84, dr(), loss assembly, vendored object</x:v>
      </x:c>
      <x:c r="F16" s="49" t="str">
        <x:v>consumer code</x:v>
      </x:c>
      <x:c r="G16" s="49" t="str">
        <x:v>rejected</x:v>
      </x:c>
      <x:c r="H16" s="49" t="str">
        <x:v>flood_inundation_contact</x:v>
      </x:c>
      <x:c r="I16" s="49" t="str">
        <x:v>T4_placeholder_or_expert_judgment</x:v>
      </x:c>
      <x:c r="J16" s="49" t="str">
        <x:v>partial</x:v>
      </x:c>
      <x:c r="K16" s="49" t="str">
        <x:v>none</x:v>
      </x:c>
      <x:c r="L16" s="49" t="str">
        <x:v>four hardcoded anchored logistics and fixed seven-bucket project shares</x:v>
      </x:c>
      <x:c r="M16" s="49" t="str">
        <x:v>Freeze formulas and vectors as migration characterization fixtures.</x:v>
      </x:c>
      <x:c r="N16" s="49" t="str">
        <x:v>Use as scientific calibration, value basis, governed artifact, or fallback.</x:v>
      </x:c>
      <x:c r="O16" s="49" t="str">
        <x:v>reject_runtime_retain_audit</x:v>
      </x:c>
      <x:c r="P16" s="49" t="str">
        <x:v>reviewed</x:v>
      </x:c>
      <x:c r="Q16" s="49" t="str">
        <x:v>Hazard commit d876ef7190ef6baf7339cb32cb95a77bde89af4d; blob 1c50b845064a1f168090bfe3180bf23779375d90; SHA-256 b45fba70544d348638be4f3ad6af65193a272bbe2b4b25098128fa8b810a159e.</x:v>
      </x:c>
    </x:row>
    <x:row r="17" ht="42" customHeight="1">
      <x:c r="A17" s="49" t="str">
        <x:v>LEG-FW-002</x:v>
      </x:c>
      <x:c r="B17" s="49" t="str">
        <x:v>Hazard Modeling flood/wind M4 independent coastal flood reconstruction.</x:v>
      </x:c>
      <x:c r="C17" s="49" t="str">
        <x:v>Hazard_modeling/Notebooks/flood/wind_farm/m4_loss_metrics/01_loss_metrics.py</x:v>
      </x:c>
      <x:c r="D17" s="96" t="str">
        <x:v>2026-07-28</x:v>
      </x:c>
      <x:c r="E17" s="49" t="str">
        <x:v>lines 204-245 and output/compound sections</x:v>
      </x:c>
      <x:c r="F17" s="49" t="str">
        <x:v>consumer code</x:v>
      </x:c>
      <x:c r="G17" s="49" t="str">
        <x:v>rejected</x:v>
      </x:c>
      <x:c r="H17" s="49" t="str">
        <x:v>flood_inundation_contact</x:v>
      </x:c>
      <x:c r="I17" s="49" t="str">
        <x:v>T4_placeholder_or_expert_judgment</x:v>
      </x:c>
      <x:c r="J17" s="49" t="str">
        <x:v>partial</x:v>
      </x:c>
      <x:c r="K17" s="49" t="str">
        <x:v>none</x:v>
      </x:c>
      <x:c r="L17" s="49" t="str">
        <x:v>re-hardcoded CAPEX7 and SURGE_CURVE with aggregated max-combine logic</x:v>
      </x:c>
      <x:c r="M17" s="49" t="str">
        <x:v>Include in future migration/bypass tests.</x:v>
      </x:c>
      <x:c r="N17" s="49" t="str">
        <x:v>Assume replacing M3 alone removes local curves or validates compound aggregation.</x:v>
      </x:c>
      <x:c r="O17" s="49" t="str">
        <x:v>reject_runtime_retain_audit</x:v>
      </x:c>
      <x:c r="P17" s="49" t="str">
        <x:v>reviewed</x:v>
      </x:c>
      <x:c r="Q17" s="49" t="str">
        <x:v>Hazard commit d876ef7190ef6baf7339cb32cb95a77bde89af4d; blob 11a28fd72557847dd2fe12a48bdc5972d9f58352; SHA-256 7f91344b4495a2899be6475350728dd8d5f114052270f6221e2c4c7b82f7adfa.</x:v>
      </x:c>
    </x:row>
    <x:row r="18" ht="42" customHeight="1">
      <x:c r="A18" s="49" t="str">
        <x:v>GOVERNANCE_CONTRACT</x:v>
      </x:c>
      <x:c r="B18" s="49" t="str">
        <x:v>Damage Modeling method, contracts, and damage-curve skill governance.</x:v>
      </x:c>
      <x:c r="C18" s="49" t="str">
        <x:v>docs/method/standards/00_index.md</x:v>
      </x:c>
      <x:c r="D18" s="96" t="str">
        <x:v>2026-07-28</x:v>
      </x:c>
      <x:c r="E18" s="49" t="str">
        <x:v>standards 02, 07, 08, 18, 20; versioning and capability contracts; fail-closed workflow</x:v>
      </x:c>
      <x:c r="F18" s="49" t="str">
        <x:v>internal governance control</x:v>
      </x:c>
      <x:c r="G18" s="49" t="str">
        <x:v>governance_rule</x:v>
      </x:c>
      <x:c r="H18" s="49" t="str">
        <x:v>all_shared</x:v>
      </x:c>
      <x:c r="I18" s="49" t="str">
        <x:v>T4_placeholder_or_expert_judgment</x:v>
      </x:c>
      <x:c r="J18" s="49" t="str">
        <x:v>direct</x:v>
      </x:c>
      <x:c r="K18" s="49" t="str">
        <x:v>direct</x:v>
      </x:c>
      <x:c r="L18" s="49" t="str">
        <x:v>cell structure provenance compatibility versioning and withholding rules</x:v>
      </x:c>
      <x:c r="M18" s="49" t="str">
        <x:v>Control this package and release gates.</x:v>
      </x:c>
      <x:c r="N18" s="49" t="str">
        <x:v>Serve as scientific calibration.</x:v>
      </x:c>
      <x:c r="O18" s="49" t="str">
        <x:v>adopt</x:v>
      </x:c>
      <x:c r="P18" s="49" t="str">
        <x:v>reviewed</x:v>
      </x:c>
      <x:c r="Q18" s="49" t="str">
        <x:v>Stable internal governance source.</x:v>
      </x:c>
    </x:row>
    <x:row r="19" ht="42" customHeight="1">
      <x:c r="A19" s="49" t="str">
        <x:v>SHARED_SUBSTRATE</x:v>
      </x:c>
      <x:c r="B19" s="49" t="str">
        <x:v>Flood-electrical non-runtime shared component substrate v0.1.</x:v>
      </x:c>
      <x:c r="C19" s="49" t="str">
        <x:v>docs/method/shared_components/flood_electrical/README.md</x:v>
      </x:c>
      <x:c r="D19" s="96" t="str">
        <x:v>2026-07-28</x:v>
      </x:c>
      <x:c r="E19" s="49" t="str">
        <x:v>catalog and binding rules</x:v>
      </x:c>
      <x:c r="F19" s="49" t="str">
        <x:v>internal method reference</x:v>
      </x:c>
      <x:c r="G19" s="49" t="str">
        <x:v>component_identity_and_binding</x:v>
      </x:c>
      <x:c r="H19" s="49" t="str">
        <x:v>all_shared</x:v>
      </x:c>
      <x:c r="I19" s="49" t="str">
        <x:v>T4_placeholder_or_expert_judgment</x:v>
      </x:c>
      <x:c r="J19" s="49" t="str">
        <x:v>direct</x:v>
      </x:c>
      <x:c r="K19" s="49" t="str">
        <x:v>direct</x:v>
      </x:c>
      <x:c r="L19" s="49" t="str">
        <x:v>asset-neutral vocabulary compatibility rules and non-runtime boundary</x:v>
      </x:c>
      <x:c r="M19" s="49" t="str">
        <x:v>Bind proposed flood_wind failure units to common concepts.</x:v>
      </x:c>
      <x:c r="N19" s="49" t="str">
        <x:v>Populate a curve emit or imply runtime approval.</x:v>
      </x:c>
      <x:c r="O19" s="49" t="str">
        <x:v>adopt</x:v>
      </x:c>
      <x:c r="P19" s="49" t="str">
        <x:v>reviewed</x:v>
      </x:c>
      <x:c r="Q19" s="49" t="str">
        <x:v>Governed by method standard 20.</x:v>
      </x:c>
    </x:row>
    <x:row r="20" ht="42" customHeight="1">
      <x:c r="A20" s="49" t="str">
        <x:v>BOUNDED_SEARCH_LOG</x:v>
      </x:c>
      <x:c r="B20" s="49" t="str">
        <x:v>Bounded evidence search log for flood_wind model v0.1/docs r1.</x:v>
      </x:c>
      <x:c r="C20" s="49" t="str">
        <x:v>docs/cells/flood_wind/proposed/BOUNDED_EVIDENCE_SEARCH_LOG_flood_wind__model_v0_1__docs_r1.md</x:v>
      </x:c>
      <x:c r="D20" s="96" t="str">
        <x:v>2026-07-28</x:v>
      </x:c>
      <x:c r="E20" s="49" t="str">
        <x:v>search surfaces endpoint tests limitations and refresh triggers</x:v>
      </x:c>
      <x:c r="F20" s="49" t="str">
        <x:v>governed search record</x:v>
      </x:c>
      <x:c r="G20" s="49" t="str">
        <x:v>negative_evidence_boundary</x:v>
      </x:c>
      <x:c r="H20" s="49" t="str">
        <x:v>flood_inundation_contact</x:v>
      </x:c>
      <x:c r="I20" s="49" t="str">
        <x:v>T3_engineering_proxy_or_adjacent_empirical</x:v>
      </x:c>
      <x:c r="J20" s="49" t="str">
        <x:v>direct</x:v>
      </x:c>
      <x:c r="K20" s="49" t="str">
        <x:v>direct</x:v>
      </x:c>
      <x:c r="L20" s="49" t="str">
        <x:v>bounded result that no public matched depth/state-to-disposition-to-same-unit-cost chain was located</x:v>
      </x:c>
      <x:c r="M20" s="49" t="str">
        <x:v>Support NO_RUNTIME_CURVE within the recorded search boundary.</x:v>
      </x:c>
      <x:c r="N20" s="49" t="str">
        <x:v>Claim universal absence across private non-English unindexed or later evidence.</x:v>
      </x:c>
      <x:c r="O20" s="49" t="str">
        <x:v>adopt_with_limits</x:v>
      </x:c>
      <x:c r="P20" s="49" t="str">
        <x:v>reviewed</x:v>
      </x:c>
      <x:c r="Q20" s="49" t="str">
        <x:v>Negative finding is bounded.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50" hidden="0" customWidth="1"/>
    <x:col min="5" max="5" width="24" hidden="0" customWidth="1"/>
    <x:col min="6" max="6" width="34" hidden="0" customWidth="1"/>
    <x:col min="7" max="7" width="30" hidden="0" customWidth="1"/>
    <x:col min="8" max="8" width="54" hidden="0" customWidth="1"/>
    <x:col min="9" max="9" width="22" hidden="0" customWidth="1"/>
    <x:col min="10" max="10" width="42" hidden="0" customWidth="1"/>
  </x:cols>
  <x:sheetData>
    <x:row r="1" ht="30" customHeight="1">
      <x:c r="A1" s="3" t="str">
        <x:v>Parameter tier table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T2 method/value definitions, T3 candidates, and T4 governance/legacy controls remain distinct.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55" t="str">
        <x:v>parameter</x:v>
      </x:c>
      <x:c r="B5" s="56" t="str">
        <x:v>pathway_id</x:v>
      </x:c>
      <x:c r="C5" s="56" t="str">
        <x:v>curve_id</x:v>
      </x:c>
      <x:c r="D5" s="56" t="str">
        <x:v>value</x:v>
      </x:c>
      <x:c r="E5" s="56" t="str">
        <x:v>param_role</x:v>
      </x:c>
      <x:c r="F5" s="56" t="str">
        <x:v>tier</x:v>
      </x:c>
      <x:c r="G5" s="56" t="str">
        <x:v>source_ids</x:v>
      </x:c>
      <x:c r="H5" s="56" t="str">
        <x:v>reasoning</x:v>
      </x:c>
      <x:c r="I5" s="56" t="str">
        <x:v>status</x:v>
      </x:c>
      <x:c r="J5" s="57" t="str">
        <x:v>update_trigger</x:v>
      </x:c>
    </x:row>
    <x:row r="6" ht="42" customHeight="1">
      <x:c r="A6" s="49" t="str">
        <x:v>runtime_curve_count</x:v>
      </x:c>
      <x:c r="B6" s="49" t="str">
        <x:v>flood_inundation_contact</x:v>
      </x:c>
      <x:c r="C6" s="49" t="str">
        <x:v>none</x:v>
      </x:c>
      <x:c r="D6" s="49" t="n">
        <x:v>0</x:v>
      </x:c>
      <x:c r="E6" s="49" t="str">
        <x:v>capability</x:v>
      </x:c>
      <x:c r="F6" s="49" t="str">
        <x:v>T4_placeholder_or_expert_judgment</x:v>
      </x:c>
      <x:c r="G6" s="49" t="str">
        <x:v>GOVERNANCE_CONTRACT</x:v>
      </x:c>
      <x:c r="H6" s="49" t="str">
        <x:v>No economic DR record passed the audit.</x:v>
      </x:c>
      <x:c r="I6" s="49" t="str">
        <x:v>adopt</x:v>
      </x:c>
      <x:c r="J6" s="49" t="str">
        <x:v>Reviewed model v1.0 release.</x:v>
      </x:c>
    </x:row>
    <x:row r="7" ht="42" customHeight="1">
      <x:c r="A7" s="49" t="str">
        <x:v>local_depth_formula</x:v>
      </x:c>
      <x:c r="B7" s="49" t="str">
        <x:v>flood_inundation_contact</x:v>
      </x:c>
      <x:c r="C7" s="49" t="str">
        <x:v>none</x:v>
      </x:c>
      <x:c r="D7" s="49" t="str">
        <x:v>h_i=max(0,WSE-z_i_crit)</x:v>
      </x:c>
      <x:c r="E7" s="49" t="str">
        <x:v>axis_bridge</x:v>
      </x:c>
      <x:c r="F7" s="49" t="str">
        <x:v>T2_public_lab_standard_or_physics</x:v>
      </x:c>
      <x:c r="G7" s="49" t="str">
        <x:v>FW-S005;FW-S006;FW-S007;FW-S010</x:v>
      </x:c>
      <x:c r="H7" s="49" t="str">
        <x:v>Component elevation and critical-depth method are source-supported.</x:v>
      </x:c>
      <x:c r="I7" s="49" t="str">
        <x:v>adopt</x:v>
      </x:c>
      <x:c r="J7" s="49" t="str">
        <x:v>A stronger equipment-specific demand measure is validated.</x:v>
      </x:c>
    </x:row>
    <x:row r="8" ht="42" customHeight="1">
      <x:c r="A8" s="49" t="str">
        <x:v>runtime_axis_valid_range_m</x:v>
      </x:c>
      <x:c r="B8" s="49" t="str">
        <x:v>flood_inundation_contact</x:v>
      </x:c>
      <x:c r="C8" s="49" t="str">
        <x:v>none</x:v>
      </x:c>
      <x:c r="D8" s="49" t="str">
        <x:v>WITHHELD_NO_RUNTIME_CURVE</x:v>
      </x:c>
      <x:c r="E8" s="49" t="str">
        <x:v>axis</x:v>
      </x:c>
      <x:c r="F8" s="49" t="str">
        <x:v>T3_engineering_proxy_or_adjacent_empirical</x:v>
      </x:c>
      <x:c r="G8" s="49" t="str">
        <x:v>GOVERNANCE_CONTRACT</x:v>
      </x:c>
      <x:c r="H8" s="49" t="str">
        <x:v>The candidate solar grid spans 0-2 m but flood_wind has no approved response domain.</x:v>
      </x:c>
      <x:c r="I8" s="49" t="str">
        <x:v>withhold</x:v>
      </x:c>
      <x:c r="J8" s="49" t="str">
        <x:v>A numeric record is qualified.</x:v>
      </x:c>
    </x:row>
    <x:row r="9" ht="42" customHeight="1">
      <x:c r="A9" s="49" t="str">
        <x:v>FS_SWG_candidate_points_m_dr</x:v>
      </x:c>
      <x:c r="B9" s="49" t="str">
        <x:v>flood_inundation_contact</x:v>
      </x:c>
      <x:c r="C9" s="49" t="str">
        <x:v>FS_SWG_CANDIDATE_ONLY</x:v>
      </x:c>
      <x:c r="D9" s="49" t="str">
        <x:v>[[0,0],[0.02,0.10],[0.05,0.40],[0.15,0.85],[0.30,1],[0.60,1],[1,1],[1.5,1],[2,1]]</x:v>
      </x:c>
      <x:c r="E9" s="49" t="str">
        <x:v>curve_fit_shape</x:v>
      </x:c>
      <x:c r="F9" s="49" t="str">
        <x:v>T3_engineering_proxy_or_adjacent_empirical</x:v>
      </x:c>
      <x:c r="G9" s="49" t="str">
        <x:v>FW-S010</x:v>
      </x:c>
      <x:c r="H9" s="49" t="str">
        <x:v>Pinned canonical flood_solar engineering proxy; compatibility and economic validation remain open.</x:v>
      </x:c>
      <x:c r="I9" s="49" t="str">
        <x:v>audit_only</x:v>
      </x:c>
      <x:c r="J9" s="49" t="str">
        <x:v>Exact switchgear applicability and validation pass.</x:v>
      </x:c>
    </x:row>
    <x:row r="10" ht="42" customHeight="1">
      <x:c r="A10" s="49" t="str">
        <x:v>FS_XFMR_candidate_status</x:v>
      </x:c>
      <x:c r="B10" s="49" t="str">
        <x:v>flood_inundation_contact</x:v>
      </x:c>
      <x:c r="C10" s="49" t="str">
        <x:v>FS_XFMR_CANDIDATE_ONLY</x:v>
      </x:c>
      <x:c r="D10" s="49" t="str">
        <x:v>REJECT_DIRECT_REUSE</x:v>
      </x:c>
      <x:c r="E10" s="49" t="str">
        <x:v>curve_fit_shape</x:v>
      </x:c>
      <x:c r="F10" s="49" t="str">
        <x:v>T3_engineering_proxy_or_adjacent_empirical</x:v>
      </x:c>
      <x:c r="G10" s="49" t="str">
        <x:v>FW-S010</x:v>
      </x:c>
      <x:c r="H10" s="49" t="str">
        <x:v>Main value and control/terminal datum are not dependency-safe.</x:v>
      </x:c>
      <x:c r="I10" s="49" t="str">
        <x:v>reject</x:v>
      </x:c>
      <x:c r="J10" s="49" t="str">
        <x:v>Transformer main/auxiliary state model passes.</x:v>
      </x:c>
    </x:row>
    <x:row r="11" ht="42" customHeight="1">
      <x:c r="A11" s="49" t="str">
        <x:v>FS_SCADA_candidate_status</x:v>
      </x:c>
      <x:c r="B11" s="49" t="str">
        <x:v>flood_inundation_contact</x:v>
      </x:c>
      <x:c r="C11" s="49" t="str">
        <x:v>FS_SCADA_CANDIDATE_ONLY</x:v>
      </x:c>
      <x:c r="D11" s="49" t="str">
        <x:v>PARTIAL_SEMANTIC_MATCH</x:v>
      </x:c>
      <x:c r="E11" s="49" t="str">
        <x:v>curve_fit_shape</x:v>
      </x:c>
      <x:c r="F11" s="49" t="str">
        <x:v>T3_engineering_proxy_or_adjacent_empirical</x:v>
      </x:c>
      <x:c r="G11" s="49" t="str">
        <x:v>FW-S010</x:v>
      </x:c>
      <x:c r="H11" s="49" t="str">
        <x:v>Plant monitoring does not equal substation protection/control.</x:v>
      </x:c>
      <x:c r="I11" s="49" t="str">
        <x:v>audit_only</x:v>
      </x:c>
      <x:c r="J11" s="49" t="str">
        <x:v>Equipment crosswalk and cost evidence pass.</x:v>
      </x:c>
    </x:row>
    <x:row r="12" ht="42" customHeight="1">
      <x:c r="A12" s="49" t="str">
        <x:v>FS_CABLE_candidate_status</x:v>
      </x:c>
      <x:c r="B12" s="49" t="str">
        <x:v>flood_inundation_contact</x:v>
      </x:c>
      <x:c r="C12" s="49" t="str">
        <x:v>FS_CABLE_CANDIDATE_ONLY</x:v>
      </x:c>
      <x:c r="D12" s="49" t="str">
        <x:v>MECHANISM_ONLY</x:v>
      </x:c>
      <x:c r="E12" s="49" t="str">
        <x:v>curve_fit_shape</x:v>
      </x:c>
      <x:c r="F12" s="49" t="str">
        <x:v>T3_engineering_proxy_or_adjacent_empirical</x:v>
      </x:c>
      <x:c r="G12" s="49" t="str">
        <x:v>FW-S007;FW-S010</x:v>
      </x:c>
      <x:c r="H12" s="49" t="str">
        <x:v>Wind MV cable/terminations and solar AC/DC rollup differ.</x:v>
      </x:c>
      <x:c r="I12" s="49" t="str">
        <x:v>audit_only</x:v>
      </x:c>
      <x:c r="J12" s="49" t="str">
        <x:v>Construction-specific disposition/value evidence passes.</x:v>
      </x:c>
    </x:row>
    <x:row r="13" ht="42" customHeight="1">
      <x:c r="A13" s="49" t="str">
        <x:v>reference_external_electrical_value_usd_per_kw</x:v>
      </x:c>
      <x:c r="B13" s="49" t="str">
        <x:v>all_shared</x:v>
      </x:c>
      <x:c r="C13" s="49" t="str">
        <x:v>none</x:v>
      </x:c>
      <x:c r="D13" s="49" t="n">
        <x:v>72</x:v>
      </x:c>
      <x:c r="E13" s="49" t="str">
        <x:v>value_rollup</x:v>
      </x:c>
      <x:c r="F13" s="49" t="str">
        <x:v>T2_public_lab_standard_or_physics</x:v>
      </x:c>
      <x:c r="G13" s="49" t="str">
        <x:v>FW-S008</x:v>
      </x:c>
      <x:c r="H13" s="49" t="str">
        <x:v>CWER 2024 mixed collection/substation row.</x:v>
      </x:c>
      <x:c r="I13" s="49" t="str">
        <x:v>adopt_with_limits</x:v>
      </x:c>
      <x:c r="J13" s="49" t="str">
        <x:v>New value vintage or site split.</x:v>
      </x:c>
    </x:row>
    <x:row r="14" ht="42" customHeight="1">
      <x:c r="A14" s="49" t="str">
        <x:v>reference_foundation_value_usd_per_kw</x:v>
      </x:c>
      <x:c r="B14" s="49" t="str">
        <x:v>all_shared</x:v>
      </x:c>
      <x:c r="C14" s="49" t="str">
        <x:v>none</x:v>
      </x:c>
      <x:c r="D14" s="49" t="n">
        <x:v>120</x:v>
      </x:c>
      <x:c r="E14" s="49" t="str">
        <x:v>value_rollup</x:v>
      </x:c>
      <x:c r="F14" s="49" t="str">
        <x:v>T2_public_lab_standard_or_physics</x:v>
      </x:c>
      <x:c r="G14" s="49" t="str">
        <x:v>FW-S008</x:v>
      </x:c>
      <x:c r="H14" s="49" t="str">
        <x:v>CWER 2024 foundation row; no flood DR inferred.</x:v>
      </x:c>
      <x:c r="I14" s="49" t="str">
        <x:v>adopt_with_limits</x:v>
      </x:c>
      <x:c r="J14" s="49" t="str">
        <x:v>New value vintage or site appraisal.</x:v>
      </x:c>
    </x:row>
    <x:row r="15" ht="42" customHeight="1">
      <x:c r="A15" s="49" t="str">
        <x:v>reference_civil_value_usd_per_kw</x:v>
      </x:c>
      <x:c r="B15" s="49" t="str">
        <x:v>all_shared</x:v>
      </x:c>
      <x:c r="C15" s="49" t="str">
        <x:v>none</x:v>
      </x:c>
      <x:c r="D15" s="49" t="n">
        <x:v>47</x:v>
      </x:c>
      <x:c r="E15" s="49" t="str">
        <x:v>value_rollup</x:v>
      </x:c>
      <x:c r="F15" s="49" t="str">
        <x:v>T2_public_lab_standard_or_physics</x:v>
      </x:c>
      <x:c r="G15" s="49" t="str">
        <x:v>FW-S008</x:v>
      </x:c>
      <x:c r="H15" s="49" t="str">
        <x:v>CWER 2024 mixed civil row; split required.</x:v>
      </x:c>
      <x:c r="I15" s="49" t="str">
        <x:v>adopt_with_limits</x:v>
      </x:c>
      <x:c r="J15" s="49" t="str">
        <x:v>New value vintage or site split.</x:v>
      </x:c>
    </x:row>
    <x:row r="16" ht="42" customHeight="1">
      <x:c r="A16" s="49" t="str">
        <x:v>reference_support_value_usd_per_kw</x:v>
      </x:c>
      <x:c r="B16" s="49" t="str">
        <x:v>all_shared</x:v>
      </x:c>
      <x:c r="C16" s="49" t="str">
        <x:v>none</x:v>
      </x:c>
      <x:c r="D16" s="49" t="n">
        <x:v>294</x:v>
      </x:c>
      <x:c r="E16" s="49" t="str">
        <x:v>support_rollup</x:v>
      </x:c>
      <x:c r="F16" s="49" t="str">
        <x:v>T2_public_lab_standard_or_physics</x:v>
      </x:c>
      <x:c r="G16" s="49" t="str">
        <x:v>FW-S008</x:v>
      </x:c>
      <x:c r="H16" s="49" t="str">
        <x:v>Fieldwork 100 plus transport 194; allocate once.</x:v>
      </x:c>
      <x:c r="I16" s="49" t="str">
        <x:v>adopt_with_limits</x:v>
      </x:c>
      <x:c r="J16" s="49" t="str">
        <x:v>Claims-backed allocation or value vintage.</x:v>
      </x:c>
    </x:row>
    <x:row r="17" ht="42" customHeight="1">
      <x:c r="A17" s="49" t="str">
        <x:v>unknown_ownership_baseline_inclusion</x:v>
      </x:c>
      <x:c r="B17" s="49" t="str">
        <x:v>all_shared</x:v>
      </x:c>
      <x:c r="C17" s="49" t="str">
        <x:v>none</x:v>
      </x:c>
      <x:c r="D17" s="49" t="str">
        <x:v>WITHHOLD</x:v>
      </x:c>
      <x:c r="E17" s="49" t="str">
        <x:v>governance_rule</x:v>
      </x:c>
      <x:c r="F17" s="49" t="str">
        <x:v>T4_placeholder_or_expert_judgment</x:v>
      </x:c>
      <x:c r="G17" s="49" t="str">
        <x:v>FW-S009;GOVERNANCE_CONTRACT</x:v>
      </x:c>
      <x:c r="H17" s="49" t="str">
        <x:v>Functional association is not ownership/value proof.</x:v>
      </x:c>
      <x:c r="I17" s="49" t="str">
        <x:v>adopt</x:v>
      </x:c>
      <x:c r="J17" s="49" t="str">
        <x:v>Executed agreement and value schedule resolve boundary.</x:v>
      </x:c>
    </x:row>
    <x:row r="18" ht="42" customHeight="1">
      <x:c r="A18" s="49" t="str">
        <x:v>missing_component_datum_behavior</x:v>
      </x:c>
      <x:c r="B18" s="49" t="str">
        <x:v>flood_inundation_contact</x:v>
      </x:c>
      <x:c r="C18" s="49" t="str">
        <x:v>none</x:v>
      </x:c>
      <x:c r="D18" s="49" t="str">
        <x:v>WITHHOLD_NOT_DRY</x:v>
      </x:c>
      <x:c r="E18" s="49" t="str">
        <x:v>governance_rule</x:v>
      </x:c>
      <x:c r="F18" s="49" t="str">
        <x:v>T4_placeholder_or_expert_judgment</x:v>
      </x:c>
      <x:c r="G18" s="49" t="str">
        <x:v>GOVERNANCE_CONTRACT</x:v>
      </x:c>
      <x:c r="H18" s="49" t="str">
        <x:v>Unknown exposure cannot become zero depth.</x:v>
      </x:c>
      <x:c r="I18" s="49" t="str">
        <x:v>adopt</x:v>
      </x:c>
      <x:c r="J18" s="49" t="str">
        <x:v>A validated uncertainty/default policy is approved.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18" hidden="0" customWidth="1"/>
  </x:cols>
  <x:sheetData>
    <x:row r="1" ht="30" customHeight="1">
      <x:c r="A1" s="3" t="str">
        <x:v>Workbook QA checks</x:v>
      </x:c>
      <x:c r="B1" s="3"/>
      <x:c r="C1" s="3"/>
      <x:c r="D1" s="3"/>
    </x:row>
    <x:row r="2" ht="32" customHeight="1">
      <x:c r="A2" s="7" t="str">
        <x:v>Formula-driven checks validate structure, reconciliation, candidate isolation, and legacy reproduction.</x:v>
      </x:c>
      <x:c r="B2" s="7"/>
      <x:c r="C2" s="7"/>
      <x:c r="D2" s="7"/>
    </x:row>
    <x:row r="4">
      <x:c r="A4" s="10" t="str">
        <x:v>Check</x:v>
      </x:c>
      <x:c r="B4" s="10" t="str">
        <x:v>Actual</x:v>
      </x:c>
      <x:c r="C4" s="10" t="str">
        <x:v>Expected</x:v>
      </x:c>
      <x:c r="D4" s="10" t="str">
        <x:v>Status</x:v>
      </x:c>
    </x:row>
    <x:row r="5">
      <x:c r="A5" s="67" t="str">
        <x:v>Curve records</x:v>
      </x:c>
      <x:c r="B5" s="68" t="n">
        <x:f>'README'!B9</x:f>
        <x:v>0</x:v>
      </x:c>
      <x:c r="C5" s="68" t="n">
        <x:v>0</x:v>
      </x:c>
      <x:c r="D5" s="69" t="str">
        <x:f>IF(B5=C5,"PASS","FAIL")</x:f>
        <x:v>PASS</x:v>
      </x:c>
    </x:row>
    <x:row r="6">
      <x:c r="A6" s="13" t="str">
        <x:v>Canonical runtime artifact</x:v>
      </x:c>
      <x:c r="B6" s="70" t="b">
        <x:f>'README'!B8</x:f>
        <x:v>0</x:v>
      </x:c>
      <x:c r="C6" s="97" t="b">
        <x:v>0</x:v>
      </x:c>
      <x:c r="D6" s="14" t="str">
        <x:f>IF(B6=C6,"PASS","FAIL")</x:f>
        <x:v>PASS</x:v>
      </x:c>
    </x:row>
    <x:row r="7">
      <x:c r="A7" s="13" t="str">
        <x:v>Physical reference USD/kW</x:v>
      </x:c>
      <x:c r="B7" s="70" t="n">
        <x:f>'README'!B20</x:f>
        <x:v>1623</x:v>
      </x:c>
      <x:c r="C7" s="70" t="n">
        <x:v>1623</x:v>
      </x:c>
      <x:c r="D7" s="14" t="str">
        <x:f>IF(B7=C7,"PASS","FAIL")</x:f>
        <x:v>PASS</x:v>
      </x:c>
    </x:row>
    <x:row r="8">
      <x:c r="A8" s="13" t="str">
        <x:v>Installed reference USD/kW</x:v>
      </x:c>
      <x:c r="B8" s="70" t="n">
        <x:f>'README'!B22</x:f>
        <x:v>1968</x:v>
      </x:c>
      <x:c r="C8" s="70" t="n">
        <x:v>1968</x:v>
      </x:c>
      <x:c r="D8" s="14" t="str">
        <x:f>IF(B8=C8,"PASS","FAIL")</x:f>
        <x:v>PASS</x:v>
      </x:c>
    </x:row>
    <x:row r="9">
      <x:c r="A9" s="13" t="str">
        <x:v>Failure-unit row count</x:v>
      </x:c>
      <x:c r="B9" s="70" t="n">
        <x:f>COUNTA('Failure_Units'!A6:A19)</x:f>
        <x:v>14</x:v>
      </x:c>
      <x:c r="C9" s="70" t="n">
        <x:v>14</x:v>
      </x:c>
      <x:c r="D9" s="14" t="str">
        <x:f>IF(B9=C9,"PASS","FAIL")</x:f>
        <x:v>PASS</x:v>
      </x:c>
    </x:row>
    <x:row r="10">
      <x:c r="A10" s="13" t="str">
        <x:v>Source-register row count</x:v>
      </x:c>
      <x:c r="B10" s="70" t="n">
        <x:f>COUNTA('Source_Register'!A6:A20)</x:f>
        <x:v>15</x:v>
      </x:c>
      <x:c r="C10" s="70" t="n">
        <x:v>15</x:v>
      </x:c>
      <x:c r="D10" s="14" t="str">
        <x:f>IF(B10=C10,"PASS","FAIL")</x:f>
        <x:v>PASS</x:v>
      </x:c>
    </x:row>
    <x:row r="11">
      <x:c r="A11" s="13" t="str">
        <x:v>Claim-register row count</x:v>
      </x:c>
      <x:c r="B11" s="70" t="n">
        <x:f>COUNTA('Claim_Register'!A6:A23)</x:f>
        <x:v>18</x:v>
      </x:c>
      <x:c r="C11" s="70" t="n">
        <x:v>18</x:v>
      </x:c>
      <x:c r="D11" s="14" t="str">
        <x:f>IF(B11=C11,"PASS","FAIL")</x:f>
        <x:v>PASS</x:v>
      </x:c>
    </x:row>
    <x:row r="12">
      <x:c r="A12" s="13" t="str">
        <x:v>Candidate negative increments</x:v>
      </x:c>
      <x:c r="B12" s="70" t="n">
        <x:f>'Candidate_Audit'!B17</x:f>
        <x:v>0</x:v>
      </x:c>
      <x:c r="C12" s="70" t="n">
        <x:v>0</x:v>
      </x:c>
      <x:c r="D12" s="14" t="str">
        <x:f>IF(B12=C12,"PASS","FAIL")</x:f>
        <x:v>PASS</x:v>
      </x:c>
    </x:row>
    <x:row r="13">
      <x:c r="A13" s="13" t="str">
        <x:v>Candidate runtime approvals</x:v>
      </x:c>
      <x:c r="B13" s="70" t="n">
        <x:f>'Candidate_Audit'!B18</x:f>
        <x:v>0</x:v>
      </x:c>
      <x:c r="C13" s="70" t="n">
        <x:v>0</x:v>
      </x:c>
      <x:c r="D13" s="14" t="str">
        <x:f>IF(B13=C13,"PASS","FAIL")</x:f>
        <x:v>PASS</x:v>
      </x:c>
    </x:row>
    <x:row r="14">
      <x:c r="A14" s="13" t="str">
        <x:v>Shared-crosswalk runtime approvals</x:v>
      </x:c>
      <x:c r="B14" s="70" t="n">
        <x:f>COUNTIF('Shared_Substrate'!K6:K11,TRUE)</x:f>
        <x:v>0</x:v>
      </x:c>
      <x:c r="C14" s="70" t="n">
        <x:v>0</x:v>
      </x:c>
      <x:c r="D14" s="14" t="str">
        <x:f>IF(B14=C14,"PASS","FAIL")</x:f>
        <x:v>PASS</x:v>
      </x:c>
    </x:row>
    <x:row r="15">
      <x:c r="A15" s="13" t="str">
        <x:v>Legacy combined maximum TIV</x:v>
      </x:c>
      <x:c r="B15" s="87" t="n">
        <x:f>'Legacy_Audit'!H10</x:f>
        <x:v>0.24574437665595447</x:v>
      </x:c>
      <x:c r="C15" s="87" t="n">
        <x:v>0.245744</x:v>
      </x:c>
      <x:c r="D15" s="14" t="str">
        <x:f>IF(ABS(B15-C15)&lt;0.000001,"PASS","FAIL")</x:f>
        <x:v>PASS</x:v>
      </x:c>
    </x:row>
    <x:row r="16">
      <x:c r="A16" s="13" t="str">
        <x:v>Illustrative local depth m</x:v>
      </x:c>
      <x:c r="B16" s="87" t="n">
        <x:f>'Exposure_Value'!H6</x:f>
        <x:v>0.20000000000000284</x:v>
      </x:c>
      <x:c r="C16" s="87" t="n">
        <x:v>0.2</x:v>
      </x:c>
      <x:c r="D16" s="14" t="str">
        <x:f>IF(ABS(B16-C16)&lt;0.000001,"PASS","FAIL")</x:f>
        <x:v>PASS</x:v>
      </x:c>
    </x:row>
    <x:row r="17">
      <x:c r="A17" s="16" t="str">
        <x:v>Datum mismatch/missing output blanks</x:v>
      </x:c>
      <x:c r="B17" s="71" t="n">
        <x:f>COUNTBLANK('Exposure_Value'!H8:H9)</x:f>
        <x:v>2</x:v>
      </x:c>
      <x:c r="C17" s="71" t="n">
        <x:v>2</x:v>
      </x:c>
      <x:c r="D17" s="17" t="str">
        <x:f>IF(B17=C17,"PASS","FAIL")</x:f>
        <x:v>PASS</x:v>
      </x:c>
    </x:row>
    <x:row r="20">
      <x:c r="A20" s="91" t="str">
        <x:v>Passed checks</x:v>
      </x:c>
      <x:c r="B20" s="91" t="n">
        <x:f>COUNTIF(D5:D17,"PASS")</x:f>
        <x:v>13</x:v>
      </x:c>
    </x:row>
    <x:row r="21">
      <x:c r="A21" s="91" t="str">
        <x:v>Total checks</x:v>
      </x:c>
      <x:c r="B21" s="91" t="n">
        <x:f>COUNTA(A5:A17)</x:f>
        <x:v>13</x:v>
      </x:c>
    </x:row>
    <x:row r="22">
      <x:c r="A22" s="91" t="str">
        <x:v>Overall</x:v>
      </x:c>
      <x:c r="B22" s="91" t="str">
        <x:f>IF(B20=B21,"PASS","FAIL")</x:f>
        <x:v>PASS</x:v>
      </x:c>
    </x:row>
  </x:sheetData>
  <x:mergeCells>
    <x:mergeCell ref="A1:D1"/>
    <x:mergeCell ref="A2:D2"/>
  </x:mergeCells>
  <x:conditionalFormatting sqref="D5:D17">
    <x:cfRule type="containsText" dxfId="7" priority="1" operator="containsText" text="PASS"/>
    <x:cfRule type="containsText" dxfId="8" priority="2" operator="containsText" text="FAIL"/>
  </x:conditionalFormatting>
  <x:conditionalFormatting sqref="B22:B22">
    <x:cfRule type="containsText" dxfId="9" priority="3" operator="containsText" text="PASS"/>
    <x:cfRule type="containsText" dxfId="10" priority="4" operator="containsText" text="FAIL"/>
  </x:conditionalFormatting>
  <x:pageMargins left="0.7" right="0.7" top="0.75" bottom="0.75" header="0.3" footer="0.3"/>
</x:worksheet>
</file>