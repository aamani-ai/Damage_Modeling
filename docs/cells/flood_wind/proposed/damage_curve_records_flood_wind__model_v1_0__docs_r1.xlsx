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67c77684b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da2ea0061064f3a"/>
    <x:sheet xmlns:r="http://schemas.openxmlformats.org/officeDocument/2006/relationships" name="Scope_Coverage" sheetId="2" r:id="R55b66096fcc049f3"/>
    <x:sheet xmlns:r="http://schemas.openxmlformats.org/officeDocument/2006/relationships" name="Hazus_Source" sheetId="3" r:id="R5a3c385c97c648a0"/>
    <x:sheet xmlns:r="http://schemas.openxmlformats.org/officeDocument/2006/relationships" name="Curve" sheetId="4" r:id="R5184f11dbe114bed"/>
    <x:sheet xmlns:r="http://schemas.openxmlformats.org/officeDocument/2006/relationships" name="Axis_Bridge" sheetId="5" r:id="Rc4e3d5e5575641ef"/>
    <x:sheet xmlns:r="http://schemas.openxmlformats.org/officeDocument/2006/relationships" name="Failure_Units" sheetId="6" r:id="R9ec99c7325114e3c"/>
    <x:sheet xmlns:r="http://schemas.openxmlformats.org/officeDocument/2006/relationships" name="Value_Crosswalk" sheetId="7" r:id="Rc5e6e345e8554505"/>
    <x:sheet xmlns:r="http://schemas.openxmlformats.org/officeDocument/2006/relationships" name="Old_vs_New" sheetId="8" r:id="R4b40c513f9474d45"/>
    <x:sheet xmlns:r="http://schemas.openxmlformats.org/officeDocument/2006/relationships" name="KATs" sheetId="9" r:id="R392b45dd18ee40c8"/>
    <x:sheet xmlns:r="http://schemas.openxmlformats.org/officeDocument/2006/relationships" name="Source_Register" sheetId="10" r:id="R3ecf7648854240c7"/>
    <x:sheet xmlns:r="http://schemas.openxmlformats.org/officeDocument/2006/relationships" name="Claim_Register" sheetId="11" r:id="R5462e24cdd3943e9"/>
    <x:sheet xmlns:r="http://schemas.openxmlformats.org/officeDocument/2006/relationships" name="Parameter_Tiers" sheetId="12" r:id="R00f0d20b13694954"/>
    <x:sheet xmlns:r="http://schemas.openxmlformats.org/officeDocument/2006/relationships" name="QA" sheetId="13" r:id="Ra1fd8657170b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56579"/>
      <x:name val="Carlito"/>
    </x:font>
    <x:font>
      <x:b/>
      <x:sz val="11"/>
      <x:color rgb="FFFFFFFF"/>
      <x:name val="Carlito"/>
    </x:font>
    <x:font>
      <x:sz val="10"/>
      <x:color rgb="FF26364A"/>
      <x:name val="Carlito"/>
    </x:font>
    <x:font>
      <x:b/>
      <x:sz val="11"/>
      <x:color rgb="FF26364A"/>
      <x:name val="Carlito"/>
    </x:font>
    <x:font>
      <x:b/>
      <x:sz val="10"/>
      <x:color rgb="FF19875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43B"/>
      </x:patternFill>
    </x:fill>
    <x:fill>
      <x:patternFill patternType="solid">
        <x:fgColor rgb="FFDCE8F7"/>
      </x:patternFill>
    </x:fill>
    <x:fill>
      <x:patternFill patternType="solid">
        <x:fgColor rgb="FF0F766E"/>
      </x:patternFill>
    </x:fill>
    <x:fill>
      <x:patternFill patternType="solid">
        <x:fgColor rgb="FFFCE8C5"/>
      </x:patternFill>
    </x:fill>
    <x:fill>
      <x:patternFill patternType="solid">
        <x:fgColor rgb="FFDCF3E5"/>
      </x:patternFill>
    </x:fill>
  </x:fills>
  <x:borders count="15">
    <x:border/>
    <x:border>
      <x:left style="thin">
        <x:color rgb="FFCFD8E3"/>
      </x:left>
      <x:top style="thin">
        <x:color rgb="FFCFD8E3"/>
      </x:top>
      <x:bottom style="thin">
        <x:color rgb="FFCFD8E3"/>
      </x:bottom>
    </x:border>
    <x:border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bottom style="thin">
        <x:color rgb="FFCFD8E3"/>
      </x:bottom>
    </x:border>
    <x:border>
      <x:top style="thin">
        <x:color rgb="FFCFD8E3"/>
      </x:top>
    </x:border>
    <x:border>
      <x:left style="thin">
        <x:color rgb="FFD19A2B"/>
      </x:left>
      <x:top style="thin">
        <x:color rgb="FFD19A2B"/>
      </x:top>
    </x:border>
    <x:border>
      <x:top style="thin">
        <x:color rgb="FFD19A2B"/>
      </x:top>
    </x:border>
    <x:border>
      <x:right style="thin">
        <x:color rgb="FFD19A2B"/>
      </x:right>
      <x:top style="thin">
        <x:color rgb="FFD19A2B"/>
      </x:top>
    </x:border>
    <x:border>
      <x:left style="thin">
        <x:color rgb="FFD19A2B"/>
      </x:left>
    </x:border>
    <x:border>
      <x:right style="thin">
        <x:color rgb="FFD19A2B"/>
      </x:right>
    </x:border>
    <x:border>
      <x:left style="thin">
        <x:color rgb="FFD19A2B"/>
      </x:left>
      <x:bottom style="thin">
        <x:color rgb="FFD19A2B"/>
      </x:bottom>
    </x:border>
    <x:border>
      <x:bottom style="thin">
        <x:color rgb="FFD19A2B"/>
      </x:bottom>
    </x:border>
    <x:border>
      <x:right style="thin">
        <x:color rgb="FFD19A2B"/>
      </x:right>
      <x:bottom style="thin">
        <x:color rgb="FFD19A2B"/>
      </x:bottom>
    </x:border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/>
    <x:xf numFmtId="0" fontId="3" fillId="4" borderId="14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c733759614e00" /><Relationship Type="http://schemas.openxmlformats.org/officeDocument/2006/relationships/theme" Target="/xl/theme/theme1.xml" Id="Rc1529c8a2a234647" /><Relationship Type="http://schemas.microsoft.com/office/2022/11/relationships/FeaturePropertyBag" Target="/xl/featurePropertyBag/featurePropertyBag.xml" Id="R78a2ae2e8b954766" /><Relationship Type="http://schemas.openxmlformats.org/officeDocument/2006/relationships/sharedStrings" Target="/xl/sharedStrings.xml" Id="R5b1613ef97c64a37" /><Relationship Type="http://schemas.openxmlformats.org/officeDocument/2006/relationships/worksheet" Target="/xl/worksheets/sheet1.xml" Id="Rbda2ea0061064f3a" /><Relationship Type="http://schemas.openxmlformats.org/officeDocument/2006/relationships/worksheet" Target="/xl/worksheets/sheet2.xml" Id="R55b66096fcc049f3" /><Relationship Type="http://schemas.openxmlformats.org/officeDocument/2006/relationships/worksheet" Target="/xl/worksheets/sheet3.xml" Id="R5a3c385c97c648a0" /><Relationship Type="http://schemas.openxmlformats.org/officeDocument/2006/relationships/worksheet" Target="/xl/worksheets/sheet4.xml" Id="R5184f11dbe114bed" /><Relationship Type="http://schemas.openxmlformats.org/officeDocument/2006/relationships/worksheet" Target="/xl/worksheets/sheet5.xml" Id="Rc4e3d5e5575641ef" /><Relationship Type="http://schemas.openxmlformats.org/officeDocument/2006/relationships/worksheet" Target="/xl/worksheets/sheet6.xml" Id="R9ec99c7325114e3c" /><Relationship Type="http://schemas.openxmlformats.org/officeDocument/2006/relationships/worksheet" Target="/xl/worksheets/sheet7.xml" Id="Rc5e6e345e8554505" /><Relationship Type="http://schemas.openxmlformats.org/officeDocument/2006/relationships/worksheet" Target="/xl/worksheets/sheet8.xml" Id="R4b40c513f9474d45" /><Relationship Type="http://schemas.openxmlformats.org/officeDocument/2006/relationships/worksheet" Target="/xl/worksheets/sheet9.xml" Id="R392b45dd18ee40c8" /><Relationship Type="http://schemas.openxmlformats.org/officeDocument/2006/relationships/worksheet" Target="/xl/worksheets/sheet10.xml" Id="R3ecf7648854240c7" /><Relationship Type="http://schemas.openxmlformats.org/officeDocument/2006/relationships/worksheet" Target="/xl/worksheets/sheet11.xml" Id="R5462e24cdd3943e9" /><Relationship Type="http://schemas.openxmlformats.org/officeDocument/2006/relationships/worksheet" Target="/xl/worksheets/sheet12.xml" Id="R00f0d20b13694954" /><Relationship Type="http://schemas.openxmlformats.org/officeDocument/2006/relationships/worksheet" Target="/xl/worksheets/sheet13.xml" Id="Ra1fd8657170b4f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  <x:col min="3" max="3" width="66" hidden="0" customWidth="1"/>
    <x:col min="4" max="4" width="10" hidden="0" customWidth="1"/>
    <x:col min="5" max="5" width="28" hidden="0" customWidth="1"/>
    <x:col min="6" max="6" width="62" hidden="0" customWidth="1"/>
  </x:cols>
  <x:sheetData>
    <x:row r="1" ht="26" customHeight="1">
      <x:c r="A1" s="2" t="str">
        <x:v>Flood × onshore wind — model-v1 review workbook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Noncanonical screening proposal • one source-native whole-substation atom • no Hazard cutover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Identity</x:v>
      </x:c>
      <x:c r="B4" s="14" t="str">
        <x:v>Value</x:v>
      </x:c>
      <x:c r="C4" s="15" t="str">
        <x:v>Invariant</x:v>
      </x:c>
      <x:c r="D4" t="str">
        <x:v>Order</x:v>
      </x:c>
      <x:c r="E4" t="str">
        <x:v>Sheet</x:v>
      </x:c>
      <x:c r="F4" t="str">
        <x:v>Purpose</x:v>
      </x:c>
    </x:row>
    <x:row r="5">
      <x:c r="A5" s="27" t="str">
        <x:v>Cell ID</x:v>
      </x:c>
      <x:c r="B5" s="27" t="str">
        <x:v>flood_wind</x:v>
      </x:c>
      <x:c r="C5" s="27" t="str">
        <x:v>hazard × asset project-management cell</x:v>
      </x:c>
      <x:c r="D5" t="n">
        <x:v>1</x:v>
      </x:c>
      <x:c r="E5" t="str">
        <x:v>README</x:v>
      </x:c>
      <x:c r="F5" t="str">
        <x:v>Identity, status, and map</x:v>
      </x:c>
    </x:row>
    <x:row r="6">
      <x:c r="A6" s="28" t="str">
        <x:v>Damage code</x:v>
      </x:c>
      <x:c r="B6" s="28" t="str">
        <x:v>FLOOD_WIND_FEMA_HAZUS_SUBSTATION_SCREENING_V1</x:v>
      </x:c>
      <x:c r="C6" s="28" t="str">
        <x:v>review implementation only</x:v>
      </x:c>
      <x:c r="D6" t="n">
        <x:v>2</x:v>
      </x:c>
      <x:c r="E6" t="str">
        <x:v>Scope_Coverage</x:v>
      </x:c>
      <x:c r="F6" t="str">
        <x:v>Boundary and coverage</x:v>
      </x:c>
    </x:row>
    <x:row r="7">
      <x:c r="A7" s="28" t="str">
        <x:v>Semantic model</x:v>
      </x:c>
      <x:c r="B7" s="28" t="str">
        <x:v>model v1.0</x:v>
      </x:c>
      <x:c r="C7" s="28" t="str">
        <x:v>first partial numerical proposal</x:v>
      </x:c>
      <x:c r="D7" t="n">
        <x:v>3</x:v>
      </x:c>
      <x:c r="E7" t="str">
        <x:v>Hazus_Source</x:v>
      </x:c>
      <x:c r="F7" t="str">
        <x:v>Exact FEMA table transcription</x:v>
      </x:c>
    </x:row>
    <x:row r="8">
      <x:c r="A8" s="28" t="str">
        <x:v>Documentation</x:v>
      </x:c>
      <x:c r="B8" s="28" t="str">
        <x:v>docs r1</x:v>
      </x:c>
      <x:c r="C8" s="28" t="str">
        <x:v>governed proof trail</x:v>
      </x:c>
      <x:c r="D8" t="n">
        <x:v>4</x:v>
      </x:c>
      <x:c r="E8" t="str">
        <x:v>Curve</x:v>
      </x:c>
      <x:c r="F8" t="str">
        <x:v>Curve and interpolation examples</x:v>
      </x:c>
    </x:row>
    <x:row r="9">
      <x:c r="A9" s="28" t="str">
        <x:v>Model grade</x:v>
      </x:c>
      <x:c r="B9" s="28" t="str">
        <x:v>screening_source_native_legacy_fema_proxy</x:v>
      </x:c>
      <x:c r="C9" s="28" t="str">
        <x:v>legacy FEMA screening sensitivity</x:v>
      </x:c>
      <x:c r="D9" t="n">
        <x:v>5</x:v>
      </x:c>
      <x:c r="E9" t="str">
        <x:v>Axis_Bridge</x:v>
      </x:c>
      <x:c r="F9" t="str">
        <x:v>Datum-safe WSE bridge</x:v>
      </x:c>
    </x:row>
    <x:row r="10">
      <x:c r="A10" s="28" t="str">
        <x:v>Supported atom</x:v>
      </x:c>
      <x:c r="B10" s="28" t="str">
        <x:v>FW_HAZUS_GSU_SUBSTATION_ASSEMBLY</x:v>
      </x:c>
      <x:c r="C10" s="28" t="str">
        <x:v>whole substation, not a component curve</x:v>
      </x:c>
      <x:c r="D10" t="n">
        <x:v>6</x:v>
      </x:c>
      <x:c r="E10" t="str">
        <x:v>Failure_Units</x:v>
      </x:c>
      <x:c r="F10" t="str">
        <x:v>Failure-unit coverage and withholding</x:v>
      </x:c>
    </x:row>
    <x:row r="11">
      <x:c r="A11" s="28" t="str">
        <x:v>Runtime curve count</x:v>
      </x:c>
      <x:c r="B11" s="28" t="n">
        <x:v>1</x:v>
      </x:c>
      <x:c r="C11" s="28" t="str">
        <x:v>exactly one source-native piecewise-linear record</x:v>
      </x:c>
      <x:c r="D11" t="n">
        <x:v>7</x:v>
      </x:c>
      <x:c r="E11" t="str">
        <x:v>Value_Crosswalk</x:v>
      </x:c>
      <x:c r="F11" t="str">
        <x:v>Value/denominator crosswalk</x:v>
      </x:c>
    </x:row>
    <x:row r="12">
      <x:c r="A12" s="28" t="str">
        <x:v>Canonical runtime artifact</x:v>
      </x:c>
      <x:c r="B12" s="29" t="b">
        <x:v>0</x:v>
      </x:c>
      <x:c r="C12" s="28" t="str">
        <x:v>must remain false</x:v>
      </x:c>
      <x:c r="D12" t="n">
        <x:v>8</x:v>
      </x:c>
      <x:c r="E12" t="str">
        <x:v>Old_vs_New</x:v>
      </x:c>
      <x:c r="F12" t="str">
        <x:v>v0.1 versus v1.0</x:v>
      </x:c>
    </x:row>
    <x:row r="13">
      <x:c r="A13" s="28" t="str">
        <x:v>Package inclusion</x:v>
      </x:c>
      <x:c r="B13" s="28" t="str">
        <x:v>not_included</x:v>
      </x:c>
      <x:c r="C13" s="28" t="str">
        <x:v>no package or consumer pin</x:v>
      </x:c>
      <x:c r="D13" t="n">
        <x:v>9</x:v>
      </x:c>
      <x:c r="E13" t="str">
        <x:v>KATs</x:v>
      </x:c>
      <x:c r="F13" t="str">
        <x:v>Executable test inventory</x:v>
      </x:c>
    </x:row>
    <x:row r="14">
      <x:c r="A14" s="28" t="str">
        <x:v>Scenario loss</x:v>
      </x:c>
      <x:c r="B14" s="28" t="str">
        <x:v>conditional</x:v>
      </x:c>
      <x:c r="C14" s="28" t="str">
        <x:v>same-substation value only after promotion</x:v>
      </x:c>
      <x:c r="D14" t="n">
        <x:v>10</x:v>
      </x:c>
      <x:c r="E14" t="str">
        <x:v>Source_Register</x:v>
      </x:c>
      <x:c r="F14" t="str">
        <x:v>Sources and transfer limits</x:v>
      </x:c>
    </x:row>
    <x:row r="15">
      <x:c r="A15" s="30" t="str">
        <x:v>Annual/tail metrics</x:v>
      </x:c>
      <x:c r="B15" s="30" t="str">
        <x:v>withheld</x:v>
      </x:c>
      <x:c r="C15" s="30" t="str">
        <x:v>owned by downstream consumer; prerequisites unmet</x:v>
      </x:c>
      <x:c r="D15" t="n">
        <x:v>11</x:v>
      </x:c>
      <x:c r="E15" t="str">
        <x:v>Claim_Register</x:v>
      </x:c>
      <x:c r="F15" t="str">
        <x:v>Governed claims</x:v>
      </x:c>
    </x:row>
    <x:row r="16">
      <x:c r="A16"/>
      <x:c r="B16"/>
      <x:c r="C16"/>
      <x:c r="D16" t="n">
        <x:v>12</x:v>
      </x:c>
      <x:c r="E16" t="str">
        <x:v>Parameter_Tiers</x:v>
      </x:c>
      <x:c r="F16" t="str">
        <x:v>Parameter evidence tiers</x:v>
      </x:c>
    </x:row>
    <x:row r="17">
      <x:c r="A17"/>
      <x:c r="B17"/>
      <x:c r="C17"/>
      <x:c r="D17" t="n">
        <x:v>13</x:v>
      </x:c>
      <x:c r="E17" t="str">
        <x:v>QA</x:v>
      </x:c>
      <x:c r="F17" t="str">
        <x:v>Formula-driven workbook QA</x:v>
      </x:c>
    </x:row>
    <x:row r="18" ht="32" customHeight="1">
      <x:c r="A18" s="41" t="str">
        <x:v>Decision guardrail: Hazus-MH 2.1 Table 7.9 is retained only as an explicit whole-substation screening sensitivity. Current Hazus 7.0 marks electric-power facilities mapping-only and disables those loss functions. No GSU component, turbine, collection, civil, foundation, scenario-loss, annual, or tail result is enabled by this workbook.</x:v>
      </x:c>
      <x:c r="B18" s="42"/>
      <x:c r="C18" s="42"/>
      <x:c r="D18" s="42"/>
      <x:c r="E18" s="42"/>
      <x:c r="F18" s="42"/>
      <x:c r="G18" s="42"/>
      <x:c r="H18" s="43"/>
    </x:row>
    <x:row r="19" ht="32" customHeight="1">
      <x:c r="A19" s="44"/>
      <x:c r="B19" s="45"/>
      <x:c r="C19" s="45"/>
      <x:c r="D19" s="45"/>
      <x:c r="E19" s="45"/>
      <x:c r="F19" s="45"/>
      <x:c r="G19" s="45"/>
      <x:c r="H19" s="46"/>
    </x:row>
    <x:row r="20" ht="32" customHeight="1">
      <x:c r="A20" s="47"/>
      <x:c r="B20" s="48"/>
      <x:c r="C20" s="48"/>
      <x:c r="D20" s="48"/>
      <x:c r="E20" s="48"/>
      <x:c r="F20" s="48"/>
      <x:c r="G20" s="48"/>
      <x:c r="H20" s="49"/>
    </x:row>
  </x:sheetData>
  <x:mergeCells>
    <x:mergeCell ref="A1:H1"/>
    <x:mergeCell ref="A2:H2"/>
    <x:mergeCell ref="A18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24" hidden="0" customWidth="1"/>
    <x:col min="4" max="4" width="58" hidden="0" customWidth="1"/>
    <x:col min="5" max="5" width="50" hidden="0" customWidth="1"/>
    <x:col min="6" max="6" width="34" hidden="0" customWidth="1"/>
    <x:col min="7" max="7" width="36" hidden="0" customWidth="1"/>
  </x:cols>
  <x:sheetData>
    <x:row r="1" ht="26" customHeight="1">
      <x:c r="A1" s="2" t="str">
        <x:v>Scope and coverage</x:v>
      </x:c>
      <x:c r="B1" s="2"/>
      <x:c r="C1" s="2"/>
      <x:c r="D1" s="2"/>
      <x:c r="E1" s="2"/>
      <x:c r="F1" s="2"/>
      <x:c r="G1" s="2"/>
    </x:row>
    <x:row r="2" ht="22" customHeight="1">
      <x:c r="A2" s="4" t="str">
        <x:v>What the v1 proposal does and does not cover</x:v>
      </x:c>
      <x:c r="B2" s="4"/>
      <x:c r="C2" s="4"/>
      <x:c r="D2" s="4"/>
      <x:c r="E2" s="4"/>
      <x:c r="F2" s="4"/>
      <x:c r="G2" s="4"/>
    </x:row>
    <x:row r="4">
      <x:c r="A4" s="13" t="str">
        <x:v>Layer</x:v>
      </x:c>
      <x:c r="B4" s="14" t="str">
        <x:v>Subject</x:v>
      </x:c>
      <x:c r="C4" s="14" t="str">
        <x:v>Status</x:v>
      </x:c>
      <x:c r="D4" s="14" t="str">
        <x:v>Reason / boundary</x:v>
      </x:c>
      <x:c r="E4" s="14" t="str">
        <x:v>Value basis</x:v>
      </x:c>
      <x:c r="F4" s="14" t="str">
        <x:v>Exposure grain</x:v>
      </x:c>
      <x:c r="G4" s="15" t="str">
        <x:v>Consumer treatment</x:v>
      </x:c>
    </x:row>
    <x:row r="5">
      <x:c r="A5" s="27" t="str">
        <x:v>Hazard</x:v>
      </x:c>
      <x:c r="B5" s="27" t="str">
        <x:v>Freshwater inundation contact</x:v>
      </x:c>
      <x:c r="C5" s="27" t="str">
        <x:v>conditional</x:v>
      </x:c>
      <x:c r="D5" s="27" t="str">
        <x:v>unprotected or internal post-bypass depth only</x:v>
      </x:c>
      <x:c r="E5" s="27" t="str">
        <x:v>n/a</x:v>
      </x:c>
      <x:c r="F5" s="27" t="str">
        <x:v>same substation</x:v>
      </x:c>
      <x:c r="G5" s="27" t="str">
        <x:v>pass exact pathway + conditions</x:v>
      </x:c>
    </x:row>
    <x:row r="6">
      <x:c r="A6" s="28" t="str">
        <x:v>Assembly</x:v>
      </x:c>
      <x:c r="B6" s="28" t="str">
        <x:v>Hazus whole substation</x:v>
      </x:c>
      <x:c r="C6" s="28" t="str">
        <x:v>conditional numeric</x:v>
      </x:c>
      <x:c r="D6" s="28" t="str">
        <x:v>legacy source-native atom; not component-calibrated</x:v>
      </x:c>
      <x:c r="E6" s="28" t="str">
        <x:v>full direct replacement value of same substation</x:v>
      </x:c>
      <x:c r="F6" s="28" t="str">
        <x:v>one physical GSU/substation</x:v>
      </x:c>
      <x:c r="G6" s="28" t="str">
        <x:v>DR only in proposal</x:v>
      </x:c>
    </x:row>
    <x:row r="7">
      <x:c r="A7" s="28" t="str">
        <x:v>Component</x:v>
      </x:c>
      <x:c r="B7" s="28" t="str">
        <x:v>GSU transformer / switchgear / controls / cables</x:v>
      </x:c>
      <x:c r="C7" s="28" t="str">
        <x:v>withheld not zero</x:v>
      </x:c>
      <x:c r="D7" s="28" t="str">
        <x:v>component repair-cost DR not supported</x:v>
      </x:c>
      <x:c r="E7" s="28" t="str">
        <x:v>same component value in future</x:v>
      </x:c>
      <x:c r="F7" s="28" t="str">
        <x:v>same component</x:v>
      </x:c>
      <x:c r="G7" s="28" t="str">
        <x:v>preserve null + reasons</x:v>
      </x:c>
    </x:row>
    <x:row r="8">
      <x:c r="A8" s="28" t="str">
        <x:v>Wind plant</x:v>
      </x:c>
      <x:c r="B8" s="28" t="str">
        <x:v>turbines / pad transformers / collection / civil / foundation</x:v>
      </x:c>
      <x:c r="C8" s="28" t="str">
        <x:v>withheld not zero</x:v>
      </x:c>
      <x:c r="D8" s="28" t="str">
        <x:v>outside the Hazus source atom</x:v>
      </x:c>
      <x:c r="E8" s="28" t="str">
        <x:v>same-unit split required</x:v>
      </x:c>
      <x:c r="F8" s="28" t="str">
        <x:v>unit / point / line</x:v>
      </x:c>
      <x:c r="G8" s="28" t="str">
        <x:v>preserve null + reasons</x:v>
      </x:c>
    </x:row>
    <x:row r="9">
      <x:c r="A9" s="28" t="str">
        <x:v>Protection</x:v>
      </x:c>
      <x:c r="B9" s="28" t="str">
        <x:v>barriers / elevation / sealing</x:v>
      </x:c>
      <x:c r="C9" s="28" t="str">
        <x:v>no multiplier</x:v>
      </x:c>
      <x:c r="D9" s="28" t="str">
        <x:v>handled once in delivered internal depth</x:v>
      </x:c>
      <x:c r="E9" s="28" t="str">
        <x:v>n/a</x:v>
      </x:c>
      <x:c r="F9" s="28" t="str">
        <x:v>site condition</x:v>
      </x:c>
      <x:c r="G9" s="28" t="str">
        <x:v>no silent credit</x:v>
      </x:c>
    </x:row>
    <x:row r="10">
      <x:c r="A10" s="28" t="str">
        <x:v>Water quality</x:v>
      </x:c>
      <x:c r="B10" s="28" t="str">
        <x:v>salt / brackish / contaminated / unknown</x:v>
      </x:c>
      <x:c r="C10" s="28" t="str">
        <x:v>withheld</x:v>
      </x:c>
      <x:c r="D10" s="28" t="str">
        <x:v>outside screening domain</x:v>
      </x:c>
      <x:c r="E10" s="28" t="str">
        <x:v>n/a</x:v>
      </x:c>
      <x:c r="F10" s="28" t="str">
        <x:v>event conditioner</x:v>
      </x:c>
      <x:c r="G10" s="28" t="str">
        <x:v>no freshwater fallback</x:v>
      </x:c>
    </x:row>
    <x:row r="11">
      <x:c r="A11" s="28" t="str">
        <x:v>Scenario loss</x:v>
      </x:c>
      <x:c r="B11" s="28" t="str">
        <x:v>DR × value × exposure</x:v>
      </x:c>
      <x:c r="C11" s="28" t="str">
        <x:v>conditional after promotion</x:v>
      </x:c>
      <x:c r="D11" s="28" t="str">
        <x:v>same-substation value, ownership and exposure required</x:v>
      </x:c>
      <x:c r="E11" s="28" t="str">
        <x:v>no full TIV or mixed 72 USD/kW</x:v>
      </x:c>
      <x:c r="F11" s="28" t="str">
        <x:v>one physical GSU</x:v>
      </x:c>
      <x:c r="G11" s="28" t="str">
        <x:v>not emitted here</x:v>
      </x:c>
    </x:row>
    <x:row r="12">
      <x:c r="A12" s="30" t="str">
        <x:v>Annual/tail</x:v>
      </x:c>
      <x:c r="B12" s="30" t="str">
        <x:v>EAL / PML / VaR / TVaR</x:v>
      </x:c>
      <x:c r="C12" s="30" t="str">
        <x:v>withheld</x:v>
      </x:c>
      <x:c r="D12" s="30" t="str">
        <x:v>frequency, aggregation, and full coverage absent</x:v>
      </x:c>
      <x:c r="E12" s="30" t="str">
        <x:v>consumer-owned</x:v>
      </x:c>
      <x:c r="F12" s="30" t="str">
        <x:v>portfolio</x:v>
      </x:c>
      <x:c r="G12" s="30" t="str">
        <x:v>no result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6" customHeight="1">
      <x:c r="A1" s="2" t="str">
        <x:v>FEMA Hazus-MH 2.1 Table 7.9 transcription</x:v>
      </x:c>
      <x:c r="B1" s="2"/>
      <x:c r="C1" s="2"/>
      <x:c r="D1" s="2"/>
      <x:c r="E1" s="2"/>
      <x:c r="F1" s="2"/>
      <x:c r="G1" s="2"/>
    </x:row>
    <x:row r="2" ht="22" customHeight="1">
      <x:c r="A2" s="4" t="str">
        <x:v>Source-native whole-substation ordinates; current Hazus 7.0 disables electric-power loss results</x:v>
      </x:c>
      <x:c r="B2" s="4"/>
      <x:c r="C2" s="4"/>
      <x:c r="D2" s="4"/>
      <x:c r="E2" s="4"/>
      <x:c r="F2" s="4"/>
      <x:c r="G2" s="4"/>
    </x:row>
    <x:row r="4">
      <x:c r="A4" s="13" t="str">
        <x:v>Depth (ft)</x:v>
      </x:c>
      <x:c r="B4" s="14" t="str">
        <x:v>Source damage (%)</x:v>
      </x:c>
      <x:c r="C4" s="14" t="str">
        <x:v>Source DR</x:v>
      </x:c>
      <x:c r="D4" s="14" t="str">
        <x:v>Artifact DR</x:v>
      </x:c>
      <x:c r="E4" s="14" t="str">
        <x:v>Absolute delta</x:v>
      </x:c>
      <x:c r="F4" s="14" t="str">
        <x:v>Source ID</x:v>
      </x:c>
      <x:c r="G4" s="15" t="str">
        <x:v>Admission</x:v>
      </x:c>
    </x:row>
    <x:row r="5">
      <x:c r="A5" s="27" t="n">
        <x:v>0</x:v>
      </x:c>
      <x:c r="B5" s="50" t="n">
        <x:v>0</x:v>
      </x:c>
      <x:c r="C5" s="50" t="n">
        <x:f>B5/100</x:f>
        <x:v>0</x:v>
      </x:c>
      <x:c r="D5" s="50" t="n">
        <x:v>0</x:v>
      </x:c>
      <x:c r="E5" s="50" t="n">
        <x:f>ABS(C5-D5)</x:f>
        <x:v>0</x:v>
      </x:c>
      <x:c r="F5" s="27" t="str">
        <x:v>FW-S011</x:v>
      </x:c>
      <x:c r="G5" s="27" t="str">
        <x:v>noncanonical screening only</x:v>
      </x:c>
    </x:row>
    <x:row r="6">
      <x:c r="A6" s="28" t="n">
        <x:v>1</x:v>
      </x:c>
      <x:c r="B6" s="51" t="n">
        <x:v>2</x:v>
      </x:c>
      <x:c r="C6" s="51" t="n">
        <x:f>B6/100</x:f>
        <x:v>0.02</x:v>
      </x:c>
      <x:c r="D6" s="51" t="n">
        <x:v>0.02</x:v>
      </x:c>
      <x:c r="E6" s="51" t="n">
        <x:f>ABS(C6-D6)</x:f>
        <x:v>0</x:v>
      </x:c>
      <x:c r="F6" s="28" t="str">
        <x:v>FW-S011</x:v>
      </x:c>
      <x:c r="G6" s="28" t="str">
        <x:v>noncanonical screening only</x:v>
      </x:c>
    </x:row>
    <x:row r="7">
      <x:c r="A7" s="28" t="n">
        <x:v>2</x:v>
      </x:c>
      <x:c r="B7" s="51" t="n">
        <x:v>4</x:v>
      </x:c>
      <x:c r="C7" s="51" t="n">
        <x:f>B7/100</x:f>
        <x:v>0.04</x:v>
      </x:c>
      <x:c r="D7" s="51" t="n">
        <x:v>0.04</x:v>
      </x:c>
      <x:c r="E7" s="51" t="n">
        <x:f>ABS(C7-D7)</x:f>
        <x:v>0</x:v>
      </x:c>
      <x:c r="F7" s="28" t="str">
        <x:v>FW-S011</x:v>
      </x:c>
      <x:c r="G7" s="28" t="str">
        <x:v>noncanonical screening only</x:v>
      </x:c>
    </x:row>
    <x:row r="8">
      <x:c r="A8" s="28" t="n">
        <x:v>3</x:v>
      </x:c>
      <x:c r="B8" s="51" t="n">
        <x:v>6</x:v>
      </x:c>
      <x:c r="C8" s="51" t="n">
        <x:f>B8/100</x:f>
        <x:v>0.06</x:v>
      </x:c>
      <x:c r="D8" s="51" t="n">
        <x:v>0.06</x:v>
      </x:c>
      <x:c r="E8" s="51" t="n">
        <x:f>ABS(C8-D8)</x:f>
        <x:v>0</x:v>
      </x:c>
      <x:c r="F8" s="28" t="str">
        <x:v>FW-S011</x:v>
      </x:c>
      <x:c r="G8" s="28" t="str">
        <x:v>noncanonical screening only</x:v>
      </x:c>
    </x:row>
    <x:row r="9">
      <x:c r="A9" s="28" t="n">
        <x:v>4</x:v>
      </x:c>
      <x:c r="B9" s="51" t="n">
        <x:v>7.000000000000001</x:v>
      </x:c>
      <x:c r="C9" s="51" t="n">
        <x:f>B9/100</x:f>
        <x:v>0.07</x:v>
      </x:c>
      <x:c r="D9" s="51" t="n">
        <x:v>0.07</x:v>
      </x:c>
      <x:c r="E9" s="51" t="n">
        <x:f>ABS(C9-D9)</x:f>
        <x:v>0</x:v>
      </x:c>
      <x:c r="F9" s="28" t="str">
        <x:v>FW-S011</x:v>
      </x:c>
      <x:c r="G9" s="28" t="str">
        <x:v>noncanonical screening only</x:v>
      </x:c>
    </x:row>
    <x:row r="10">
      <x:c r="A10" s="28" t="n">
        <x:v>5</x:v>
      </x:c>
      <x:c r="B10" s="51" t="n">
        <x:v>8</x:v>
      </x:c>
      <x:c r="C10" s="51" t="n">
        <x:f>B10/100</x:f>
        <x:v>0.08</x:v>
      </x:c>
      <x:c r="D10" s="51" t="n">
        <x:v>0.08</x:v>
      </x:c>
      <x:c r="E10" s="51" t="n">
        <x:f>ABS(C10-D10)</x:f>
        <x:v>0</x:v>
      </x:c>
      <x:c r="F10" s="28" t="str">
        <x:v>FW-S011</x:v>
      </x:c>
      <x:c r="G10" s="28" t="str">
        <x:v>noncanonical screening only</x:v>
      </x:c>
    </x:row>
    <x:row r="11">
      <x:c r="A11" s="28" t="n">
        <x:v>6</x:v>
      </x:c>
      <x:c r="B11" s="51" t="n">
        <x:v>9</x:v>
      </x:c>
      <x:c r="C11" s="51" t="n">
        <x:f>B11/100</x:f>
        <x:v>0.09</x:v>
      </x:c>
      <x:c r="D11" s="51" t="n">
        <x:v>0.09</x:v>
      </x:c>
      <x:c r="E11" s="51" t="n">
        <x:f>ABS(C11-D11)</x:f>
        <x:v>0</x:v>
      </x:c>
      <x:c r="F11" s="28" t="str">
        <x:v>FW-S011</x:v>
      </x:c>
      <x:c r="G11" s="28" t="str">
        <x:v>noncanonical screening only</x:v>
      </x:c>
    </x:row>
    <x:row r="12">
      <x:c r="A12" s="28" t="n">
        <x:v>7</x:v>
      </x:c>
      <x:c r="B12" s="51" t="n">
        <x:v>10</x:v>
      </x:c>
      <x:c r="C12" s="51" t="n">
        <x:f>B12/100</x:f>
        <x:v>0.1</x:v>
      </x:c>
      <x:c r="D12" s="51" t="n">
        <x:v>0.1</x:v>
      </x:c>
      <x:c r="E12" s="51" t="n">
        <x:f>ABS(C12-D12)</x:f>
        <x:v>0</x:v>
      </x:c>
      <x:c r="F12" s="28" t="str">
        <x:v>FW-S011</x:v>
      </x:c>
      <x:c r="G12" s="28" t="str">
        <x:v>noncanonical screening only</x:v>
      </x:c>
    </x:row>
    <x:row r="13">
      <x:c r="A13" s="28" t="n">
        <x:v>8</x:v>
      </x:c>
      <x:c r="B13" s="51" t="n">
        <x:v>12</x:v>
      </x:c>
      <x:c r="C13" s="51" t="n">
        <x:f>B13/100</x:f>
        <x:v>0.12</x:v>
      </x:c>
      <x:c r="D13" s="51" t="n">
        <x:v>0.12</x:v>
      </x:c>
      <x:c r="E13" s="51" t="n">
        <x:f>ABS(C13-D13)</x:f>
        <x:v>0</x:v>
      </x:c>
      <x:c r="F13" s="28" t="str">
        <x:v>FW-S011</x:v>
      </x:c>
      <x:c r="G13" s="28" t="str">
        <x:v>noncanonical screening only</x:v>
      </x:c>
    </x:row>
    <x:row r="14">
      <x:c r="A14" s="28" t="n">
        <x:v>9</x:v>
      </x:c>
      <x:c r="B14" s="51" t="n">
        <x:v>14.000000000000002</x:v>
      </x:c>
      <x:c r="C14" s="51" t="n">
        <x:f>B14/100</x:f>
        <x:v>0.14</x:v>
      </x:c>
      <x:c r="D14" s="51" t="n">
        <x:v>0.14</x:v>
      </x:c>
      <x:c r="E14" s="51" t="n">
        <x:f>ABS(C14-D14)</x:f>
        <x:v>0</x:v>
      </x:c>
      <x:c r="F14" s="28" t="str">
        <x:v>FW-S011</x:v>
      </x:c>
      <x:c r="G14" s="28" t="str">
        <x:v>noncanonical screening only</x:v>
      </x:c>
    </x:row>
    <x:row r="15">
      <x:c r="A15" s="30" t="n">
        <x:v>10</x:v>
      </x:c>
      <x:c r="B15" s="52" t="n">
        <x:v>15</x:v>
      </x:c>
      <x:c r="C15" s="52" t="n">
        <x:f>B15/100</x:f>
        <x:v>0.15</x:v>
      </x:c>
      <x:c r="D15" s="52" t="n">
        <x:v>0.15</x:v>
      </x:c>
      <x:c r="E15" s="52" t="n">
        <x:f>ABS(C15-D15)</x:f>
        <x:v>0</x:v>
      </x:c>
      <x:c r="F15" s="30" t="str">
        <x:v>FW-S011</x:v>
      </x:c>
      <x:c r="G15" s="30" t="str">
        <x:v>noncanonical screening only</x:v>
      </x:c>
    </x:row>
    <x:row r="18">
      <x:c r="A18" s="13" t="str">
        <x:v>Source</x:v>
      </x:c>
      <x:c r="B18" s="14" t="str">
        <x:v>Version</x:v>
      </x:c>
      <x:c r="C18" s="14" t="str">
        <x:v>Locator</x:v>
      </x:c>
      <x:c r="D18" s="14" t="str">
        <x:v>What it supports</x:v>
      </x:c>
      <x:c r="E18" s="14" t="str">
        <x:v>What it does not support</x:v>
      </x:c>
      <x:c r="F18" s="14" t="str">
        <x:v>Current-status warning</x:v>
      </x:c>
      <x:c r="G18" s="15" t="str">
        <x:v>URL</x:v>
      </x:c>
    </x:row>
    <x:row r="19">
      <x:c r="A19" s="27" t="str">
        <x:v>FEMA Hazus Flood Technical Manual</x:v>
      </x:c>
      <x:c r="B19" s="27" t="str">
        <x:v>2.1</x:v>
      </x:c>
      <x:c r="C19" s="27" t="str">
        <x:v>§7.2.4; Table 7.9, pp. 7-20–7-21</x:v>
      </x:c>
      <x:c r="D19" s="27" t="str">
        <x:v>exact aggregate depth-percent table and narrative</x:v>
      </x:c>
      <x:c r="E19" s="27" t="str">
        <x:v>component calibration, duration, velocity, salinity, claims validation</x:v>
      </x:c>
      <x:c r="F19" s="27" t="str">
        <x:v>electric-power implementation described as deferred</x:v>
      </x:c>
      <x:c r="G19" s="27" t="str">
        <x:v>https://www.fema.gov/sites/default/files/2020-09/fema_hazus_flood-model_technical-manual_2.1.pdf</x:v>
      </x:c>
    </x:row>
    <x:row r="20">
      <x:c r="A20" s="28" t="str">
        <x:v>FEMA Hazus Flood Technical Manual</x:v>
      </x:c>
      <x:c r="B20" s="28" t="str">
        <x:v>7.0</x:v>
      </x:c>
      <x:c r="C20" s="28" t="str">
        <x:v>Table 9-1; §9.4.1 footnote 21</x:v>
      </x:c>
      <x:c r="D20" s="28" t="str">
        <x:v>authoritative current limitation</x:v>
      </x:c>
      <x:c r="E20" s="28" t="str">
        <x:v>no DR calibration</x:v>
      </x:c>
      <x:c r="F20" s="28" t="str">
        <x:v>mapping-only; visible electric damage functions disabled and produce no results</x:v>
      </x:c>
      <x:c r="G20" s="28" t="str">
        <x:v>https://www.fema.gov/sites/default/files/documents/fema_rsl_hazus-7-fltm_06272025_0.pdf</x:v>
      </x:c>
    </x:row>
    <x:row r="21">
      <x:c r="A21" s="30" t="str">
        <x:v>Decision</x:v>
      </x:c>
      <x:c r="B21" s="30" t="str">
        <x:v>model v1.0 proposal</x:v>
      </x:c>
      <x:c r="C21" s="30" t="str">
        <x:v>governance package</x:v>
      </x:c>
      <x:c r="D21" s="30" t="str">
        <x:v>reviewable screening sensitivity</x:v>
      </x:c>
      <x:c r="E21" s="30" t="str">
        <x:v>canonical runtime or consumer cutover</x:v>
      </x:c>
      <x:c r="F21" s="30" t="str">
        <x:v>promotion gate blocked</x:v>
      </x:c>
      <x:c r="G21" s="30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44" hidden="0" customWidth="1"/>
    <x:col min="3" max="3" width="62" hidden="0" customWidth="1"/>
    <x:col min="4" max="4" width="20" hidden="0" customWidth="1"/>
    <x:col min="5" max="5" width="20" hidden="0" customWidth="1"/>
    <x:col min="6" max="6" width="16" hidden="0" customWidth="1"/>
  </x:cols>
  <x:sheetData>
    <x:row r="1" ht="26" customHeight="1">
      <x:c r="A1" s="2" t="str">
        <x:v>Piecewise-linear screening curve</x:v>
      </x:c>
      <x:c r="B1" s="2"/>
      <x:c r="C1" s="2"/>
      <x:c r="D1" s="2"/>
      <x:c r="E1" s="2"/>
      <x:c r="F1" s="2"/>
    </x:row>
    <x:row r="2" ht="22" customHeight="1">
      <x:c r="A2" s="4" t="str">
        <x:v>Exact linear interpolation between one-foot source knots; no clamping or extrapolation</x:v>
      </x:c>
      <x:c r="B2" s="4"/>
      <x:c r="C2" s="4"/>
      <x:c r="D2" s="4"/>
      <x:c r="E2" s="4"/>
      <x:c r="F2" s="4"/>
    </x:row>
    <x:row r="4">
      <x:c r="A4" s="13" t="str">
        <x:v>Test depth (ft)</x:v>
      </x:c>
      <x:c r="B4" s="14" t="str">
        <x:v>Lower knot</x:v>
      </x:c>
      <x:c r="C4" s="14" t="str">
        <x:v>Upper knot</x:v>
      </x:c>
      <x:c r="D4" s="14" t="str">
        <x:v>Formula DR</x:v>
      </x:c>
      <x:c r="E4" s="14" t="str">
        <x:v>Expected DR</x:v>
      </x:c>
      <x:c r="F4" s="15" t="str">
        <x:v>Status</x:v>
      </x:c>
    </x:row>
    <x:row r="5">
      <x:c r="A5" s="27" t="n">
        <x:v>0.5</x:v>
      </x:c>
      <x:c r="B5" s="27" t="n">
        <x:v>0</x:v>
      </x:c>
      <x:c r="C5" s="27" t="n">
        <x:v>1</x:v>
      </x:c>
      <x:c r="D5" s="50" t="n">
        <x:f>'Hazus_Source'!C5+(A5-B5)*(('Hazus_Source'!C6-'Hazus_Source'!C5)/(C5-B5))</x:f>
        <x:v>0.01</x:v>
      </x:c>
      <x:c r="E5" s="50" t="n">
        <x:v>0.01</x:v>
      </x:c>
      <x:c r="F5" s="27" t="str">
        <x:f>IF(D5=E5,"PASS","FAIL")</x:f>
        <x:v>PASS</x:v>
      </x:c>
    </x:row>
    <x:row r="6">
      <x:c r="A6" s="28" t="n">
        <x:v>1.5</x:v>
      </x:c>
      <x:c r="B6" s="28" t="n">
        <x:v>1</x:v>
      </x:c>
      <x:c r="C6" s="28" t="n">
        <x:v>2</x:v>
      </x:c>
      <x:c r="D6" s="51" t="n">
        <x:f>'Hazus_Source'!C6+(A6-B6)*(('Hazus_Source'!C7-'Hazus_Source'!C6)/(C6-B6))</x:f>
        <x:v>0.03</x:v>
      </x:c>
      <x:c r="E6" s="51" t="n">
        <x:v>0.03</x:v>
      </x:c>
      <x:c r="F6" s="28" t="str">
        <x:f>IF(D6=E6,"PASS","FAIL")</x:f>
        <x:v>PASS</x:v>
      </x:c>
    </x:row>
    <x:row r="7">
      <x:c r="A7" s="28" t="n">
        <x:v>2.5</x:v>
      </x:c>
      <x:c r="B7" s="28" t="n">
        <x:v>2</x:v>
      </x:c>
      <x:c r="C7" s="28" t="n">
        <x:v>3</x:v>
      </x:c>
      <x:c r="D7" s="51" t="n">
        <x:f>'Hazus_Source'!C7+(A7-B7)*(('Hazus_Source'!C8-'Hazus_Source'!C7)/(C7-B7))</x:f>
        <x:v>0.05</x:v>
      </x:c>
      <x:c r="E7" s="51" t="n">
        <x:v>0.05</x:v>
      </x:c>
      <x:c r="F7" s="28" t="str">
        <x:f>IF(D7=E7,"PASS","FAIL")</x:f>
        <x:v>PASS</x:v>
      </x:c>
    </x:row>
    <x:row r="8">
      <x:c r="A8" s="28" t="n">
        <x:v>3.5</x:v>
      </x:c>
      <x:c r="B8" s="28" t="n">
        <x:v>3</x:v>
      </x:c>
      <x:c r="C8" s="28" t="n">
        <x:v>4</x:v>
      </x:c>
      <x:c r="D8" s="51" t="n">
        <x:f>'Hazus_Source'!C8+(A8-B8)*(('Hazus_Source'!C9-'Hazus_Source'!C8)/(C8-B8))</x:f>
        <x:v>0.065</x:v>
      </x:c>
      <x:c r="E8" s="51" t="n">
        <x:v>0.065</x:v>
      </x:c>
      <x:c r="F8" s="28" t="str">
        <x:f>IF(D8=E8,"PASS","FAIL")</x:f>
        <x:v>PASS</x:v>
      </x:c>
    </x:row>
    <x:row r="9">
      <x:c r="A9" s="28" t="n">
        <x:v>4.5</x:v>
      </x:c>
      <x:c r="B9" s="28" t="n">
        <x:v>4</x:v>
      </x:c>
      <x:c r="C9" s="28" t="n">
        <x:v>5</x:v>
      </x:c>
      <x:c r="D9" s="51" t="n">
        <x:f>'Hazus_Source'!C9+(A9-B9)*(('Hazus_Source'!C10-'Hazus_Source'!C9)/(C9-B9))</x:f>
        <x:v>0.07500000000000001</x:v>
      </x:c>
      <x:c r="E9" s="51" t="n">
        <x:v>0.07500000000000001</x:v>
      </x:c>
      <x:c r="F9" s="28" t="str">
        <x:f>IF(D9=E9,"PASS","FAIL")</x:f>
        <x:v>PASS</x:v>
      </x:c>
    </x:row>
    <x:row r="10">
      <x:c r="A10" s="28" t="n">
        <x:v>5.5</x:v>
      </x:c>
      <x:c r="B10" s="28" t="n">
        <x:v>5</x:v>
      </x:c>
      <x:c r="C10" s="28" t="n">
        <x:v>6</x:v>
      </x:c>
      <x:c r="D10" s="51" t="n">
        <x:f>'Hazus_Source'!C10+(A10-B10)*(('Hazus_Source'!C11-'Hazus_Source'!C10)/(C10-B10))</x:f>
        <x:v>0.08499999999999999</x:v>
      </x:c>
      <x:c r="E10" s="51" t="n">
        <x:v>0.08499999999999999</x:v>
      </x:c>
      <x:c r="F10" s="28" t="str">
        <x:f>IF(D10=E10,"PASS","FAIL")</x:f>
        <x:v>PASS</x:v>
      </x:c>
    </x:row>
    <x:row r="11">
      <x:c r="A11" s="28" t="n">
        <x:v>6.5</x:v>
      </x:c>
      <x:c r="B11" s="28" t="n">
        <x:v>6</x:v>
      </x:c>
      <x:c r="C11" s="28" t="n">
        <x:v>7</x:v>
      </x:c>
      <x:c r="D11" s="51" t="n">
        <x:f>'Hazus_Source'!C11+(A11-B11)*(('Hazus_Source'!C12-'Hazus_Source'!C11)/(C11-B11))</x:f>
        <x:v>0.095</x:v>
      </x:c>
      <x:c r="E11" s="51" t="n">
        <x:v>0.095</x:v>
      </x:c>
      <x:c r="F11" s="28" t="str">
        <x:f>IF(D11=E11,"PASS","FAIL")</x:f>
        <x:v>PASS</x:v>
      </x:c>
    </x:row>
    <x:row r="12">
      <x:c r="A12" s="28" t="n">
        <x:v>7.5</x:v>
      </x:c>
      <x:c r="B12" s="28" t="n">
        <x:v>7</x:v>
      </x:c>
      <x:c r="C12" s="28" t="n">
        <x:v>8</x:v>
      </x:c>
      <x:c r="D12" s="51" t="n">
        <x:f>'Hazus_Source'!C12+(A12-B12)*(('Hazus_Source'!C13-'Hazus_Source'!C12)/(C12-B12))</x:f>
        <x:v>0.11</x:v>
      </x:c>
      <x:c r="E12" s="51" t="n">
        <x:v>0.11</x:v>
      </x:c>
      <x:c r="F12" s="28" t="str">
        <x:f>IF(D12=E12,"PASS","FAIL")</x:f>
        <x:v>PASS</x:v>
      </x:c>
    </x:row>
    <x:row r="13">
      <x:c r="A13" s="28" t="n">
        <x:v>8.5</x:v>
      </x:c>
      <x:c r="B13" s="28" t="n">
        <x:v>8</x:v>
      </x:c>
      <x:c r="C13" s="28" t="n">
        <x:v>9</x:v>
      </x:c>
      <x:c r="D13" s="51" t="n">
        <x:f>'Hazus_Source'!C13+(A13-B13)*(('Hazus_Source'!C14-'Hazus_Source'!C13)/(C13-B13))</x:f>
        <x:v>0.13</x:v>
      </x:c>
      <x:c r="E13" s="51" t="n">
        <x:v>0.13</x:v>
      </x:c>
      <x:c r="F13" s="28" t="str">
        <x:f>IF(D13=E13,"PASS","FAIL")</x:f>
        <x:v>PASS</x:v>
      </x:c>
    </x:row>
    <x:row r="14">
      <x:c r="A14" s="30" t="n">
        <x:v>9.5</x:v>
      </x:c>
      <x:c r="B14" s="30" t="n">
        <x:v>9</x:v>
      </x:c>
      <x:c r="C14" s="30" t="n">
        <x:v>10</x:v>
      </x:c>
      <x:c r="D14" s="52" t="n">
        <x:f>'Hazus_Source'!C14+(A14-B14)*(('Hazus_Source'!C15-'Hazus_Source'!C14)/(C14-B14))</x:f>
        <x:v>0.14500000000000002</x:v>
      </x:c>
      <x:c r="E14" s="52" t="n">
        <x:v>0.14500000000000002</x:v>
      </x:c>
      <x:c r="F14" s="30" t="str">
        <x:f>IF(D14=E14,"PASS","FAIL")</x:f>
        <x:v>PASS</x:v>
      </x:c>
    </x:row>
    <x:row r="17">
      <x:c r="A17" s="13" t="str">
        <x:v>Rule</x:v>
      </x:c>
      <x:c r="B17" s="14" t="str">
        <x:v>Value</x:v>
      </x:c>
      <x:c r="C17" s="15" t="str">
        <x:v>Guardrail</x:v>
      </x:c>
    </x:row>
    <x:row r="18">
      <x:c r="A18" s="27" t="str">
        <x:v>curve_form</x:v>
      </x:c>
      <x:c r="B18" s="27" t="str">
        <x:v>piecewise_linear</x:v>
      </x:c>
      <x:c r="C18" s="27" t="str">
        <x:v>schema v3 draft extension</x:v>
      </x:c>
    </x:row>
    <x:row r="19">
      <x:c r="A19" s="28" t="str">
        <x:v>interpolation</x:v>
      </x:c>
      <x:c r="B19" s="28" t="str">
        <x:v>linear_between_source_knots</x:v>
      </x:c>
      <x:c r="C19" s="28" t="str">
        <x:v>only between source knots</x:v>
      </x:c>
    </x:row>
    <x:row r="20">
      <x:c r="A20" s="28" t="str">
        <x:v>valid range</x:v>
      </x:c>
      <x:c r="B20" s="28" t="str">
        <x:v>0 through 10 ft inclusive</x:v>
      </x:c>
      <x:c r="C20" s="28" t="str">
        <x:v>negative rejects; &gt;10 withholds</x:v>
      </x:c>
    </x:row>
    <x:row r="21">
      <x:c r="A21" s="28" t="str">
        <x:v>extrapolation</x:v>
      </x:c>
      <x:c r="B21" s="28" t="str">
        <x:v>withhold outside 0 through 10 ft; no endpoint clamp</x:v>
      </x:c>
      <x:c r="C21" s="28" t="str">
        <x:v>no endpoint clamp</x:v>
      </x:c>
    </x:row>
    <x:row r="22">
      <x:c r="A22" s="30" t="str">
        <x:v>output</x:v>
      </x:c>
      <x:c r="B22" s="30" t="str">
        <x:v>conditional scalar failure-unit DR</x:v>
      </x:c>
      <x:c r="C22" s="30" t="str">
        <x:v>not scenario loss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  <x:col min="3" max="3" width="42" hidden="0" customWidth="1"/>
    <x:col min="4" max="4" width="42" hidden="0" customWidth="1"/>
    <x:col min="5" max="5" width="22" hidden="0" customWidth="1"/>
    <x:col min="6" max="6" width="20" hidden="0" customWidth="1"/>
    <x:col min="7" max="7" width="28" hidden="0" customWidth="1"/>
  </x:cols>
  <x:sheetData>
    <x:row r="1" ht="26" customHeight="1">
      <x:c r="A1" s="2" t="str">
        <x:v>Datum-safe WSE-to-grade bridge</x:v>
      </x:c>
      <x:c r="B1" s="2"/>
      <x:c r="C1" s="2"/>
      <x:c r="D1" s="2"/>
      <x:c r="E1" s="2"/>
      <x:c r="F1" s="2"/>
      <x:c r="G1" s="2"/>
    </x:row>
    <x:row r="2" ht="22" customHeight="1">
      <x:c r="A2" s="4" t="str">
        <x:v>Direct source-native depth is preferred; an exact same-datum elevation difference may be converted to feet</x:v>
      </x:c>
      <x:c r="B2" s="4"/>
      <x:c r="C2" s="4"/>
      <x:c r="D2" s="4"/>
      <x:c r="E2" s="4"/>
      <x:c r="F2" s="4"/>
      <x:c r="G2" s="4"/>
    </x:row>
    <x:row r="4">
      <x:c r="A4" s="13" t="str">
        <x:v>WSE (m)</x:v>
      </x:c>
      <x:c r="B4" s="14" t="str">
        <x:v>Grade (m)</x:v>
      </x:c>
      <x:c r="C4" s="14" t="str">
        <x:v>WSE datum</x:v>
      </x:c>
      <x:c r="D4" s="14" t="str">
        <x:v>Grade datum</x:v>
      </x:c>
      <x:c r="E4" s="14" t="str">
        <x:v>Derived depth (ft)</x:v>
      </x:c>
      <x:c r="F4" s="14" t="str">
        <x:v>Datum status</x:v>
      </x:c>
      <x:c r="G4" s="15" t="str">
        <x:v>Runtime disposition</x:v>
      </x:c>
    </x:row>
    <x:row r="5">
      <x:c r="A5" s="27" t="n">
        <x:v>100.3048</x:v>
      </x:c>
      <x:c r="B5" s="27" t="n">
        <x:v>100</x:v>
      </x:c>
      <x:c r="C5" s="27" t="str">
        <x:v>NAVD88</x:v>
      </x:c>
      <x:c r="D5" s="27" t="str">
        <x:v>NAVD88</x:v>
      </x:c>
      <x:c r="E5" s="50" t="n">
        <x:f>(A5-B5)*3.280839895013123</x:f>
        <x:v>1.0000000000000004</x:v>
      </x:c>
      <x:c r="F5" s="27" t="str">
        <x:f>IF(C5=D5,"PASS","WITHHOLD")</x:f>
        <x:v>PASS</x:v>
      </x:c>
      <x:c r="G5" s="27" t="str">
        <x:f>IF(F5&lt;&gt;"PASS","WITHHOLD_DATUM",IF(E5&lt;0,"REJECT_NEGATIVE",IF(E5&gt;10,"WITHHOLD_RANGE","ELIGIBLE")))</x:f>
        <x:v>ELIGIBLE</x:v>
      </x:c>
    </x:row>
    <x:row r="6">
      <x:c r="A6" s="28" t="n">
        <x:v>101</x:v>
      </x:c>
      <x:c r="B6" s="28" t="n">
        <x:v>100</x:v>
      </x:c>
      <x:c r="C6" s="28" t="str">
        <x:v>NAVD88</x:v>
      </x:c>
      <x:c r="D6" s="28" t="str">
        <x:v>NAVD88</x:v>
      </x:c>
      <x:c r="E6" s="51" t="n">
        <x:f>(A6-B6)*3.280839895013123</x:f>
        <x:v>3.280839895013123</x:v>
      </x:c>
      <x:c r="F6" s="28" t="str">
        <x:f>IF(C6=D6,"PASS","WITHHOLD")</x:f>
        <x:v>PASS</x:v>
      </x:c>
      <x:c r="G6" s="28" t="str">
        <x:f>IF(F6&lt;&gt;"PASS","WITHHOLD_DATUM",IF(E6&lt;0,"REJECT_NEGATIVE",IF(E6&gt;10,"WITHHOLD_RANGE","ELIGIBLE")))</x:f>
        <x:v>ELIGIBLE</x:v>
      </x:c>
    </x:row>
    <x:row r="7">
      <x:c r="A7" s="28" t="n">
        <x:v>101</x:v>
      </x:c>
      <x:c r="B7" s="28" t="n">
        <x:v>100</x:v>
      </x:c>
      <x:c r="C7" s="28" t="str">
        <x:v>NAVD88</x:v>
      </x:c>
      <x:c r="D7" s="28" t="str">
        <x:v>NGVD29</x:v>
      </x:c>
      <x:c r="E7" s="51" t="n">
        <x:f>(A7-B7)*3.280839895013123</x:f>
        <x:v>3.280839895013123</x:v>
      </x:c>
      <x:c r="F7" s="28" t="str">
        <x:f>IF(C7=D7,"PASS","WITHHOLD")</x:f>
        <x:v>WITHHOLD</x:v>
      </x:c>
      <x:c r="G7" s="28" t="str">
        <x:f>IF(F7&lt;&gt;"PASS","WITHHOLD_DATUM",IF(E7&lt;0,"REJECT_NEGATIVE",IF(E7&gt;10,"WITHHOLD_RANGE","ELIGIBLE")))</x:f>
        <x:v>WITHHOLD_DATUM</x:v>
      </x:c>
    </x:row>
    <x:row r="8">
      <x:c r="A8" s="28" t="n">
        <x:v>99.9</x:v>
      </x:c>
      <x:c r="B8" s="28" t="n">
        <x:v>100</x:v>
      </x:c>
      <x:c r="C8" s="28" t="str">
        <x:v>NAVD88</x:v>
      </x:c>
      <x:c r="D8" s="28" t="str">
        <x:v>NAVD88</x:v>
      </x:c>
      <x:c r="E8" s="51" t="n">
        <x:f>(A8-B8)*3.280839895013123</x:f>
        <x:v>-0.32808398950129364</x:v>
      </x:c>
      <x:c r="F8" s="28" t="str">
        <x:f>IF(C8=D8,"PASS","WITHHOLD")</x:f>
        <x:v>PASS</x:v>
      </x:c>
      <x:c r="G8" s="28" t="str">
        <x:f>IF(F8&lt;&gt;"PASS","WITHHOLD_DATUM",IF(E8&lt;0,"REJECT_NEGATIVE",IF(E8&gt;10,"WITHHOLD_RANGE","ELIGIBLE")))</x:f>
        <x:v>REJECT_NEGATIVE</x:v>
      </x:c>
    </x:row>
    <x:row r="9">
      <x:c r="A9" s="30" t="n">
        <x:v>103.2</x:v>
      </x:c>
      <x:c r="B9" s="30" t="n">
        <x:v>100</x:v>
      </x:c>
      <x:c r="C9" s="30" t="str">
        <x:v>LOCAL</x:v>
      </x:c>
      <x:c r="D9" s="30" t="str">
        <x:v>LOCAL</x:v>
      </x:c>
      <x:c r="E9" s="52" t="n">
        <x:f>(A9-B9)*3.280839895013123</x:f>
        <x:v>10.498687664042002</x:v>
      </x:c>
      <x:c r="F9" s="30" t="str">
        <x:f>IF(C9=D9,"PASS","WITHHOLD")</x:f>
        <x:v>PASS</x:v>
      </x:c>
      <x:c r="G9" s="30" t="str">
        <x:f>IF(F9&lt;&gt;"PASS","WITHHOLD_DATUM",IF(E9&lt;0,"REJECT_NEGATIVE",IF(E9&gt;10,"WITHHOLD_RANGE","ELIGIBLE")))</x:f>
        <x:v>WITHHOLD_RANGE</x:v>
      </x:c>
    </x:row>
    <x:row r="12">
      <x:c r="A12" s="13" t="str">
        <x:v>Input mode</x:v>
      </x:c>
      <x:c r="B12" s="14" t="str">
        <x:v>Required fields</x:v>
      </x:c>
      <x:c r="C12" s="14" t="str">
        <x:v>Mutual exclusion</x:v>
      </x:c>
      <x:c r="D12" s="15" t="str">
        <x:v>Fail-closed rule</x:v>
      </x:c>
    </x:row>
    <x:row r="13">
      <x:c r="A13" s="27" t="str">
        <x:v>direct_depth_ft</x:v>
      </x:c>
      <x:c r="B13" s="27" t="str">
        <x:v>flood_depth_above_substation_grade_ft</x:v>
      </x:c>
      <x:c r="C13" s="27" t="str">
        <x:v>cannot accompany WSE fields</x:v>
      </x:c>
      <x:c r="D13" s="27" t="str">
        <x:v>negative rejects; &gt;10 withholds</x:v>
      </x:c>
    </x:row>
    <x:row r="14">
      <x:c r="A14" s="30" t="str">
        <x:v>same_datum_wse_grade_m</x:v>
      </x:c>
      <x:c r="B14" s="30" t="str">
        <x:v>WSE, grade, both datum IDs</x:v>
      </x:c>
      <x:c r="C14" s="30" t="str">
        <x:v>cannot accompany direct depth</x:v>
      </x:c>
      <x:c r="D14" s="30" t="str">
        <x:v>missing/mismatched datum rejects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58" hidden="0" customWidth="1"/>
    <x:col min="4" max="4" width="24" hidden="0" customWidth="1"/>
    <x:col min="5" max="5" width="28" hidden="0" customWidth="1"/>
    <x:col min="6" max="6" width="58" hidden="0" customWidth="1"/>
    <x:col min="7" max="7" width="42" hidden="0" customWidth="1"/>
    <x:col min="8" max="8" width="58" hidden="0" customWidth="1"/>
  </x:cols>
  <x:sheetData>
    <x:row r="1" ht="26" customHeight="1">
      <x:c r="A1" s="2" t="str">
        <x:v>Failure-unit coverage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Only the source-native assembly has a numeric screening record; every other unit remains withheld, not zero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Failure unit</x:v>
      </x:c>
      <x:c r="B4" s="14" t="str">
        <x:v>Subsystem</x:v>
      </x:c>
      <x:c r="C4" s="14" t="str">
        <x:v>Component / boundary</x:v>
      </x:c>
      <x:c r="D4" s="14" t="str">
        <x:v>Treatment</x:v>
      </x:c>
      <x:c r="E4" s="14" t="str">
        <x:v>Y axis</x:v>
      </x:c>
      <x:c r="F4" s="14" t="str">
        <x:v>Denominator</x:v>
      </x:c>
      <x:c r="G4" s="14" t="str">
        <x:v>Exposure grain</x:v>
      </x:c>
      <x:c r="H4" s="15" t="str">
        <x:v>Withhold reasons</x:v>
      </x:c>
    </x:row>
    <x:row r="5">
      <x:c r="A5" s="27" t="str">
        <x:v>FW_HAZUS_GSU_SUBSTATION_ASSEMBLY</x:v>
      </x:c>
      <x:c r="B5" s="27" t="str">
        <x:v>FACILITY GSU SUBSTATION SOURCE NATIVE</x:v>
      </x:c>
      <x:c r="C5" s="27" t="str">
        <x:v>HAZUS SUBSTATION CONTROL ROOM CABLING AND INCIDENTAL TRANSFORMER SWITCHGEAR ASSEMBLY</x:v>
      </x:c>
      <x:c r="D5" s="27" t="str">
        <x:v>primary nonzero</x:v>
      </x:c>
      <x:c r="E5" s="27" t="str">
        <x:v>failure_unit_damage_ratio</x:v>
      </x:c>
      <x:c r="F5" s="27" t="str">
        <x:v>full direct replacement value of the same facility-level substation assembly</x:v>
      </x:c>
      <x:c r="G5" s="27" t="str">
        <x:v>one real facility-level GSU/substation point or polygon</x:v>
      </x:c>
      <x:c r="H5" s="27" t="str"/>
    </x:row>
    <x:row r="6">
      <x:c r="A6" s="28" t="str">
        <x:v>FW_GSU_SWITCHGEAR</x:v>
      </x:c>
      <x:c r="B6" s="28" t="str">
        <x:v>FACILITY GSU SUBSTATION</x:v>
      </x:c>
      <x:c r="C6" s="28" t="str">
        <x:v>SWITCHGEAR</x:v>
      </x:c>
      <x:c r="D6" s="28" t="str">
        <x:v>withheld</x:v>
      </x:c>
      <x:c r="E6" s="28" t="str">
        <x:v>failure_unit_damage_ratio</x:v>
      </x:c>
      <x:c r="F6" s="28" t="str">
        <x:v>same-unit switchgear replacement value</x:v>
      </x:c>
      <x:c r="G6" s="28" t="str">
        <x:v>future exact unit</x:v>
      </x:c>
      <x:c r="H6" s="28" t="str">
        <x:v>NO_RUNTIME_CURVE_FOR_PATHWAY_UNIT; COMPONENT_LEVEL_ECONOMIC_RESPONSE_NOT_CALIBRATED</x:v>
      </x:c>
    </x:row>
    <x:row r="7">
      <x:c r="A7" s="28" t="str">
        <x:v>FW_GSU_TRANSFORMER_MAIN</x:v>
      </x:c>
      <x:c r="B7" s="28" t="str">
        <x:v>FACILITY GSU SUBSTATION</x:v>
      </x:c>
      <x:c r="C7" s="28" t="str">
        <x:v>PLANT GSU MAIN TRANSFORMER</x:v>
      </x:c>
      <x:c r="D7" s="28" t="str">
        <x:v>withheld</x:v>
      </x:c>
      <x:c r="E7" s="28" t="str">
        <x:v>failure_unit_damage_ratio</x:v>
      </x:c>
      <x:c r="F7" s="28" t="str">
        <x:v>same-unit main-transformer replacement value</x:v>
      </x:c>
      <x:c r="G7" s="28" t="str">
        <x:v>future exact unit</x:v>
      </x:c>
      <x:c r="H7" s="28" t="str">
        <x:v>NO_RUNTIME_CURVE_FOR_PATHWAY_UNIT; TRANSFORMER_MAIN_AUXILIARY_STATE_MODEL_REQUIRED</x:v>
      </x:c>
    </x:row>
    <x:row r="8">
      <x:c r="A8" s="28" t="str">
        <x:v>FW_GSU_TRANSFORMER_AUX_CONTROLS</x:v>
      </x:c>
      <x:c r="B8" s="28" t="str">
        <x:v>FACILITY GSU SUBSTATION</x:v>
      </x:c>
      <x:c r="C8" s="28" t="str">
        <x:v>TRANSFORMER AUXILIARIES AND CONTROLS</x:v>
      </x:c>
      <x:c r="D8" s="28" t="str">
        <x:v>withheld</x:v>
      </x:c>
      <x:c r="E8" s="28" t="str">
        <x:v>failure_unit_damage_ratio</x:v>
      </x:c>
      <x:c r="F8" s="28" t="str">
        <x:v>same-unit transformer auxiliary/control replacement value</x:v>
      </x:c>
      <x:c r="G8" s="28" t="str">
        <x:v>future exact unit</x:v>
      </x:c>
      <x:c r="H8" s="28" t="str">
        <x:v>NO_RUNTIME_CURVE_FOR_PATHWAY_UNIT; DEPENDENCY_SAFE_VALUE_SPLIT_REQUIRED</x:v>
      </x:c>
    </x:row>
    <x:row r="9">
      <x:c r="A9" s="28" t="str">
        <x:v>FW_GSU_PROTECTION_SCADA</x:v>
      </x:c>
      <x:c r="B9" s="28" t="str">
        <x:v>FACILITY GSU SUBSTATION</x:v>
      </x:c>
      <x:c r="C9" s="28" t="str">
        <x:v>PROTECTION RELAY CONTROL SCADA COMMUNICATIONS</x:v>
      </x:c>
      <x:c r="D9" s="28" t="str">
        <x:v>withheld</x:v>
      </x:c>
      <x:c r="E9" s="28" t="str">
        <x:v>failure_unit_damage_ratio</x:v>
      </x:c>
      <x:c r="F9" s="28" t="str">
        <x:v>same-unit protection relay control and communications replacement value</x:v>
      </x:c>
      <x:c r="G9" s="28" t="str">
        <x:v>future exact unit</x:v>
      </x:c>
      <x:c r="H9" s="28" t="str">
        <x:v>NO_RUNTIME_CURVE_FOR_PATHWAY_UNIT; PROTECTION_CONTROL_ECONOMIC_RESPONSE_NOT_CALIBRATED</x:v>
      </x:c>
    </x:row>
    <x:row r="10">
      <x:c r="A10" s="28" t="str">
        <x:v>FW_GSU_STATION_SERVICE_DC</x:v>
      </x:c>
      <x:c r="B10" s="28" t="str">
        <x:v>FACILITY GSU SUBSTATION</x:v>
      </x:c>
      <x:c r="C10" s="28" t="str">
        <x:v>STATION SERVICE AND DC POWER</x:v>
      </x:c>
      <x:c r="D10" s="28" t="str">
        <x:v>withheld</x:v>
      </x:c>
      <x:c r="E10" s="28" t="str">
        <x:v>failure_unit_damage_ratio</x:v>
      </x:c>
      <x:c r="F10" s="28" t="str">
        <x:v>same-unit station service and DC replacement value</x:v>
      </x:c>
      <x:c r="G10" s="28" t="str">
        <x:v>future exact unit</x:v>
      </x:c>
      <x:c r="H10" s="28" t="str">
        <x:v>NO_RUNTIME_CURVE_FOR_PATHWAY_UNIT; STATION_SERVICE_DC_DECOMPOSITION_REQUIRED</x:v>
      </x:c>
    </x:row>
    <x:row r="11">
      <x:c r="A11" s="28" t="str">
        <x:v>FW_GSU_CABLE_TERMINATIONS</x:v>
      </x:c>
      <x:c r="B11" s="28" t="str">
        <x:v>FACILITY GSU SUBSTATION</x:v>
      </x:c>
      <x:c r="C11" s="28" t="str">
        <x:v>CABLE TERMINATIONS PULL BOXES AND WATER PATHS</x:v>
      </x:c>
      <x:c r="D11" s="28" t="str">
        <x:v>withheld</x:v>
      </x:c>
      <x:c r="E11" s="28" t="str">
        <x:v>failure_unit_damage_ratio</x:v>
      </x:c>
      <x:c r="F11" s="28" t="str">
        <x:v>same-unit termination or pathway-segment replacement value</x:v>
      </x:c>
      <x:c r="G11" s="28" t="str">
        <x:v>future exact unit</x:v>
      </x:c>
      <x:c r="H11" s="28" t="str">
        <x:v>NO_RUNTIME_CURVE_FOR_PATHWAY_UNIT; CABLE_BODY_TERMINATION_PATHWAY_SPLIT_REQUIRED</x:v>
      </x:c>
    </x:row>
    <x:row r="12">
      <x:c r="A12" s="28" t="str">
        <x:v>FW_TURBINE_BASE_ELECTRICAL</x:v>
      </x:c>
      <x:c r="B12" s="28" t="str">
        <x:v>REPEATED TURBINE ELECTRICAL</x:v>
      </x:c>
      <x:c r="C12" s="28" t="str">
        <x:v>BASE CABINET CONVERTER SWITCHGEAR OR CONTROL</x:v>
      </x:c>
      <x:c r="D12" s="28" t="str">
        <x:v>withheld</x:v>
      </x:c>
      <x:c r="E12" s="28" t="str">
        <x:v>failure_unit_damage_ratio</x:v>
      </x:c>
      <x:c r="F12" s="28" t="str">
        <x:v>same-unit turbine-base electrical replacement value</x:v>
      </x:c>
      <x:c r="G12" s="28" t="str">
        <x:v>future exact unit</x:v>
      </x:c>
      <x:c r="H12" s="28" t="str">
        <x:v>NO_RUNTIME_CURVE_FOR_PATHWAY_UNIT; WIND_SPECIFIC_EQUIPMENT_DECOMPOSITION_REQUIRED</x:v>
      </x:c>
    </x:row>
    <x:row r="13">
      <x:c r="A13" s="28" t="str">
        <x:v>FW_PADMOUNT_STEPUP_TRANSFORMER</x:v>
      </x:c>
      <x:c r="B13" s="28" t="str">
        <x:v>REPEATED TURBINE ELECTRICAL</x:v>
      </x:c>
      <x:c r="C13" s="28" t="str">
        <x:v>PAD OR TURBINE STEPUP TRANSFORMER</x:v>
      </x:c>
      <x:c r="D13" s="28" t="str">
        <x:v>withheld</x:v>
      </x:c>
      <x:c r="E13" s="28" t="str">
        <x:v>failure_unit_damage_ratio</x:v>
      </x:c>
      <x:c r="F13" s="28" t="str">
        <x:v>same-unit pad or turbine step-up transformer replacement value</x:v>
      </x:c>
      <x:c r="G13" s="28" t="str">
        <x:v>future exact unit</x:v>
      </x:c>
      <x:c r="H13" s="28" t="str">
        <x:v>NO_RUNTIME_CURVE_FOR_PATHWAY_UNIT; PAD_TRANSFORMER_CONSTRUCTION_AND_VALUE_REQUIRED</x:v>
      </x:c>
    </x:row>
    <x:row r="14">
      <x:c r="A14" s="28" t="str">
        <x:v>FW_COLLECTION_CABLE_TERMINATIONS</x:v>
      </x:c>
      <x:c r="B14" s="28" t="str">
        <x:v>PLANT COLLECTION</x:v>
      </x:c>
      <x:c r="C14" s="28" t="str">
        <x:v>MV CABLE JOINT TERMINATION PULL BOX OR CONDUIT PATH</x:v>
      </x:c>
      <x:c r="D14" s="28" t="str">
        <x:v>withheld</x:v>
      </x:c>
      <x:c r="E14" s="28" t="str">
        <x:v>failure_unit_damage_ratio</x:v>
      </x:c>
      <x:c r="F14" s="28" t="str">
        <x:v>same point or line-segment replacement value</x:v>
      </x:c>
      <x:c r="G14" s="28" t="str">
        <x:v>future exact unit</x:v>
      </x:c>
      <x:c r="H14" s="28" t="str">
        <x:v>NO_RUNTIME_CURVE_FOR_PATHWAY_UNIT; LINE_NETWORK_EXPOSURE_AND_VALUE_REQUIRED</x:v>
      </x:c>
    </x:row>
    <x:row r="15">
      <x:c r="A15" s="28" t="str">
        <x:v>FW_TURBINE_FOUNDATION</x:v>
      </x:c>
      <x:c r="B15" s="28" t="str">
        <x:v>FOUNDATION</x:v>
      </x:c>
      <x:c r="C15" s="28" t="str">
        <x:v>TURBINE FOUNDATION AND SUPPORTING SOIL</x:v>
      </x:c>
      <x:c r="D15" s="28" t="str">
        <x:v>withheld</x:v>
      </x:c>
      <x:c r="E15" s="28" t="str">
        <x:v>failure_unit_damage_ratio</x:v>
      </x:c>
      <x:c r="F15" s="28" t="str">
        <x:v>same-unit turbine foundation replacement value</x:v>
      </x:c>
      <x:c r="G15" s="28" t="str">
        <x:v>future exact unit</x:v>
      </x:c>
      <x:c r="H15" s="28" t="str">
        <x:v>NO_RUNTIME_CURVE_FOR_PATHWAY_UNIT; SEPARATE_FLOOD_SCOUR_EROSION_PATHWAY_REQUIRED</x:v>
      </x:c>
    </x:row>
    <x:row r="16">
      <x:c r="A16" s="28" t="str">
        <x:v>FW_CIVIL_ACCESS_DRAINAGE</x:v>
      </x:c>
      <x:c r="B16" s="28" t="str">
        <x:v>PLANT CIVIL</x:v>
      </x:c>
      <x:c r="C16" s="28" t="str">
        <x:v>ROADS PADS DRAINAGE BUILDINGS AND FENCES MIXED</x:v>
      </x:c>
      <x:c r="D16" s="28" t="str">
        <x:v>withheld</x:v>
      </x:c>
      <x:c r="E16" s="28" t="str">
        <x:v>failure_unit_damage_ratio</x:v>
      </x:c>
      <x:c r="F16" s="28" t="str">
        <x:v>split same-unit civil replacement value</x:v>
      </x:c>
      <x:c r="G16" s="28" t="str">
        <x:v>future exact unit</x:v>
      </x:c>
      <x:c r="H16" s="28" t="str">
        <x:v>NO_RUNTIME_CURVE_FOR_PATHWAY_UNIT; MIXED_CIVIL_BUCKET_REQUIRES_SPLIT</x:v>
      </x:c>
    </x:row>
    <x:row r="17">
      <x:c r="A17" s="28" t="str">
        <x:v>FW_ELEVATED_TURBINE_EQUIPMENT</x:v>
      </x:c>
      <x:c r="B17" s="28" t="str">
        <x:v>REPEATED TURBINE</x:v>
      </x:c>
      <x:c r="C17" s="28" t="str">
        <x:v>ELEVATED ROTOR NACELLE AND TOWER EQUIPMENT</x:v>
      </x:c>
      <x:c r="D17" s="28" t="str">
        <x:v>withheld</x:v>
      </x:c>
      <x:c r="E17" s="28" t="str">
        <x:v>failure_unit_damage_ratio</x:v>
      </x:c>
      <x:c r="F17" s="28" t="str">
        <x:v>same-unit elevated turbine-equipment replacement value</x:v>
      </x:c>
      <x:c r="G17" s="28" t="str">
        <x:v>future exact unit</x:v>
      </x:c>
      <x:c r="H17" s="28" t="str">
        <x:v>NO_RUNTIME_CURVE_FOR_PATHWAY_UNIT; GEOMETRY_SCREENED_NOT_UNIVERSAL_ZERO</x:v>
      </x:c>
    </x:row>
    <x:row r="18">
      <x:c r="A18" s="28" t="str">
        <x:v>SUPPORT_FIELDWORK</x:v>
      </x:c>
      <x:c r="B18" s="28" t="str">
        <x:v>SUPPORT</x:v>
      </x:c>
      <x:c r="C18" s="28" t="str">
        <x:v>ASSEMBLY AND INSTALLATION</x:v>
      </x:c>
      <x:c r="D18" s="28" t="str">
        <x:v>withheld</x:v>
      </x:c>
      <x:c r="E18" s="28" t="str">
        <x:v>not_applicable_support_cost</x:v>
      </x:c>
      <x:c r="F18" s="28" t="str">
        <x:v>post-damage repair work scope</x:v>
      </x:c>
      <x:c r="G18" s="28" t="str">
        <x:v>future exact unit</x:v>
      </x:c>
      <x:c r="H18" s="28" t="str">
        <x:v>SUPPORT_COST_ALLOCATE_ONCE_AFTER_DISPOSITION; NO_INDEPENDENT_FRAGILITY</x:v>
      </x:c>
    </x:row>
    <x:row r="19">
      <x:c r="A19" s="30" t="str">
        <x:v>SUPPORT_TRANSPORT_LOGISTICS</x:v>
      </x:c>
      <x:c r="B19" s="30" t="str">
        <x:v>SUPPORT</x:v>
      </x:c>
      <x:c r="C19" s="30" t="str">
        <x:v>WIND TURBINE TRANSPORT AND LOGISTICS</x:v>
      </x:c>
      <x:c r="D19" s="30" t="str">
        <x:v>withheld</x:v>
      </x:c>
      <x:c r="E19" s="30" t="str">
        <x:v>not_applicable_support_cost</x:v>
      </x:c>
      <x:c r="F19" s="30" t="str">
        <x:v>post-damage replacement logistics scope</x:v>
      </x:c>
      <x:c r="G19" s="30" t="str">
        <x:v>future exact unit</x:v>
      </x:c>
      <x:c r="H19" s="30" t="str">
        <x:v>SUPPORT_COST_ALLOCATE_ONCE_AFTER_DISPOSITION; NO_INDEPENDENT_FRAGILITY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2" hidden="0" customWidth="1"/>
    <x:col min="7" max="7" width="22" hidden="0" customWidth="1"/>
    <x:col min="8" max="8" width="36" hidden="0" customWidth="1"/>
    <x:col min="9" max="9" width="22" hidden="0" customWidth="1"/>
    <x:col min="10" max="10" width="22" hidden="0" customWidth="1"/>
    <x:col min="11" max="11" width="22" hidden="0" customWidth="1"/>
    <x:col min="12" max="12" width="58" hidden="0" customWidth="1"/>
    <x:col min="13" max="13" width="58" hidden="0" customWidth="1"/>
    <x:col min="14" max="14" width="22" hidden="0" customWidth="1"/>
    <x:col min="15" max="15" width="58" hidden="0" customWidth="1"/>
  </x:cols>
  <x:sheetData>
    <x:row r="1" ht="26" customHeight="1">
      <x:c r="A1" s="2" t="str">
        <x:v>Value and denominator crosswalk</x:v>
      </x:c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4" t="str">
        <x:v>Reference value anatomy stays visible; no full-project TIV, mixed 72 USD/kW, or per-turbine GSU repetition</x:v>
      </x:c>
      <x:c r="B2" s="4"/>
      <x:c r="C2" s="4"/>
      <x:c r="D2" s="4"/>
      <x:c r="E2" s="4"/>
      <x:c r="F2" s="4"/>
      <x:c r="G2" s="4"/>
      <x:c r="H2" s="4"/>
      <x:c r="I2" s="4"/>
    </x:row>
    <x:row r="4">
      <x:c r="A4" s="13" t="str">
        <x:v>value_source_id</x:v>
      </x:c>
      <x:c r="B4" s="14" t="str">
        <x:v>source_location</x:v>
      </x:c>
      <x:c r="C4" s="14" t="str">
        <x:v>row_or_bucket_id</x:v>
      </x:c>
      <x:c r="D4" s="14" t="str">
        <x:v>row_or_bucket_label</x:v>
      </x:c>
      <x:c r="E4" s="14" t="str">
        <x:v>value</x:v>
      </x:c>
      <x:c r="F4" s="14" t="str">
        <x:v>unit</x:v>
      </x:c>
      <x:c r="G4" s="14" t="str">
        <x:v>financial_class</x:v>
      </x:c>
      <x:c r="H4" s="14" t="str">
        <x:v>failure_unit_id</x:v>
      </x:c>
      <x:c r="I4" s="14" t="str">
        <x:v>applicable_pathway_ids</x:v>
      </x:c>
      <x:c r="J4" s="14" t="str">
        <x:v>role_in_loss</x:v>
      </x:c>
      <x:c r="K4" s="14" t="str">
        <x:v>include_in_direct_denominator</x:v>
      </x:c>
      <x:c r="L4" s="14" t="str">
        <x:v>allocation_rule</x:v>
      </x:c>
      <x:c r="M4" s="14" t="str">
        <x:v>double_count_guardrail</x:v>
      </x:c>
      <x:c r="N4" s="14" t="str">
        <x:v>status</x:v>
      </x:c>
      <x:c r="O4" s="15" t="str">
        <x:v>notes</x:v>
      </x:c>
    </x:row>
    <x:row r="5">
      <x:c r="A5" s="27" t="str">
        <x:v>SITE_SOV_BOM_APPRAISAL</x:v>
      </x:c>
      <x:c r="B5" s="27" t="str">
        <x:v>site-controlled SOV, BOM, replacement appraisal, one-line, ownership agreement, and insured schedule</x:v>
      </x:c>
      <x:c r="C5" s="27" t="str">
        <x:v>FW_VALUE_HAZUS_GSU_SUBSTATION_ASSEMBLY</x:v>
      </x:c>
      <x:c r="D5" s="27" t="str">
        <x:v>Complete same-facility GSU/substation assembly</x:v>
      </x:c>
      <x:c r="E5" s="27" t="str"/>
      <x:c r="F5" s="27" t="str">
        <x:v>site_USD_required</x:v>
      </x:c>
      <x:c r="G5" s="27" t="str">
        <x:v>direct_hardware</x:v>
      </x:c>
      <x:c r="H5" s="27" t="str">
        <x:v>FW_HAZUS_GSU_SUBSTATION_ASSEMBLY</x:v>
      </x:c>
      <x:c r="I5" s="27" t="str">
        <x:v>flood_inundation_contact</x:v>
      </x:c>
      <x:c r="J5" s="27" t="str">
        <x:v>direct_vulnerable_value_after_promotion</x:v>
      </x:c>
      <x:c r="K5" s="27" t="str">
        <x:v>true</x:v>
      </x:c>
      <x:c r="L5" s="27" t="str">
        <x:v>Bind DR to the full non-overlapping direct replacement value of one actual facility-level GSU/substation; require value basis/date/currency, quantity one, exposure fraction, owner, project-owned status, and insured inclusion for insured views.</x:v>
      </x:c>
      <x:c r="M5" s="27" t="str">
        <x:v>Mutually exclusive with all six FW_GSU component rows; do not use full project TIV, the 72 USD/kW mixed row, the legacy 9% share, or repeat one facility substation by turbine count.</x:v>
      </x:c>
      <x:c r="N5" s="27" t="str">
        <x:v>required_external_withheld_before_promotion</x:v>
      </x:c>
      <x:c r="O5" s="27" t="str">
        <x:v>Reference evaluator emits DR only; scenario value binding remains consumer-side and noncanonical.</x:v>
      </x:c>
    </x:row>
    <x:row r="6">
      <x:c r="A6" s="28" t="str">
        <x:v>NREL_CWER_2024</x:v>
      </x:c>
      <x:c r="B6" s="28" t="str">
        <x:v>docs/method/value_basis/solar_wind_value_breakdown.xlsx::Wind_Map!12</x:v>
      </x:c>
      <x:c r="C6" s="28" t="str">
        <x:v>WIND_VALUE_012_ELECTRICAL</x:v>
      </x:c>
      <x:c r="D6" s="28" t="str">
        <x:v>Electrical infrastructure</x:v>
      </x:c>
      <x:c r="E6" s="28" t="str">
        <x:v>72</x:v>
      </x:c>
      <x:c r="F6" s="28" t="str">
        <x:v>2023_USD_per_kW</x:v>
      </x:c>
      <x:c r="G6" s="28" t="str">
        <x:v>mixed_direct_hardware</x:v>
      </x:c>
      <x:c r="H6" s="28" t="str">
        <x:v>FW_ELECTRICAL_ROLLUP_UNSPLIT</x:v>
      </x:c>
      <x:c r="I6" s="28" t="str">
        <x:v>flood_inundation_contact</x:v>
      </x:c>
      <x:c r="J6" s="28" t="str">
        <x:v>split_required</x:v>
      </x:c>
      <x:c r="K6" s="28" t="str">
        <x:v>false</x:v>
      </x:c>
      <x:c r="L6" s="28" t="str">
        <x:v>Split among turbine-base, pad, collection, and substation components using a site/OEM schedule before any component loss.</x:v>
      </x:c>
      <x:c r="M6" s="28" t="str">
        <x:v>Never use as the Hazus assembly denominator; do not add a legacy 9% substation share or repeat one GSU per turbine.</x:v>
      </x:c>
      <x:c r="N6" s="28" t="str">
        <x:v>withheld_split_required</x:v>
      </x:c>
      <x:c r="O6" s="28" t="str">
        <x:v>Reference rollup only.</x:v>
      </x:c>
    </x:row>
    <x:row r="7">
      <x:c r="A7" s="28" t="str">
        <x:v>NREL_CWER_2024</x:v>
      </x:c>
      <x:c r="B7" s="28" t="str">
        <x:v>Wind_Map!12</x:v>
      </x:c>
      <x:c r="C7" s="28" t="str">
        <x:v>FW_VALUE_GSU_SWITCHGEAR</x:v>
      </x:c>
      <x:c r="D7" s="28" t="str">
        <x:v>Substation switchgear</x:v>
      </x:c>
      <x:c r="E7" s="28" t="str"/>
      <x:c r="F7" s="28" t="str">
        <x:v>site_USD_required</x:v>
      </x:c>
      <x:c r="G7" s="28" t="str">
        <x:v>direct_hardware</x:v>
      </x:c>
      <x:c r="H7" s="28" t="str">
        <x:v>FW_GSU_SWITCHGEAR</x:v>
      </x:c>
      <x:c r="I7" s="28" t="str">
        <x:v>flood_inundation_contact</x:v>
      </x:c>
      <x:c r="J7" s="28" t="str">
        <x:v>direct_vulnerable_value</x:v>
      </x:c>
      <x:c r="K7" s="28" t="str">
        <x:v>false</x:v>
      </x:c>
      <x:c r="L7" s="28" t="str">
        <x:v>Site component value and ownership required for a future component record.</x:v>
      </x:c>
      <x:c r="M7" s="28" t="str">
        <x:v>When FW_HAZUS_GSU_SUBSTATION_ASSEMBLY is selected, this component value and response must be excluded; never apply DR to the full 72 USD/kW row or project TIV.</x:v>
      </x:c>
      <x:c r="N7" s="28" t="str">
        <x:v>withheld_value_curve_and_ownership</x:v>
      </x:c>
      <x:c r="O7" s="28" t="str">
        <x:v>No public split and no component runtime curve.</x:v>
      </x:c>
    </x:row>
    <x:row r="8">
      <x:c r="A8" s="28" t="str">
        <x:v>NREL_CWER_2024</x:v>
      </x:c>
      <x:c r="B8" s="28" t="str">
        <x:v>Wind_Map!12</x:v>
      </x:c>
      <x:c r="C8" s="28" t="str">
        <x:v>FW_VALUE_GSU_TRANSFORMER_MAIN</x:v>
      </x:c>
      <x:c r="D8" s="28" t="str">
        <x:v>Plant GSU main transformer</x:v>
      </x:c>
      <x:c r="E8" s="28" t="str"/>
      <x:c r="F8" s="28" t="str">
        <x:v>site_USD_required</x:v>
      </x:c>
      <x:c r="G8" s="28" t="str">
        <x:v>direct_hardware</x:v>
      </x:c>
      <x:c r="H8" s="28" t="str">
        <x:v>FW_GSU_TRANSFORMER_MAIN</x:v>
      </x:c>
      <x:c r="I8" s="28" t="str">
        <x:v>flood_inundation_contact</x:v>
      </x:c>
      <x:c r="J8" s="28" t="str">
        <x:v>direct_vulnerable_value</x:v>
      </x:c>
      <x:c r="K8" s="28" t="str">
        <x:v>false</x:v>
      </x:c>
      <x:c r="L8" s="28" t="str">
        <x:v>Site component value and ownership required for a future component record.</x:v>
      </x:c>
      <x:c r="M8" s="28" t="str">
        <x:v>When FW_HAZUS_GSU_SUBSTATION_ASSEMBLY is selected, exclude this row; do not use control exposure against full transformer value without a dependency-safe state.</x:v>
      </x:c>
      <x:c r="N8" s="28" t="str">
        <x:v>withheld_value_curve_and_ownership</x:v>
      </x:c>
      <x:c r="O8" s="28" t="str">
        <x:v>No public split and no component runtime curve.</x:v>
      </x:c>
    </x:row>
    <x:row r="9">
      <x:c r="A9" s="28" t="str">
        <x:v>NREL_CWER_2024</x:v>
      </x:c>
      <x:c r="B9" s="28" t="str">
        <x:v>Wind_Map!12</x:v>
      </x:c>
      <x:c r="C9" s="28" t="str">
        <x:v>FW_VALUE_GSU_TRANSFORMER_AUX</x:v>
      </x:c>
      <x:c r="D9" s="28" t="str">
        <x:v>GSU auxiliaries and controls</x:v>
      </x:c>
      <x:c r="E9" s="28" t="str"/>
      <x:c r="F9" s="28" t="str">
        <x:v>site_USD_required</x:v>
      </x:c>
      <x:c r="G9" s="28" t="str">
        <x:v>direct_hardware</x:v>
      </x:c>
      <x:c r="H9" s="28" t="str">
        <x:v>FW_GSU_TRANSFORMER_AUX_CONTROLS</x:v>
      </x:c>
      <x:c r="I9" s="28" t="str">
        <x:v>flood_inundation_contact</x:v>
      </x:c>
      <x:c r="J9" s="28" t="str">
        <x:v>direct_vulnerable_value</x:v>
      </x:c>
      <x:c r="K9" s="28" t="str">
        <x:v>false</x:v>
      </x:c>
      <x:c r="L9" s="28" t="str">
        <x:v>Separate SOV/BOM or dependency-safe assembly required for a future component record.</x:v>
      </x:c>
      <x:c r="M9" s="28" t="str">
        <x:v>When FW_HAZUS_GSU_SUBSTATION_ASSEMBLY is selected, exclude this row; never duplicate value inside main transformer and auxiliaries.</x:v>
      </x:c>
      <x:c r="N9" s="28" t="str">
        <x:v>withheld_value_curve_and_ownership</x:v>
      </x:c>
      <x:c r="O9" s="28" t="str">
        <x:v>No public split and no component runtime curve.</x:v>
      </x:c>
    </x:row>
    <x:row r="10">
      <x:c r="A10" s="28" t="str">
        <x:v>NREL_CWER_2024</x:v>
      </x:c>
      <x:c r="B10" s="28" t="str">
        <x:v>Wind_Map!12</x:v>
      </x:c>
      <x:c r="C10" s="28" t="str">
        <x:v>FW_VALUE_GSU_PROTECTION</x:v>
      </x:c>
      <x:c r="D10" s="28" t="str">
        <x:v>Protection SCADA and control</x:v>
      </x:c>
      <x:c r="E10" s="28" t="str"/>
      <x:c r="F10" s="28" t="str">
        <x:v>site_USD_required</x:v>
      </x:c>
      <x:c r="G10" s="28" t="str">
        <x:v>direct_hardware</x:v>
      </x:c>
      <x:c r="H10" s="28" t="str">
        <x:v>FW_GSU_PROTECTION_SCADA</x:v>
      </x:c>
      <x:c r="I10" s="28" t="str">
        <x:v>flood_inundation_contact</x:v>
      </x:c>
      <x:c r="J10" s="28" t="str">
        <x:v>direct_vulnerable_value</x:v>
      </x:c>
      <x:c r="K10" s="28" t="str">
        <x:v>false</x:v>
      </x:c>
      <x:c r="L10" s="28" t="str">
        <x:v>Separate physical equipment value from outage consequence for a future component record.</x:v>
      </x:c>
      <x:c r="M10" s="28" t="str">
        <x:v>When FW_HAZUS_GSU_SUBSTATION_ASSEMBLY is selected, exclude this row; never convert MW outage to value or add plant BI.</x:v>
      </x:c>
      <x:c r="N10" s="28" t="str">
        <x:v>withheld_value_curve_and_ownership</x:v>
      </x:c>
      <x:c r="O10" s="28" t="str">
        <x:v>No public split and no component runtime curve.</x:v>
      </x:c>
    </x:row>
    <x:row r="11">
      <x:c r="A11" s="28" t="str">
        <x:v>NREL_CWER_2024</x:v>
      </x:c>
      <x:c r="B11" s="28" t="str">
        <x:v>Wind_Map!12</x:v>
      </x:c>
      <x:c r="C11" s="28" t="str">
        <x:v>FW_VALUE_GSU_STATION_DC</x:v>
      </x:c>
      <x:c r="D11" s="28" t="str">
        <x:v>Station service and DC power</x:v>
      </x:c>
      <x:c r="E11" s="28" t="str"/>
      <x:c r="F11" s="28" t="str">
        <x:v>site_USD_required</x:v>
      </x:c>
      <x:c r="G11" s="28" t="str">
        <x:v>direct_hardware</x:v>
      </x:c>
      <x:c r="H11" s="28" t="str">
        <x:v>FW_GSU_STATION_SERVICE_DC</x:v>
      </x:c>
      <x:c r="I11" s="28" t="str">
        <x:v>flood_inundation_contact</x:v>
      </x:c>
      <x:c r="J11" s="28" t="str">
        <x:v>direct_vulnerable_value</x:v>
      </x:c>
      <x:c r="K11" s="28" t="str">
        <x:v>false</x:v>
      </x:c>
      <x:c r="L11" s="28" t="str">
        <x:v>Site equipment schedule required for a future component record.</x:v>
      </x:c>
      <x:c r="M11" s="28" t="str">
        <x:v>When FW_HAZUS_GSU_SUBSTATION_ASSEMBLY is selected, exclude this row; never include it twice through protection/control value.</x:v>
      </x:c>
      <x:c r="N11" s="28" t="str">
        <x:v>withheld_value_curve_and_ownership</x:v>
      </x:c>
      <x:c r="O11" s="28" t="str">
        <x:v>No public split and no component runtime curve.</x:v>
      </x:c>
    </x:row>
    <x:row r="12">
      <x:c r="A12" s="28" t="str">
        <x:v>NREL_CWER_2024</x:v>
      </x:c>
      <x:c r="B12" s="28" t="str">
        <x:v>Wind_Map!12</x:v>
      </x:c>
      <x:c r="C12" s="28" t="str">
        <x:v>FW_VALUE_GSU_TERMINATIONS</x:v>
      </x:c>
      <x:c r="D12" s="28" t="str">
        <x:v>GSU cable terminations and pathways</x:v>
      </x:c>
      <x:c r="E12" s="28" t="str"/>
      <x:c r="F12" s="28" t="str">
        <x:v>site_USD_required</x:v>
      </x:c>
      <x:c r="G12" s="28" t="str">
        <x:v>direct_hardware</x:v>
      </x:c>
      <x:c r="H12" s="28" t="str">
        <x:v>FW_GSU_CABLE_TERMINATIONS</x:v>
      </x:c>
      <x:c r="I12" s="28" t="str">
        <x:v>flood_inundation_contact</x:v>
      </x:c>
      <x:c r="J12" s="28" t="str">
        <x:v>direct_vulnerable_value</x:v>
      </x:c>
      <x:c r="K12" s="28" t="str">
        <x:v>false</x:v>
      </x:c>
      <x:c r="L12" s="28" t="str">
        <x:v>Separate cable body, joints, terminations, pull boxes, and conduits for a future component record.</x:v>
      </x:c>
      <x:c r="M12" s="28" t="str">
        <x:v>When FW_HAZUS_GSU_SUBSTATION_ASSEMBLY is selected, exclude this row; never apply a full cable-rollup DR to pathway damage.</x:v>
      </x:c>
      <x:c r="N12" s="28" t="str">
        <x:v>withheld_value_curve_and_ownership</x:v>
      </x:c>
      <x:c r="O12" s="28" t="str">
        <x:v>No public split and no component runtime curve.</x:v>
      </x:c>
    </x:row>
    <x:row r="13">
      <x:c r="A13" s="28" t="str">
        <x:v>NREL_CWER_2024</x:v>
      </x:c>
      <x:c r="B13" s="28" t="str">
        <x:v>Wind_Map!12</x:v>
      </x:c>
      <x:c r="C13" s="28" t="str">
        <x:v>FW_VALUE_TURBINE_BASE</x:v>
      </x:c>
      <x:c r="D13" s="28" t="str">
        <x:v>Turbine-base power electronics and switchgear</x:v>
      </x:c>
      <x:c r="E13" s="28" t="str"/>
      <x:c r="F13" s="28" t="str">
        <x:v>site_USD_required</x:v>
      </x:c>
      <x:c r="G13" s="28" t="str">
        <x:v>direct_hardware</x:v>
      </x:c>
      <x:c r="H13" s="28" t="str">
        <x:v>FW_TURBINE_BASE_ELECTRICAL</x:v>
      </x:c>
      <x:c r="I13" s="28" t="str">
        <x:v>flood_inundation_contact</x:v>
      </x:c>
      <x:c r="J13" s="28" t="str">
        <x:v>direct_vulnerable_value</x:v>
      </x:c>
      <x:c r="K13" s="28" t="str">
        <x:v>false</x:v>
      </x:c>
      <x:c r="L13" s="28" t="str">
        <x:v>Split per turbine/cluster and use local equipment value.</x:v>
      </x:c>
      <x:c r="M13" s="28" t="str">
        <x:v>Do not use solar inverter value, the Hazus facility-substation DR, or the full electrical rollup.</x:v>
      </x:c>
      <x:c r="N13" s="28" t="str">
        <x:v>withheld_split_and_curve_required</x:v>
      </x:c>
      <x:c r="O13" s="28" t="str">
        <x:v>Wind-specific inventory.</x:v>
      </x:c>
    </x:row>
    <x:row r="14">
      <x:c r="A14" s="28" t="str">
        <x:v>NREL_CWER_2024</x:v>
      </x:c>
      <x:c r="B14" s="28" t="str">
        <x:v>Wind_Map!12</x:v>
      </x:c>
      <x:c r="C14" s="28" t="str">
        <x:v>FW_VALUE_PAD_TRANSFORMER</x:v>
      </x:c>
      <x:c r="D14" s="28" t="str">
        <x:v>Pad or turbine step-up transformer</x:v>
      </x:c>
      <x:c r="E14" s="28" t="str"/>
      <x:c r="F14" s="28" t="str">
        <x:v>site_USD_required</x:v>
      </x:c>
      <x:c r="G14" s="28" t="str">
        <x:v>direct_hardware</x:v>
      </x:c>
      <x:c r="H14" s="28" t="str">
        <x:v>FW_PADMOUNT_STEPUP_TRANSFORMER</x:v>
      </x:c>
      <x:c r="I14" s="28" t="str">
        <x:v>flood_inundation_contact</x:v>
      </x:c>
      <x:c r="J14" s="28" t="str">
        <x:v>direct_vulnerable_value</x:v>
      </x:c>
      <x:c r="K14" s="28" t="str">
        <x:v>false</x:v>
      </x:c>
      <x:c r="L14" s="28" t="str">
        <x:v>Split by installed units and ownership.</x:v>
      </x:c>
      <x:c r="M14" s="28" t="str">
        <x:v>Do not include inside turbine equipment and external electrical twice or use the Hazus facility-substation DR.</x:v>
      </x:c>
      <x:c r="N14" s="28" t="str">
        <x:v>withheld_split_and_curve_required</x:v>
      </x:c>
      <x:c r="O14" s="28" t="str">
        <x:v>Wind-specific inventory.</x:v>
      </x:c>
    </x:row>
    <x:row r="15">
      <x:c r="A15" s="28" t="str">
        <x:v>NREL_CWER_2024</x:v>
      </x:c>
      <x:c r="B15" s="28" t="str">
        <x:v>Wind_Map!12</x:v>
      </x:c>
      <x:c r="C15" s="28" t="str">
        <x:v>FW_VALUE_COLLECTION_TERMINATIONS</x:v>
      </x:c>
      <x:c r="D15" s="28" t="str">
        <x:v>Wind MV collection cable terminations</x:v>
      </x:c>
      <x:c r="E15" s="28" t="str"/>
      <x:c r="F15" s="28" t="str">
        <x:v>site_USD_required</x:v>
      </x:c>
      <x:c r="G15" s="28" t="str">
        <x:v>direct_hardware</x:v>
      </x:c>
      <x:c r="H15" s="28" t="str">
        <x:v>FW_COLLECTION_CABLE_TERMINATIONS</x:v>
      </x:c>
      <x:c r="I15" s="28" t="str">
        <x:v>flood_inundation_contact</x:v>
      </x:c>
      <x:c r="J15" s="28" t="str">
        <x:v>direct_vulnerable_value</x:v>
      </x:c>
      <x:c r="K15" s="28" t="str">
        <x:v>false</x:v>
      </x:c>
      <x:c r="L15" s="28" t="str">
        <x:v>Segment/termination schedule and line-network exposure required.</x:v>
      </x:c>
      <x:c r="M15" s="28" t="str">
        <x:v>Do not allocate by turbine count alone or use the Hazus facility-substation DR.</x:v>
      </x:c>
      <x:c r="N15" s="28" t="str">
        <x:v>withheld_split_and_curve_required</x:v>
      </x:c>
      <x:c r="O15" s="28" t="str">
        <x:v>Wind-specific inventory.</x:v>
      </x:c>
    </x:row>
    <x:row r="16">
      <x:c r="A16" s="28" t="str">
        <x:v>NREL_CWER_2024</x:v>
      </x:c>
      <x:c r="B16" s="28" t="str">
        <x:v>Wind_Map!10</x:v>
      </x:c>
      <x:c r="C16" s="28" t="str">
        <x:v>WIND_VALUE_010_FOUNDATION</x:v>
      </x:c>
      <x:c r="D16" s="28" t="str">
        <x:v>Foundation</x:v>
      </x:c>
      <x:c r="E16" s="28" t="str">
        <x:v>120</x:v>
      </x:c>
      <x:c r="F16" s="28" t="str">
        <x:v>2023_USD_per_kW</x:v>
      </x:c>
      <x:c r="G16" s="28" t="str">
        <x:v>direct_hardware</x:v>
      </x:c>
      <x:c r="H16" s="28" t="str">
        <x:v>FW_TURBINE_FOUNDATION</x:v>
      </x:c>
      <x:c r="I16" s="28" t="str">
        <x:v>flood_scour_erosion</x:v>
      </x:c>
      <x:c r="J16" s="28" t="str">
        <x:v>withheld_separate_pathway</x:v>
      </x:c>
      <x:c r="K16" s="28" t="str">
        <x:v>false</x:v>
      </x:c>
      <x:c r="L16" s="28" t="str">
        <x:v>Site foundation type/value and hydraulic/geotechnical response required.</x:v>
      </x:c>
      <x:c r="M16" s="28" t="str">
        <x:v>Do not use the Hazus assembly curve, legacy depth logistic, or treat missing response as zero.</x:v>
      </x:c>
      <x:c r="N16" s="28" t="str">
        <x:v>withheld</x:v>
      </x:c>
      <x:c r="O16" s="28" t="str">
        <x:v>Reference value only.</x:v>
      </x:c>
    </x:row>
    <x:row r="17">
      <x:c r="A17" s="28" t="str">
        <x:v>NREL_CWER_2024</x:v>
      </x:c>
      <x:c r="B17" s="28" t="str">
        <x:v>Wind_Map!11</x:v>
      </x:c>
      <x:c r="C17" s="28" t="str">
        <x:v>WIND_VALUE_011_CIVIL</x:v>
      </x:c>
      <x:c r="D17" s="28" t="str">
        <x:v>Site access staging and facilities</x:v>
      </x:c>
      <x:c r="E17" s="28" t="str">
        <x:v>47</x:v>
      </x:c>
      <x:c r="F17" s="28" t="str">
        <x:v>2023_USD_per_kW</x:v>
      </x:c>
      <x:c r="G17" s="28" t="str">
        <x:v>mixed_civil</x:v>
      </x:c>
      <x:c r="H17" s="28" t="str">
        <x:v>FW_CIVIL_ACCESS_DRAINAGE</x:v>
      </x:c>
      <x:c r="I17" s="28" t="str">
        <x:v>flood_scour_erosion</x:v>
      </x:c>
      <x:c r="J17" s="28" t="str">
        <x:v>split_required</x:v>
      </x:c>
      <x:c r="K17" s="28" t="str">
        <x:v>false</x:v>
      </x:c>
      <x:c r="L17" s="28" t="str">
        <x:v>Split roads, pads, drainage, buildings, and fences before exposure/value.</x:v>
      </x:c>
      <x:c r="M17" s="28" t="str">
        <x:v>Do not apply one civil depth curve or the Hazus assembly curve to the mixed row.</x:v>
      </x:c>
      <x:c r="N17" s="28" t="str">
        <x:v>withheld</x:v>
      </x:c>
      <x:c r="O17" s="28" t="str">
        <x:v>Reference value only.</x:v>
      </x:c>
    </x:row>
    <x:row r="18">
      <x:c r="A18" s="28" t="str">
        <x:v>NREL_CWER_2024</x:v>
      </x:c>
      <x:c r="B18" s="28" t="str">
        <x:v>Wind_Map!2:9</x:v>
      </x:c>
      <x:c r="C18" s="28" t="str">
        <x:v>WT_ELEVATED_EQUIPMENT_TOTAL</x:v>
      </x:c>
      <x:c r="D18" s="28" t="str">
        <x:v>Elevated turbine equipment</x:v>
      </x:c>
      <x:c r="E18" s="28" t="str">
        <x:v>1090</x:v>
      </x:c>
      <x:c r="F18" s="28" t="str">
        <x:v>2023_USD_per_kW</x:v>
      </x:c>
      <x:c r="G18" s="28" t="str">
        <x:v>direct_hardware</x:v>
      </x:c>
      <x:c r="H18" s="28" t="str">
        <x:v>FW_ELEVATED_TURBINE_EQUIPMENT</x:v>
      </x:c>
      <x:c r="I18" s="28" t="str">
        <x:v>flood_inundation_contact</x:v>
      </x:c>
      <x:c r="J18" s="28" t="str">
        <x:v>reconciliation_geometry_screen</x:v>
      </x:c>
      <x:c r="K18" s="28" t="str">
        <x:v>false</x:v>
      </x:c>
      <x:c r="L18" s="28" t="str">
        <x:v>Include only if water reaches a documented vulnerable path/component; otherwise geometry-screened.</x:v>
      </x:c>
      <x:c r="M18" s="28" t="str">
        <x:v>Do not declare universal immunity, use the share as a DR cap, or apply the Hazus facility-substation curve.</x:v>
      </x:c>
      <x:c r="N18" s="28" t="str">
        <x:v>withheld_geometry_dependent</x:v>
      </x:c>
      <x:c r="O18" s="28" t="str">
        <x:v>Rotor nacelle tower/equipment reference rollup.</x:v>
      </x:c>
    </x:row>
    <x:row r="19">
      <x:c r="A19" s="28" t="str">
        <x:v>NREL_CWER_2024</x:v>
      </x:c>
      <x:c r="B19" s="28" t="str">
        <x:v>Wind_Map!13</x:v>
      </x:c>
      <x:c r="C19" s="28" t="str">
        <x:v>WIND_VALUE_013_FIELDWORK</x:v>
      </x:c>
      <x:c r="D19" s="28" t="str">
        <x:v>Assembly and installation</x:v>
      </x:c>
      <x:c r="E19" s="28" t="str">
        <x:v>100</x:v>
      </x:c>
      <x:c r="F19" s="28" t="str">
        <x:v>2023_USD_per_kW</x:v>
      </x:c>
      <x:c r="G19" s="28" t="str">
        <x:v>support_logistics</x:v>
      </x:c>
      <x:c r="H19" s="28" t="str">
        <x:v>SUPPORT_FIELDWORK</x:v>
      </x:c>
      <x:c r="I19" s="28" t="str">
        <x:v>all_shared</x:v>
      </x:c>
      <x:c r="J19" s="28" t="str">
        <x:v>support_once</x:v>
      </x:c>
      <x:c r="K19" s="28" t="str">
        <x:v>false</x:v>
      </x:c>
      <x:c r="L19" s="28" t="str">
        <x:v>Allocate once after qualified repair scope and only under a reviewed consumer value policy.</x:v>
      </x:c>
      <x:c r="M19" s="28" t="str">
        <x:v>No independent fragility, automatic proportional add-on, or duplication inside assembly replacement value.</x:v>
      </x:c>
      <x:c r="N19" s="28" t="str">
        <x:v>mapped_support_rule_open</x:v>
      </x:c>
      <x:c r="O19" s="28" t="str">
        <x:v>Reference only.</x:v>
      </x:c>
    </x:row>
    <x:row r="20">
      <x:c r="A20" s="28" t="str">
        <x:v>NREL_CWER_2024</x:v>
      </x:c>
      <x:c r="B20" s="28" t="str">
        <x:v>Wind_Map!14</x:v>
      </x:c>
      <x:c r="C20" s="28" t="str">
        <x:v>WIND_VALUE_014_TRANSPORT</x:v>
      </x:c>
      <x:c r="D20" s="28" t="str">
        <x:v>Wind turbine transport</x:v>
      </x:c>
      <x:c r="E20" s="28" t="str">
        <x:v>194</x:v>
      </x:c>
      <x:c r="F20" s="28" t="str">
        <x:v>2023_USD_per_kW</x:v>
      </x:c>
      <x:c r="G20" s="28" t="str">
        <x:v>support_logistics</x:v>
      </x:c>
      <x:c r="H20" s="28" t="str">
        <x:v>SUPPORT_TRANSPORT_LOGISTICS</x:v>
      </x:c>
      <x:c r="I20" s="28" t="str">
        <x:v>all_shared</x:v>
      </x:c>
      <x:c r="J20" s="28" t="str">
        <x:v>support_once</x:v>
      </x:c>
      <x:c r="K20" s="28" t="str">
        <x:v>false</x:v>
      </x:c>
      <x:c r="L20" s="28" t="str">
        <x:v>Allocate once when replacement and logistics require it and only under a reviewed consumer value policy.</x:v>
      </x:c>
      <x:c r="M20" s="28" t="str">
        <x:v>Do not include in the intrinsic DR denominator, add it again, or assume wind-turbine transport applies to substation repair.</x:v>
      </x:c>
      <x:c r="N20" s="28" t="str">
        <x:v>mapped_support_rule_open</x:v>
      </x:c>
      <x:c r="O20" s="28" t="str">
        <x:v>Reference only.</x:v>
      </x:c>
    </x:row>
    <x:row r="21">
      <x:c r="A21" s="28" t="str">
        <x:v>SUMMARY</x:v>
      </x:c>
      <x:c r="B21" s="28" t="str">
        <x:v>Wind_Map!2:14</x:v>
      </x:c>
      <x:c r="C21" s="28" t="str">
        <x:v>PHYSICAL_REFERENCE_TOTAL</x:v>
      </x:c>
      <x:c r="D21" s="28" t="str">
        <x:v>Physical reference basis</x:v>
      </x:c>
      <x:c r="E21" s="28" t="str">
        <x:v>1623</x:v>
      </x:c>
      <x:c r="F21" s="28" t="str">
        <x:v>2023_USD_per_kW</x:v>
      </x:c>
      <x:c r="G21" s="28" t="str">
        <x:v>reconciliation</x:v>
      </x:c>
      <x:c r="H21" s="28" t="str">
        <x:v>REFERENCE_DENOMINATOR_ONLY</x:v>
      </x:c>
      <x:c r="I21" s="28" t="str">
        <x:v>all_shared</x:v>
      </x:c>
      <x:c r="J21" s="28" t="str">
        <x:v>reference</x:v>
      </x:c>
      <x:c r="K21" s="28" t="str">
        <x:v>false</x:v>
      </x:c>
      <x:c r="L21" s="28" t="str">
        <x:v>1090 equipment + 120 foundation + 47 civil + 72 electrical + 294 support.</x:v>
      </x:c>
      <x:c r="M21" s="28" t="str">
        <x:v>No pooled physical-base DR and no Hazus assembly denominator.</x:v>
      </x:c>
      <x:c r="N21" s="28" t="str">
        <x:v>reconciled</x:v>
      </x:c>
      <x:c r="O21" s="28" t="str">
        <x:v>Reference reporting denominator only.</x:v>
      </x:c>
    </x:row>
    <x:row r="22">
      <x:c r="A22" s="28" t="str">
        <x:v>SUMMARY</x:v>
      </x:c>
      <x:c r="B22" s="28" t="str">
        <x:v>Wind_Map!15:19</x:v>
      </x:c>
      <x:c r="C22" s="28" t="str">
        <x:v>EXCLUDED_TOTAL</x:v>
      </x:c>
      <x:c r="D22" s="28" t="str">
        <x:v>Excluded soft sunk nonphysical</x:v>
      </x:c>
      <x:c r="E22" s="28" t="str">
        <x:v>345</x:v>
      </x:c>
      <x:c r="F22" s="28" t="str">
        <x:v>2023_USD_per_kW</x:v>
      </x:c>
      <x:c r="G22" s="28" t="str">
        <x:v>reconciliation</x:v>
      </x:c>
      <x:c r="H22" s="28" t="str">
        <x:v>OUTSIDE_PHYSICAL_CELL</x:v>
      </x:c>
      <x:c r="I22" s="28" t="str">
        <x:v>all_shared</x:v>
      </x:c>
      <x:c r="J22" s="28" t="str">
        <x:v>excluded</x:v>
      </x:c>
      <x:c r="K22" s="28" t="str">
        <x:v>false</x:v>
      </x:c>
      <x:c r="L22" s="28" t="str">
        <x:v>Exclude from direct physical destruction by default.</x:v>
      </x:c>
      <x:c r="M22" s="28" t="str">
        <x:v>Do not reintroduce through damage or support scaling.</x:v>
      </x:c>
      <x:c r="N22" s="28" t="str">
        <x:v>reconciled</x:v>
      </x:c>
      <x:c r="O22" s="28" t="str">
        <x:v>Installed minus physical.</x:v>
      </x:c>
    </x:row>
    <x:row r="23">
      <x:c r="A23" s="30" t="str">
        <x:v>SUMMARY</x:v>
      </x:c>
      <x:c r="B23" s="30" t="str">
        <x:v>Wind_Map!2:19</x:v>
      </x:c>
      <x:c r="C23" s="30" t="str">
        <x:v>INSTALLED_REFERENCE_TOTAL</x:v>
      </x:c>
      <x:c r="D23" s="30" t="str">
        <x:v>Installed reference basis</x:v>
      </x:c>
      <x:c r="E23" s="30" t="str">
        <x:v>1968</x:v>
      </x:c>
      <x:c r="F23" s="30" t="str">
        <x:v>2023_USD_per_kW</x:v>
      </x:c>
      <x:c r="G23" s="30" t="str">
        <x:v>reconciliation</x:v>
      </x:c>
      <x:c r="H23" s="30" t="str">
        <x:v>REFERENCE_REPORTING_DENOMINATOR</x:v>
      </x:c>
      <x:c r="I23" s="30" t="str">
        <x:v>all_shared</x:v>
      </x:c>
      <x:c r="J23" s="30" t="str">
        <x:v>reference</x:v>
      </x:c>
      <x:c r="K23" s="30" t="str">
        <x:v>false</x:v>
      </x:c>
      <x:c r="L23" s="30" t="str">
        <x:v>Reference reporting denominator only.</x:v>
      </x:c>
      <x:c r="M23" s="30" t="str">
        <x:v>No implicit full-TIV curve, Hazus assembly denominator, or scenario loss.</x:v>
      </x:c>
      <x:c r="N23" s="30" t="str">
        <x:v>reconciled</x:v>
      </x:c>
      <x:c r="O23" s="30" t="str">
        <x:v>Physical 1623 plus excluded 345.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26" customHeight="1">
      <x:c r="A1" s="2" t="str">
        <x:v>Old versus new</x:v>
      </x:c>
      <x:c r="B1" s="2"/>
      <x:c r="C1" s="2"/>
      <x:c r="D1" s="2"/>
      <x:c r="E1" s="2"/>
      <x:c r="F1" s="2"/>
      <x:c r="G1" s="2"/>
      <x:c r="H1" s="2"/>
    </x:row>
    <x:row r="2" ht="22" customHeight="1">
      <x:c r="A2" s="4" t="str">
        <x:v>The change is partial numerical coverage, not canonical admission or a whole-wind-farm model</x:v>
      </x:c>
      <x:c r="B2" s="4"/>
      <x:c r="C2" s="4"/>
      <x:c r="D2" s="4"/>
      <x:c r="E2" s="4"/>
      <x:c r="F2" s="4"/>
      <x:c r="G2" s="4"/>
      <x:c r="H2" s="4"/>
    </x:row>
    <x:row r="4">
      <x:c r="A4" s="13" t="str">
        <x:v>comparison_id</x:v>
      </x:c>
      <x:c r="B4" s="14" t="str">
        <x:v>request_case</x:v>
      </x:c>
      <x:c r="C4" s="14" t="str">
        <x:v>flood_depth_above_substation_grade_ft</x:v>
      </x:c>
      <x:c r="D4" s="14" t="str">
        <x:v>substation_hazus_class</x:v>
      </x:c>
      <x:c r="E4" s="14" t="str">
        <x:v>water_quality_class</x:v>
      </x:c>
      <x:c r="F4" s="14" t="str">
        <x:v>delivered_depth_basis</x:v>
      </x:c>
      <x:c r="G4" s="14" t="str">
        <x:v>source_assumption_set_id</x:v>
      </x:c>
      <x:c r="H4" s="14" t="str">
        <x:v>model_v0_1_runtime_assembly_dr</x:v>
      </x:c>
      <x:c r="I4" s="14" t="str">
        <x:v>model_v1_runtime_status</x:v>
      </x:c>
      <x:c r="J4" s="14" t="str">
        <x:v>model_v1_runtime_assembly_dr</x:v>
      </x:c>
      <x:c r="K4" s="14" t="str">
        <x:v>legacy_hazard_substation_bucket_curve_dr</x:v>
      </x:c>
      <x:c r="L4" s="14" t="str">
        <x:v>legacy_hazard_full_tiv_contribution_at_9pct</x:v>
      </x:c>
      <x:c r="M4" s="14" t="str">
        <x:v>axis_and_denominator_comparability</x:v>
      </x:c>
      <x:c r="N4" s="15" t="str">
        <x:v>comparison_disposition</x:v>
      </x:c>
    </x:row>
    <x:row r="5">
      <x:c r="A5" s="27" t="str">
        <x:v>FW-CMP-000</x:v>
      </x:c>
      <x:c r="B5" s="27" t="str">
        <x:v>source_knot_0_ft</x:v>
      </x:c>
      <x:c r="C5" s="27" t="str">
        <x:v>0</x:v>
      </x:c>
      <x:c r="D5" s="27" t="str">
        <x:v>ESSL</x:v>
      </x:c>
      <x:c r="E5" s="27" t="str">
        <x:v>freshwater_non_contaminated</x:v>
      </x:c>
      <x:c r="F5" s="27" t="str">
        <x:v>unprotected_or_internal_post_bypass_depth</x:v>
      </x:c>
      <x:c r="G5" s="27" t="str">
        <x:v>FEMA_HAZUS_MH_2_1_TABLE_7_9_UNPROTECTED_SUBSTATION</x:v>
      </x:c>
      <x:c r="H5" s="27" t="str"/>
      <x:c r="I5" s="27" t="str">
        <x:v>conditional</x:v>
      </x:c>
      <x:c r="J5" s="27" t="str">
        <x:v>0.000000000000</x:v>
      </x:c>
      <x:c r="K5" s="27" t="str">
        <x:v>0.000000000000</x:v>
      </x:c>
      <x:c r="L5" s="27" t="str">
        <x:v>0.000000000000</x:v>
      </x:c>
      <x:c r="M5" s="27" t="str">
        <x:v>Depth is illustratively alignable in feet, but v1 is a whole-substation source atom and the legacy value is a fixed project-TIV bucket.</x:v>
      </x:c>
      <x:c r="N5" s="27" t="str">
        <x:v>v0.1 null is the behavioral baseline; exact v1 knot is a KAT; legacy output is audit-only.</x:v>
      </x:c>
    </x:row>
    <x:row r="6">
      <x:c r="A6" s="28" t="str">
        <x:v>FW-CMP-001</x:v>
      </x:c>
      <x:c r="B6" s="28" t="str">
        <x:v>source_knot_1_ft</x:v>
      </x:c>
      <x:c r="C6" s="28" t="str">
        <x:v>1</x:v>
      </x:c>
      <x:c r="D6" s="28" t="str">
        <x:v>ESSL</x:v>
      </x:c>
      <x:c r="E6" s="28" t="str">
        <x:v>freshwater_non_contaminated</x:v>
      </x:c>
      <x:c r="F6" s="28" t="str">
        <x:v>unprotected_or_internal_post_bypass_depth</x:v>
      </x:c>
      <x:c r="G6" s="28" t="str">
        <x:v>FEMA_HAZUS_MH_2_1_TABLE_7_9_UNPROTECTED_SUBSTATION</x:v>
      </x:c>
      <x:c r="H6" s="28" t="str"/>
      <x:c r="I6" s="28" t="str">
        <x:v>conditional</x:v>
      </x:c>
      <x:c r="J6" s="28" t="str">
        <x:v>0.020000000000</x:v>
      </x:c>
      <x:c r="K6" s="28" t="str">
        <x:v>0.189736630470</x:v>
      </x:c>
      <x:c r="L6" s="28" t="str">
        <x:v>0.017076296742</x:v>
      </x:c>
      <x:c r="M6" s="28" t="str">
        <x:v>Same illustrative depth unit; response grain, formula, and denominator differ.</x:v>
      </x:c>
      <x:c r="N6" s="28" t="str">
        <x:v>Do not calibrate v1 to the legacy curve or compare numerical magnitude as regression equality.</x:v>
      </x:c>
    </x:row>
    <x:row r="7">
      <x:c r="A7" s="28" t="str">
        <x:v>FW-CMP-002</x:v>
      </x:c>
      <x:c r="B7" s="28" t="str">
        <x:v>source_knot_2_ft</x:v>
      </x:c>
      <x:c r="C7" s="28" t="str">
        <x:v>2</x:v>
      </x:c>
      <x:c r="D7" s="28" t="str">
        <x:v>ESSL</x:v>
      </x:c>
      <x:c r="E7" s="28" t="str">
        <x:v>freshwater_non_contaminated</x:v>
      </x:c>
      <x:c r="F7" s="28" t="str">
        <x:v>unprotected_or_internal_post_bypass_depth</x:v>
      </x:c>
      <x:c r="G7" s="28" t="str">
        <x:v>FEMA_HAZUS_MH_2_1_TABLE_7_9_UNPROTECTED_SUBSTATION</x:v>
      </x:c>
      <x:c r="H7" s="28" t="str"/>
      <x:c r="I7" s="28" t="str">
        <x:v>conditional</x:v>
      </x:c>
      <x:c r="J7" s="28" t="str">
        <x:v>0.040000000000</x:v>
      </x:c>
      <x:c r="K7" s="28" t="str">
        <x:v>0.716606366701</x:v>
      </x:c>
      <x:c r="L7" s="28" t="str">
        <x:v>0.064494573003</x:v>
      </x:c>
      <x:c r="M7" s="28" t="str">
        <x:v>Same illustrative depth unit; response grain, formula, and denominator differ.</x:v>
      </x:c>
      <x:c r="N7" s="28" t="str">
        <x:v>Exact v1 source knot; legacy output is audit-only.</x:v>
      </x:c>
    </x:row>
    <x:row r="8">
      <x:c r="A8" s="28" t="str">
        <x:v>FW-CMP-003</x:v>
      </x:c>
      <x:c r="B8" s="28" t="str">
        <x:v>source_knot_3_ft</x:v>
      </x:c>
      <x:c r="C8" s="28" t="str">
        <x:v>3</x:v>
      </x:c>
      <x:c r="D8" s="28" t="str">
        <x:v>ESSM</x:v>
      </x:c>
      <x:c r="E8" s="28" t="str">
        <x:v>freshwater_non_contaminated</x:v>
      </x:c>
      <x:c r="F8" s="28" t="str">
        <x:v>unprotected_or_internal_post_bypass_depth</x:v>
      </x:c>
      <x:c r="G8" s="28" t="str">
        <x:v>FEMA_HAZUS_MH_2_1_TABLE_7_9_UNPROTECTED_SUBSTATION</x:v>
      </x:c>
      <x:c r="H8" s="28" t="str"/>
      <x:c r="I8" s="28" t="str">
        <x:v>conditional</x:v>
      </x:c>
      <x:c r="J8" s="28" t="str">
        <x:v>0.060000000000</x:v>
      </x:c>
      <x:c r="K8" s="28" t="str">
        <x:v>0.906342997171</x:v>
      </x:c>
      <x:c r="L8" s="28" t="str">
        <x:v>0.081570869745</x:v>
      </x:c>
      <x:c r="M8" s="28" t="str">
        <x:v>Same illustrative depth unit; response grain, formula, and denominator differ.</x:v>
      </x:c>
      <x:c r="N8" s="28" t="str">
        <x:v>ESSM equals the other Hazus classes only within Table 7.9; legacy output is not a class-specific comparator.</x:v>
      </x:c>
    </x:row>
    <x:row r="9">
      <x:c r="A9" s="28" t="str">
        <x:v>FW-CMP-004</x:v>
      </x:c>
      <x:c r="B9" s="28" t="str">
        <x:v>source_knot_4_ft</x:v>
      </x:c>
      <x:c r="C9" s="28" t="str">
        <x:v>4</x:v>
      </x:c>
      <x:c r="D9" s="28" t="str">
        <x:v>ESSM</x:v>
      </x:c>
      <x:c r="E9" s="28" t="str">
        <x:v>freshwater_non_contaminated</x:v>
      </x:c>
      <x:c r="F9" s="28" t="str">
        <x:v>unprotected_or_internal_post_bypass_depth</x:v>
      </x:c>
      <x:c r="G9" s="28" t="str">
        <x:v>FEMA_HAZUS_MH_2_1_TABLE_7_9_UNPROTECTED_SUBSTATION</x:v>
      </x:c>
      <x:c r="H9" s="28" t="str"/>
      <x:c r="I9" s="28" t="str">
        <x:v>conditional</x:v>
      </x:c>
      <x:c r="J9" s="28" t="str">
        <x:v>0.070000000000</x:v>
      </x:c>
      <x:c r="K9" s="28" t="str">
        <x:v>0.926341100655</x:v>
      </x:c>
      <x:c r="L9" s="28" t="str">
        <x:v>0.083370699059</x:v>
      </x:c>
      <x:c r="M9" s="28" t="str">
        <x:v>Same illustrative depth unit; v1 direct physical substation DR is not the legacy functionality threshold or full-TIV bucket.</x:v>
      </x:c>
      <x:c r="N9" s="28" t="str">
        <x:v>Four-foot source functionality context does not alter the v1 direct-cost curve.</x:v>
      </x:c>
    </x:row>
    <x:row r="10">
      <x:c r="A10" s="28" t="str">
        <x:v>FW-CMP-005</x:v>
      </x:c>
      <x:c r="B10" s="28" t="str">
        <x:v>source_knot_5_ft</x:v>
      </x:c>
      <x:c r="C10" s="28" t="str">
        <x:v>5</x:v>
      </x:c>
      <x:c r="D10" s="28" t="str">
        <x:v>ESSM</x:v>
      </x:c>
      <x:c r="E10" s="28" t="str">
        <x:v>freshwater_non_contaminated</x:v>
      </x:c>
      <x:c r="F10" s="28" t="str">
        <x:v>unprotected_or_internal_post_bypass_depth</x:v>
      </x:c>
      <x:c r="G10" s="28" t="str">
        <x:v>FEMA_HAZUS_MH_2_1_TABLE_7_9_UNPROTECTED_SUBSTATION</x:v>
      </x:c>
      <x:c r="H10" s="28" t="str"/>
      <x:c r="I10" s="28" t="str">
        <x:v>conditional</x:v>
      </x:c>
      <x:c r="J10" s="28" t="str">
        <x:v>0.080000000000</x:v>
      </x:c>
      <x:c r="K10" s="28" t="str">
        <x:v>0.928020984177</x:v>
      </x:c>
      <x:c r="L10" s="28" t="str">
        <x:v>0.083521888576</x:v>
      </x:c>
      <x:c r="M10" s="28" t="str">
        <x:v>Same illustrative depth unit; response grain, formula, and denominator differ.</x:v>
      </x:c>
      <x:c r="N10" s="28" t="str">
        <x:v>Exact v1 source knot; legacy saturation behavior is not a target.</x:v>
      </x:c>
    </x:row>
    <x:row r="11">
      <x:c r="A11" s="28" t="str">
        <x:v>FW-CMP-006</x:v>
      </x:c>
      <x:c r="B11" s="28" t="str">
        <x:v>source_knot_6_ft</x:v>
      </x:c>
      <x:c r="C11" s="28" t="str">
        <x:v>6</x:v>
      </x:c>
      <x:c r="D11" s="28" t="str">
        <x:v>ESSH</x:v>
      </x:c>
      <x:c r="E11" s="28" t="str">
        <x:v>freshwater_non_contaminated</x:v>
      </x:c>
      <x:c r="F11" s="28" t="str">
        <x:v>unprotected_or_internal_post_bypass_depth</x:v>
      </x:c>
      <x:c r="G11" s="28" t="str">
        <x:v>FEMA_HAZUS_MH_2_1_TABLE_7_9_UNPROTECTED_SUBSTATION</x:v>
      </x:c>
      <x:c r="H11" s="28" t="str"/>
      <x:c r="I11" s="28" t="str">
        <x:v>conditional</x:v>
      </x:c>
      <x:c r="J11" s="28" t="str">
        <x:v>0.090000000000</x:v>
      </x:c>
      <x:c r="K11" s="28" t="str">
        <x:v>0.928159141813</x:v>
      </x:c>
      <x:c r="L11" s="28" t="str">
        <x:v>0.083534322763</x:v>
      </x:c>
      <x:c r="M11" s="28" t="str">
        <x:v>Same illustrative depth unit; response grain, formula, and denominator differ.</x:v>
      </x:c>
      <x:c r="N11" s="28" t="str">
        <x:v>Exact v1 source knot; legacy output is audit-only.</x:v>
      </x:c>
    </x:row>
    <x:row r="12">
      <x:c r="A12" s="28" t="str">
        <x:v>FW-CMP-007</x:v>
      </x:c>
      <x:c r="B12" s="28" t="str">
        <x:v>source_knot_7_ft</x:v>
      </x:c>
      <x:c r="C12" s="28" t="str">
        <x:v>7</x:v>
      </x:c>
      <x:c r="D12" s="28" t="str">
        <x:v>ESSH</x:v>
      </x:c>
      <x:c r="E12" s="28" t="str">
        <x:v>freshwater_non_contaminated</x:v>
      </x:c>
      <x:c r="F12" s="28" t="str">
        <x:v>unprotected_or_internal_post_bypass_depth</x:v>
      </x:c>
      <x:c r="G12" s="28" t="str">
        <x:v>FEMA_HAZUS_MH_2_1_TABLE_7_9_UNPROTECTED_SUBSTATION</x:v>
      </x:c>
      <x:c r="H12" s="28" t="str"/>
      <x:c r="I12" s="28" t="str">
        <x:v>conditional</x:v>
      </x:c>
      <x:c r="J12" s="28" t="str">
        <x:v>0.100000000000</x:v>
      </x:c>
      <x:c r="K12" s="28" t="str">
        <x:v>0.928170484268</x:v>
      </x:c>
      <x:c r="L12" s="28" t="str">
        <x:v>0.083535343584</x:v>
      </x:c>
      <x:c r="M12" s="28" t="str">
        <x:v>Same illustrative depth unit; response grain, formula, and denominator differ.</x:v>
      </x:c>
      <x:c r="N12" s="28" t="str">
        <x:v>Exact v1 source knot; legacy output is audit-only.</x:v>
      </x:c>
    </x:row>
    <x:row r="13">
      <x:c r="A13" s="28" t="str">
        <x:v>FW-CMP-008</x:v>
      </x:c>
      <x:c r="B13" s="28" t="str">
        <x:v>source_knot_8_ft</x:v>
      </x:c>
      <x:c r="C13" s="28" t="str">
        <x:v>8</x:v>
      </x:c>
      <x:c r="D13" s="28" t="str">
        <x:v>ESSL</x:v>
      </x:c>
      <x:c r="E13" s="28" t="str">
        <x:v>freshwater_non_contaminated</x:v>
      </x:c>
      <x:c r="F13" s="28" t="str">
        <x:v>unprotected_or_internal_post_bypass_depth</x:v>
      </x:c>
      <x:c r="G13" s="28" t="str">
        <x:v>FEMA_HAZUS_MH_2_1_TABLE_7_9_UNPROTECTED_SUBSTATION</x:v>
      </x:c>
      <x:c r="H13" s="28" t="str"/>
      <x:c r="I13" s="28" t="str">
        <x:v>conditional</x:v>
      </x:c>
      <x:c r="J13" s="28" t="str">
        <x:v>0.120000000000</x:v>
      </x:c>
      <x:c r="K13" s="28" t="str">
        <x:v>0.928171415325</x:v>
      </x:c>
      <x:c r="L13" s="28" t="str">
        <x:v>0.083535427379</x:v>
      </x:c>
      <x:c r="M13" s="28" t="str">
        <x:v>Same illustrative depth unit; response grain, formula, and denominator differ.</x:v>
      </x:c>
      <x:c r="N13" s="28" t="str">
        <x:v>Exact v1 source knot; legacy output is audit-only.</x:v>
      </x:c>
    </x:row>
    <x:row r="14">
      <x:c r="A14" s="28" t="str">
        <x:v>FW-CMP-009</x:v>
      </x:c>
      <x:c r="B14" s="28" t="str">
        <x:v>source_knot_9_ft</x:v>
      </x:c>
      <x:c r="C14" s="28" t="str">
        <x:v>9</x:v>
      </x:c>
      <x:c r="D14" s="28" t="str">
        <x:v>ESSM</x:v>
      </x:c>
      <x:c r="E14" s="28" t="str">
        <x:v>freshwater_non_contaminated</x:v>
      </x:c>
      <x:c r="F14" s="28" t="str">
        <x:v>unprotected_or_internal_post_bypass_depth</x:v>
      </x:c>
      <x:c r="G14" s="28" t="str">
        <x:v>FEMA_HAZUS_MH_2_1_TABLE_7_9_UNPROTECTED_SUBSTATION</x:v>
      </x:c>
      <x:c r="H14" s="28" t="str"/>
      <x:c r="I14" s="28" t="str">
        <x:v>conditional</x:v>
      </x:c>
      <x:c r="J14" s="28" t="str">
        <x:v>0.140000000000</x:v>
      </x:c>
      <x:c r="K14" s="28" t="str">
        <x:v>0.928171491751</x:v>
      </x:c>
      <x:c r="L14" s="28" t="str">
        <x:v>0.083535434258</x:v>
      </x:c>
      <x:c r="M14" s="28" t="str">
        <x:v>Same illustrative depth unit; response grain, formula, and denominator differ.</x:v>
      </x:c>
      <x:c r="N14" s="28" t="str">
        <x:v>Exact v1 source knot; legacy output is audit-only.</x:v>
      </x:c>
    </x:row>
    <x:row r="15">
      <x:c r="A15" s="28" t="str">
        <x:v>FW-CMP-010</x:v>
      </x:c>
      <x:c r="B15" s="28" t="str">
        <x:v>source_knot_10_ft</x:v>
      </x:c>
      <x:c r="C15" s="28" t="str">
        <x:v>10</x:v>
      </x:c>
      <x:c r="D15" s="28" t="str">
        <x:v>ESSH</x:v>
      </x:c>
      <x:c r="E15" s="28" t="str">
        <x:v>freshwater_non_contaminated</x:v>
      </x:c>
      <x:c r="F15" s="28" t="str">
        <x:v>unprotected_or_internal_post_bypass_depth</x:v>
      </x:c>
      <x:c r="G15" s="28" t="str">
        <x:v>FEMA_HAZUS_MH_2_1_TABLE_7_9_UNPROTECTED_SUBSTATION</x:v>
      </x:c>
      <x:c r="H15" s="28" t="str"/>
      <x:c r="I15" s="28" t="str">
        <x:v>conditional</x:v>
      </x:c>
      <x:c r="J15" s="28" t="str">
        <x:v>0.150000000000</x:v>
      </x:c>
      <x:c r="K15" s="28" t="str">
        <x:v>0.928171498024</x:v>
      </x:c>
      <x:c r="L15" s="28" t="str">
        <x:v>0.083535434822</x:v>
      </x:c>
      <x:c r="M15" s="28" t="str">
        <x:v>Same illustrative depth unit; response grain, formula, and denominator differ.</x:v>
      </x:c>
      <x:c r="N15" s="28" t="str">
        <x:v>Exact upper v1 boundary; do not extend it with the legacy tail.</x:v>
      </x:c>
    </x:row>
    <x:row r="16">
      <x:c r="A16" s="28" t="str">
        <x:v>FW-CMP-011</x:v>
      </x:c>
      <x:c r="B16" s="28" t="str">
        <x:v>above_source_range</x:v>
      </x:c>
      <x:c r="C16" s="28" t="str">
        <x:v>10.1</x:v>
      </x:c>
      <x:c r="D16" s="28" t="str">
        <x:v>ESSL</x:v>
      </x:c>
      <x:c r="E16" s="28" t="str">
        <x:v>freshwater_non_contaminated</x:v>
      </x:c>
      <x:c r="F16" s="28" t="str">
        <x:v>unprotected_or_internal_post_bypass_depth</x:v>
      </x:c>
      <x:c r="G16" s="28" t="str">
        <x:v>FEMA_HAZUS_MH_2_1_TABLE_7_9_UNPROTECTED_SUBSTATION</x:v>
      </x:c>
      <x:c r="H16" s="28" t="str"/>
      <x:c r="I16" s="28" t="str">
        <x:v>withheld_ABOVE_SOURCE_VALID_RANGE</x:v>
      </x:c>
      <x:c r="J16" s="28" t="str"/>
      <x:c r="K16" s="28" t="str"/>
      <x:c r="L16" s="28" t="str"/>
      <x:c r="M16" s="28" t="str">
        <x:v>V1 has no source support above 10 ft; legacy formula/denominator remain incomparable.</x:v>
      </x:c>
      <x:c r="N16" s="28" t="str">
        <x:v>Withhold; do not clamp, extrapolate, or fall back to the legacy curve.</x:v>
      </x:c>
    </x:row>
    <x:row r="17">
      <x:c r="A17" s="28" t="str">
        <x:v>FW-CMP-012</x:v>
      </x:c>
      <x:c r="B17" s="28" t="str">
        <x:v>negative_direct_depth</x:v>
      </x:c>
      <x:c r="C17" s="28" t="str">
        <x:v>-0.1</x:v>
      </x:c>
      <x:c r="D17" s="28" t="str">
        <x:v>ESSL</x:v>
      </x:c>
      <x:c r="E17" s="28" t="str">
        <x:v>freshwater_non_contaminated</x:v>
      </x:c>
      <x:c r="F17" s="28" t="str">
        <x:v>unprotected_or_internal_post_bypass_depth</x:v>
      </x:c>
      <x:c r="G17" s="28" t="str">
        <x:v>FEMA_HAZUS_MH_2_1_TABLE_7_9_UNPROTECTED_SUBSTATION</x:v>
      </x:c>
      <x:c r="H17" s="28" t="str"/>
      <x:c r="I17" s="28" t="str">
        <x:v>reject_AXIS_OUTSIDE_VALID_RANGE</x:v>
      </x:c>
      <x:c r="J17" s="28" t="str"/>
      <x:c r="K17" s="28" t="str"/>
      <x:c r="L17" s="28" t="str"/>
      <x:c r="M17" s="28" t="str">
        <x:v>Negative delivered depth is invalid rather than a dry-state proxy.</x:v>
      </x:c>
      <x:c r="N17" s="28" t="str">
        <x:v>Reject; do not floor to zero.</x:v>
      </x:c>
    </x:row>
    <x:row r="18">
      <x:c r="A18" s="28" t="str">
        <x:v>FW-CMP-013</x:v>
      </x:c>
      <x:c r="B18" s="28" t="str">
        <x:v>unsupported_recognized_water</x:v>
      </x:c>
      <x:c r="C18" s="28" t="str">
        <x:v>5</x:v>
      </x:c>
      <x:c r="D18" s="28" t="str">
        <x:v>ESSL</x:v>
      </x:c>
      <x:c r="E18" s="28" t="str">
        <x:v>saltwater</x:v>
      </x:c>
      <x:c r="F18" s="28" t="str">
        <x:v>unprotected_or_internal_post_bypass_depth</x:v>
      </x:c>
      <x:c r="G18" s="28" t="str">
        <x:v>FEMA_HAZUS_MH_2_1_TABLE_7_9_UNPROTECTED_SUBSTATION</x:v>
      </x:c>
      <x:c r="H18" s="28" t="str"/>
      <x:c r="I18" s="28" t="str">
        <x:v>withheld_WATER_QUALITY_OUTSIDE_SCREENING_DOMAIN</x:v>
      </x:c>
      <x:c r="J18" s="28" t="str"/>
      <x:c r="K18" s="28" t="str">
        <x:v>0.928020984177</x:v>
      </x:c>
      <x:c r="L18" s="28" t="str">
        <x:v>0.083521888576</x:v>
      </x:c>
      <x:c r="M18" s="28" t="str">
        <x:v>The legacy implementation lacks the governed water-quality gate and has a different denominator.</x:v>
      </x:c>
      <x:c r="N18" s="28" t="str">
        <x:v>Withhold; never use the legacy numeric as fallback.</x:v>
      </x:c>
    </x:row>
    <x:row r="19">
      <x:c r="A19" s="28" t="str">
        <x:v>FW-CMP-014</x:v>
      </x:c>
      <x:c r="B19" s="28" t="str">
        <x:v>unknown_water_enum</x:v>
      </x:c>
      <x:c r="C19" s="28" t="str">
        <x:v>5</x:v>
      </x:c>
      <x:c r="D19" s="28" t="str">
        <x:v>ESSL</x:v>
      </x:c>
      <x:c r="E19" s="28" t="str">
        <x:v>seawater</x:v>
      </x:c>
      <x:c r="F19" s="28" t="str">
        <x:v>unprotected_or_internal_post_bypass_depth</x:v>
      </x:c>
      <x:c r="G19" s="28" t="str">
        <x:v>FEMA_HAZUS_MH_2_1_TABLE_7_9_UNPROTECTED_SUBSTATION</x:v>
      </x:c>
      <x:c r="H19" s="28" t="str"/>
      <x:c r="I19" s="28" t="str">
        <x:v>reject_WATER_QUALITY_CLASS_UNKNOWN</x:v>
      </x:c>
      <x:c r="J19" s="28" t="str"/>
      <x:c r="K19" s="28" t="str">
        <x:v>0.928020984177</x:v>
      </x:c>
      <x:c r="L19" s="28" t="str">
        <x:v>0.083521888576</x:v>
      </x:c>
      <x:c r="M19" s="28" t="str">
        <x:v>The request enum is invalid and the old curve did not enforce this contract.</x:v>
      </x:c>
      <x:c r="N19" s="28" t="str">
        <x:v>Reject and correct metadata.</x:v>
      </x:c>
    </x:row>
    <x:row r="20">
      <x:c r="A20" s="28" t="str">
        <x:v>FW-CMP-015</x:v>
      </x:c>
      <x:c r="B20" s="28" t="str">
        <x:v>unsupported_depth_basis</x:v>
      </x:c>
      <x:c r="C20" s="28" t="str">
        <x:v>5</x:v>
      </x:c>
      <x:c r="D20" s="28" t="str">
        <x:v>ESSL</x:v>
      </x:c>
      <x:c r="E20" s="28" t="str">
        <x:v>freshwater_non_contaminated</x:v>
      </x:c>
      <x:c r="F20" s="28" t="str">
        <x:v>external_grade_depth_before_protection</x:v>
      </x:c>
      <x:c r="G20" s="28" t="str">
        <x:v>FEMA_HAZUS_MH_2_1_TABLE_7_9_UNPROTECTED_SUBSTATION</x:v>
      </x:c>
      <x:c r="H20" s="28" t="str"/>
      <x:c r="I20" s="28" t="str">
        <x:v>reject_DELIVERED_DEPTH_BASIS_UNSUPPORTED</x:v>
      </x:c>
      <x:c r="J20" s="28" t="str"/>
      <x:c r="K20" s="28" t="str">
        <x:v>0.928020984177</x:v>
      </x:c>
      <x:c r="L20" s="28" t="str">
        <x:v>0.083521888576</x:v>
      </x:c>
      <x:c r="M20" s="28" t="str">
        <x:v>External pre-protection depth is not equivalent to the delivered internal basis; legacy behavior is incomparable.</x:v>
      </x:c>
      <x:c r="N20" s="28" t="str">
        <x:v>Reject; resolve protection once upstream.</x:v>
      </x:c>
    </x:row>
    <x:row r="21">
      <x:c r="A21" s="28" t="str">
        <x:v>FW-CMP-016</x:v>
      </x:c>
      <x:c r="B21" s="28" t="str">
        <x:v>unsupported_source_class</x:v>
      </x:c>
      <x:c r="C21" s="28" t="str">
        <x:v>5</x:v>
      </x:c>
      <x:c r="D21" s="28" t="str">
        <x:v>UNKNOWN</x:v>
      </x:c>
      <x:c r="E21" s="28" t="str">
        <x:v>freshwater_non_contaminated</x:v>
      </x:c>
      <x:c r="F21" s="28" t="str">
        <x:v>unprotected_or_internal_post_bypass_depth</x:v>
      </x:c>
      <x:c r="G21" s="28" t="str">
        <x:v>FEMA_HAZUS_MH_2_1_TABLE_7_9_UNPROTECTED_SUBSTATION</x:v>
      </x:c>
      <x:c r="H21" s="28" t="str"/>
      <x:c r="I21" s="28" t="str">
        <x:v>reject_SUBSTATION_HAZUS_CLASS_UNSUPPORTED</x:v>
      </x:c>
      <x:c r="J21" s="28" t="str"/>
      <x:c r="K21" s="28" t="str">
        <x:v>0.928020984177</x:v>
      </x:c>
      <x:c r="L21" s="28" t="str">
        <x:v>0.083521888576</x:v>
      </x:c>
      <x:c r="M21" s="28" t="str">
        <x:v>The source requires an exact class while the legacy curve used no such selector.</x:v>
      </x:c>
      <x:c r="N21" s="28" t="str">
        <x:v>Reject; do not default a favorable class.</x:v>
      </x:c>
    </x:row>
    <x:row r="22">
      <x:c r="A22" s="28" t="str">
        <x:v>FW-CMP-017</x:v>
      </x:c>
      <x:c r="B22" s="28" t="str">
        <x:v>unsupported_assumption_set</x:v>
      </x:c>
      <x:c r="C22" s="28" t="str">
        <x:v>5</x:v>
      </x:c>
      <x:c r="D22" s="28" t="str">
        <x:v>ESSL</x:v>
      </x:c>
      <x:c r="E22" s="28" t="str">
        <x:v>freshwater_non_contaminated</x:v>
      </x:c>
      <x:c r="F22" s="28" t="str">
        <x:v>unprotected_or_internal_post_bypass_depth</x:v>
      </x:c>
      <x:c r="G22" s="28" t="str">
        <x:v>UNACKNOWLEDGED</x:v>
      </x:c>
      <x:c r="H22" s="28" t="str"/>
      <x:c r="I22" s="28" t="str">
        <x:v>reject_SOURCE_ASSUMPTION_SET_UNSUPPORTED</x:v>
      </x:c>
      <x:c r="J22" s="28" t="str"/>
      <x:c r="K22" s="28" t="str">
        <x:v>0.928020984177</x:v>
      </x:c>
      <x:c r="L22" s="28" t="str">
        <x:v>0.083521888576</x:v>
      </x:c>
      <x:c r="M22" s="28" t="str">
        <x:v>The v1 source assumptions are explicit; the legacy curve did not preserve them.</x:v>
      </x:c>
      <x:c r="N22" s="28" t="str">
        <x:v>Reject; do not silently acknowledge the legacy FEMA atom.</x:v>
      </x:c>
    </x:row>
    <x:row r="23">
      <x:c r="A23" s="28" t="str">
        <x:v>FW-CMP-018</x:v>
      </x:c>
      <x:c r="B23" s="28" t="str">
        <x:v>ambiguous_axis_payload</x:v>
      </x:c>
      <x:c r="C23" s="28" t="str">
        <x:v>5</x:v>
      </x:c>
      <x:c r="D23" s="28" t="str">
        <x:v>ESSL</x:v>
      </x:c>
      <x:c r="E23" s="28" t="str">
        <x:v>freshwater_non_contaminated</x:v>
      </x:c>
      <x:c r="F23" s="28" t="str">
        <x:v>unprotected_or_internal_post_bypass_depth</x:v>
      </x:c>
      <x:c r="G23" s="28" t="str">
        <x:v>FEMA_HAZUS_MH_2_1_TABLE_7_9_UNPROTECTED_SUBSTATION</x:v>
      </x:c>
      <x:c r="H23" s="28" t="str"/>
      <x:c r="I23" s="28" t="str">
        <x:v>reject_AXIS_PAYLOAD_AMBIGUOUS</x:v>
      </x:c>
      <x:c r="J23" s="28" t="str"/>
      <x:c r="K23" s="28" t="str"/>
      <x:c r="L23" s="28" t="str"/>
      <x:c r="M23" s="28" t="str">
        <x:v>This case additionally supplies WSE/grade bridge fields, so two payload modes conflict.</x:v>
      </x:c>
      <x:c r="N23" s="28" t="str">
        <x:v>Reject; retain exactly one axis payload.</x:v>
      </x:c>
    </x:row>
    <x:row r="24">
      <x:c r="A24" s="30" t="str">
        <x:v>FW-CMP-019</x:v>
      </x:c>
      <x:c r="B24" s="30" t="str">
        <x:v>component_failure_unit</x:v>
      </x:c>
      <x:c r="C24" s="30" t="str">
        <x:v>5</x:v>
      </x:c>
      <x:c r="D24" s="30" t="str">
        <x:v>ESSL</x:v>
      </x:c>
      <x:c r="E24" s="30" t="str">
        <x:v>freshwater_non_contaminated</x:v>
      </x:c>
      <x:c r="F24" s="30" t="str">
        <x:v>unprotected_or_internal_post_bypass_depth</x:v>
      </x:c>
      <x:c r="G24" s="30" t="str">
        <x:v>FEMA_HAZUS_MH_2_1_TABLE_7_9_UNPROTECTED_SUBSTATION</x:v>
      </x:c>
      <x:c r="H24" s="30" t="str"/>
      <x:c r="I24" s="30" t="str">
        <x:v>withheld_NO_RUNTIME_CURVE_FOR_PATHWAY_UNIT</x:v>
      </x:c>
      <x:c r="J24" s="30" t="str"/>
      <x:c r="K24" s="30" t="str">
        <x:v>0.928020984177</x:v>
      </x:c>
      <x:c r="L24" s="30" t="str">
        <x:v>0.083521888576</x:v>
      </x:c>
      <x:c r="M24" s="30" t="str">
        <x:v>The v1 curve is a mutually exclusive whole-substation atom; the legacy bucket is not a component curve.</x:v>
      </x:c>
      <x:c r="N24" s="30" t="str">
        <x:v>Withhold component DR; do not decompose or copy the assembly response.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90" hidden="0" customWidth="1"/>
    <x:col min="4" max="4" width="20" hidden="0" customWidth="1"/>
    <x:col min="5" max="5" width="18" hidden="0" customWidth="1"/>
    <x:col min="6" max="6" width="48" hidden="0" customWidth="1"/>
    <x:col min="7" max="7" width="22" hidden="0" customWidth="1"/>
    <x:col min="8" max="8" width="18" hidden="0" customWidth="1"/>
  </x:cols>
  <x:sheetData>
    <x:row r="1" ht="26" customHeight="1">
      <x:c r="A1" s="2" t="str">
        <x:v>Known-answer and fail-closed test inventory</x:v>
      </x:c>
      <x:c r="B1" s="2"/>
      <x:c r="C1" s="2"/>
      <x:c r="D1" s="2"/>
      <x:c r="E1" s="2"/>
      <x:c r="F1" s="2"/>
      <x:c r="G1" s="2"/>
    </x:row>
    <x:row r="2" ht="22" customHeight="1">
      <x:c r="A2" s="4" t="str">
        <x:v>The Python validator executes these fixtures through the reference evaluator</x:v>
      </x:c>
      <x:c r="B2" s="4"/>
      <x:c r="C2" s="4"/>
      <x:c r="D2" s="4"/>
      <x:c r="E2" s="4"/>
      <x:c r="F2" s="4"/>
      <x:c r="G2" s="4"/>
    </x:row>
    <x:row r="4">
      <x:c r="A4" s="13" t="str">
        <x:v>Test ID</x:v>
      </x:c>
      <x:c r="B4" s="14" t="str">
        <x:v>Class</x:v>
      </x:c>
      <x:c r="C4" s="14" t="str">
        <x:v>Input</x:v>
      </x:c>
      <x:c r="D4" s="14" t="str">
        <x:v>Expected status</x:v>
      </x:c>
      <x:c r="E4" s="14" t="str">
        <x:v>Expected DR</x:v>
      </x:c>
      <x:c r="F4" s="14" t="str">
        <x:v>Curve / reason</x:v>
      </x:c>
      <x:c r="G4" s="15" t="str">
        <x:v>Execution</x:v>
      </x:c>
      <x:c r="H4" s="55" t="str">
        <x:v>Row complete?</x:v>
      </x:c>
    </x:row>
    <x:row r="5">
      <x:c r="A5" s="27" t="str">
        <x:v>FW_HAZUS_KNOT_00FT</x:v>
      </x:c>
      <x:c r="B5" s="27" t="str">
        <x:v>formula</x:v>
      </x:c>
      <x:c r="C5" s="27" t="str">
        <x:v>{"pathway_id":"flood_inundation_contact","failure_unit_id":"FW_HAZUS_GSU_SUBSTATION_ASSEMBLY","substation_hazus_class":"ESSL","source_assumption_set_id":"FEMA_HAZUS_MH_2_1_TABLE_7_9_UNPROTECTED_SUBSTATION","water_quality_class":"freshwater_non_contaminated","delivered_depth_basis":"unprotected_or_internal_post_bypass_depth","flood_depth_above_substation_grade_ft":0}</x:v>
      </x:c>
      <x:c r="D5" s="27" t="str">
        <x:v>conditional</x:v>
      </x:c>
      <x:c r="E5" s="27" t="n">
        <x:v>0</x:v>
      </x:c>
      <x:c r="F5" s="27" t="str">
        <x:v>FW_HAZUS_2_1_SUBSTATION_SCREENING_PWL</x:v>
      </x:c>
      <x:c r="G5" s="27" t="str">
        <x:v>executed externally</x:v>
      </x:c>
      <x:c r="H5" s="27" t="str">
        <x:f>IF(AND(A5&lt;&gt;"",D5&lt;&gt;"",F5&lt;&gt;""),"PASS","FAIL")</x:f>
        <x:v>PASS</x:v>
      </x:c>
    </x:row>
    <x:row r="6">
      <x:c r="A6" s="28" t="str">
        <x:v>FW_HAZUS_KNOT_01FT</x:v>
      </x:c>
      <x:c r="B6" s="28" t="str">
        <x:v>formula</x:v>
      </x:c>
      <x:c r="C6" s="28" t="str">
        <x:v>{"pathway_id":"flood_inundation_contact","failure_unit_id":"FW_HAZUS_GSU_SUBSTATION_ASSEMBLY","substation_hazus_class":"ESSM","source_assumption_set_id":"FEMA_HAZUS_MH_2_1_TABLE_7_9_UNPROTECTED_SUBSTATION","water_quality_class":"freshwater_non_contaminated","delivered_depth_basis":"unprotected_or_internal_post_bypass_depth","flood_depth_above_substation_grade_ft":1}</x:v>
      </x:c>
      <x:c r="D6" s="28" t="str">
        <x:v>conditional</x:v>
      </x:c>
      <x:c r="E6" s="28" t="n">
        <x:v>0.02</x:v>
      </x:c>
      <x:c r="F6" s="28" t="str">
        <x:v>FW_HAZUS_2_1_SUBSTATION_SCREENING_PWL</x:v>
      </x:c>
      <x:c r="G6" s="28" t="str">
        <x:v>executed externally</x:v>
      </x:c>
      <x:c r="H6" s="28" t="str">
        <x:f>IF(AND(A6&lt;&gt;"",D6&lt;&gt;"",F6&lt;&gt;""),"PASS","FAIL")</x:f>
        <x:v>PASS</x:v>
      </x:c>
    </x:row>
    <x:row r="7">
      <x:c r="A7" s="28" t="str">
        <x:v>FW_HAZUS_KNOT_02FT</x:v>
      </x:c>
      <x:c r="B7" s="28" t="str">
        <x:v>formula</x:v>
      </x:c>
      <x:c r="C7" s="28" t="str">
        <x:v>{"pathway_id":"flood_inundation_contact","failure_unit_id":"FW_HAZUS_GSU_SUBSTATION_ASSEMBLY","substation_hazus_class":"ESSH","source_assumption_set_id":"FEMA_HAZUS_MH_2_1_TABLE_7_9_UNPROTECTED_SUBSTATION","water_quality_class":"freshwater_non_contaminated","delivered_depth_basis":"unprotected_or_internal_post_bypass_depth","flood_depth_above_substation_grade_ft":2}</x:v>
      </x:c>
      <x:c r="D7" s="28" t="str">
        <x:v>conditional</x:v>
      </x:c>
      <x:c r="E7" s="28" t="n">
        <x:v>0.04</x:v>
      </x:c>
      <x:c r="F7" s="28" t="str">
        <x:v>FW_HAZUS_2_1_SUBSTATION_SCREENING_PWL</x:v>
      </x:c>
      <x:c r="G7" s="28" t="str">
        <x:v>executed externally</x:v>
      </x:c>
      <x:c r="H7" s="28" t="str">
        <x:f>IF(AND(A7&lt;&gt;"",D7&lt;&gt;"",F7&lt;&gt;""),"PASS","FAIL")</x:f>
        <x:v>PASS</x:v>
      </x:c>
    </x:row>
    <x:row r="8">
      <x:c r="A8" s="28" t="str">
        <x:v>FW_HAZUS_KNOT_03FT</x:v>
      </x:c>
      <x:c r="B8" s="28" t="str">
        <x:v>formula</x:v>
      </x:c>
      <x:c r="C8" s="28" t="str">
        <x:v>{"pathway_id":"flood_inundation_contact","failure_unit_id":"FW_HAZUS_GSU_SUBSTATION_ASSEMBLY","substation_hazus_class":"ESSL","source_assumption_set_id":"FEMA_HAZUS_MH_2_1_TABLE_7_9_UNPROTECTED_SUBSTATION","water_quality_class":"freshwater_non_contaminated","delivered_depth_basis":"unprotected_or_internal_post_bypass_depth","flood_depth_above_substation_grade_ft":3}</x:v>
      </x:c>
      <x:c r="D8" s="28" t="str">
        <x:v>conditional</x:v>
      </x:c>
      <x:c r="E8" s="28" t="n">
        <x:v>0.06</x:v>
      </x:c>
      <x:c r="F8" s="28" t="str">
        <x:v>FW_HAZUS_2_1_SUBSTATION_SCREENING_PWL</x:v>
      </x:c>
      <x:c r="G8" s="28" t="str">
        <x:v>executed externally</x:v>
      </x:c>
      <x:c r="H8" s="28" t="str">
        <x:f>IF(AND(A8&lt;&gt;"",D8&lt;&gt;"",F8&lt;&gt;""),"PASS","FAIL")</x:f>
        <x:v>PASS</x:v>
      </x:c>
    </x:row>
    <x:row r="9">
      <x:c r="A9" s="28" t="str">
        <x:v>FW_HAZUS_KNOT_04FT</x:v>
      </x:c>
      <x:c r="B9" s="28" t="str">
        <x:v>formula</x:v>
      </x:c>
      <x:c r="C9" s="28" t="str">
        <x:v>{"pathway_id":"flood_inundation_contact","failure_unit_id":"FW_HAZUS_GSU_SUBSTATION_ASSEMBLY","substation_hazus_class":"ESSM","source_assumption_set_id":"FEMA_HAZUS_MH_2_1_TABLE_7_9_UNPROTECTED_SUBSTATION","water_quality_class":"freshwater_non_contaminated","delivered_depth_basis":"unprotected_or_internal_post_bypass_depth","flood_depth_above_substation_grade_ft":4}</x:v>
      </x:c>
      <x:c r="D9" s="28" t="str">
        <x:v>conditional</x:v>
      </x:c>
      <x:c r="E9" s="28" t="n">
        <x:v>0.07</x:v>
      </x:c>
      <x:c r="F9" s="28" t="str">
        <x:v>FW_HAZUS_2_1_SUBSTATION_SCREENING_PWL</x:v>
      </x:c>
      <x:c r="G9" s="28" t="str">
        <x:v>executed externally</x:v>
      </x:c>
      <x:c r="H9" s="28" t="str">
        <x:f>IF(AND(A9&lt;&gt;"",D9&lt;&gt;"",F9&lt;&gt;""),"PASS","FAIL")</x:f>
        <x:v>PASS</x:v>
      </x:c>
    </x:row>
    <x:row r="10">
      <x:c r="A10" s="28" t="str">
        <x:v>FW_HAZUS_KNOT_05FT</x:v>
      </x:c>
      <x:c r="B10" s="28" t="str">
        <x:v>formula</x:v>
      </x:c>
      <x:c r="C10" s="28" t="str">
        <x:v>{"pathway_id":"flood_inundation_contact","failure_unit_id":"FW_HAZUS_GSU_SUBSTATION_ASSEMBLY","substation_hazus_class":"ESSH","source_assumption_set_id":"FEMA_HAZUS_MH_2_1_TABLE_7_9_UNPROTECTED_SUBSTATION","water_quality_class":"freshwater_non_contaminated","delivered_depth_basis":"unprotected_or_internal_post_bypass_depth","flood_depth_above_substation_grade_ft":5}</x:v>
      </x:c>
      <x:c r="D10" s="28" t="str">
        <x:v>conditional</x:v>
      </x:c>
      <x:c r="E10" s="28" t="n">
        <x:v>0.08</x:v>
      </x:c>
      <x:c r="F10" s="28" t="str">
        <x:v>FW_HAZUS_2_1_SUBSTATION_SCREENING_PWL</x:v>
      </x:c>
      <x:c r="G10" s="28" t="str">
        <x:v>executed externally</x:v>
      </x:c>
      <x:c r="H10" s="28" t="str">
        <x:f>IF(AND(A10&lt;&gt;"",D10&lt;&gt;"",F10&lt;&gt;""),"PASS","FAIL")</x:f>
        <x:v>PASS</x:v>
      </x:c>
    </x:row>
    <x:row r="11">
      <x:c r="A11" s="28" t="str">
        <x:v>FW_HAZUS_KNOT_06FT</x:v>
      </x:c>
      <x:c r="B11" s="28" t="str">
        <x:v>formula</x:v>
      </x:c>
      <x:c r="C11" s="28" t="str">
        <x:v>{"pathway_id":"flood_inundation_contact","failure_unit_id":"FW_HAZUS_GSU_SUBSTATION_ASSEMBLY","substation_hazus_class":"ESSL","source_assumption_set_id":"FEMA_HAZUS_MH_2_1_TABLE_7_9_UNPROTECTED_SUBSTATION","water_quality_class":"freshwater_non_contaminated","delivered_depth_basis":"unprotected_or_internal_post_bypass_depth","flood_depth_above_substation_grade_ft":6}</x:v>
      </x:c>
      <x:c r="D11" s="28" t="str">
        <x:v>conditional</x:v>
      </x:c>
      <x:c r="E11" s="28" t="n">
        <x:v>0.09</x:v>
      </x:c>
      <x:c r="F11" s="28" t="str">
        <x:v>FW_HAZUS_2_1_SUBSTATION_SCREENING_PWL</x:v>
      </x:c>
      <x:c r="G11" s="28" t="str">
        <x:v>executed externally</x:v>
      </x:c>
      <x:c r="H11" s="28" t="str">
        <x:f>IF(AND(A11&lt;&gt;"",D11&lt;&gt;"",F11&lt;&gt;""),"PASS","FAIL")</x:f>
        <x:v>PASS</x:v>
      </x:c>
    </x:row>
    <x:row r="12">
      <x:c r="A12" s="28" t="str">
        <x:v>FW_HAZUS_KNOT_07FT</x:v>
      </x:c>
      <x:c r="B12" s="28" t="str">
        <x:v>formula</x:v>
      </x:c>
      <x:c r="C12" s="28" t="str">
        <x:v>{"pathway_id":"flood_inundation_contact","failure_unit_id":"FW_HAZUS_GSU_SUBSTATION_ASSEMBLY","substation_hazus_class":"ESSM","source_assumption_set_id":"FEMA_HAZUS_MH_2_1_TABLE_7_9_UNPROTECTED_SUBSTATION","water_quality_class":"freshwater_non_contaminated","delivered_depth_basis":"unprotected_or_internal_post_bypass_depth","flood_depth_above_substation_grade_ft":7}</x:v>
      </x:c>
      <x:c r="D12" s="28" t="str">
        <x:v>conditional</x:v>
      </x:c>
      <x:c r="E12" s="28" t="n">
        <x:v>0.1</x:v>
      </x:c>
      <x:c r="F12" s="28" t="str">
        <x:v>FW_HAZUS_2_1_SUBSTATION_SCREENING_PWL</x:v>
      </x:c>
      <x:c r="G12" s="28" t="str">
        <x:v>executed externally</x:v>
      </x:c>
      <x:c r="H12" s="28" t="str">
        <x:f>IF(AND(A12&lt;&gt;"",D12&lt;&gt;"",F12&lt;&gt;""),"PASS","FAIL")</x:f>
        <x:v>PASS</x:v>
      </x:c>
    </x:row>
    <x:row r="13">
      <x:c r="A13" s="28" t="str">
        <x:v>FW_HAZUS_KNOT_08FT</x:v>
      </x:c>
      <x:c r="B13" s="28" t="str">
        <x:v>formula</x:v>
      </x:c>
      <x:c r="C13" s="28" t="str">
        <x:v>{"pathway_id":"flood_inundation_contact","failure_unit_id":"FW_HAZUS_GSU_SUBSTATION_ASSEMBLY","substation_hazus_class":"ESSH","source_assumption_set_id":"FEMA_HAZUS_MH_2_1_TABLE_7_9_UNPROTECTED_SUBSTATION","water_quality_class":"freshwater_non_contaminated","delivered_depth_basis":"unprotected_or_internal_post_bypass_depth","flood_depth_above_substation_grade_ft":8}</x:v>
      </x:c>
      <x:c r="D13" s="28" t="str">
        <x:v>conditional</x:v>
      </x:c>
      <x:c r="E13" s="28" t="n">
        <x:v>0.12</x:v>
      </x:c>
      <x:c r="F13" s="28" t="str">
        <x:v>FW_HAZUS_2_1_SUBSTATION_SCREENING_PWL</x:v>
      </x:c>
      <x:c r="G13" s="28" t="str">
        <x:v>executed externally</x:v>
      </x:c>
      <x:c r="H13" s="28" t="str">
        <x:f>IF(AND(A13&lt;&gt;"",D13&lt;&gt;"",F13&lt;&gt;""),"PASS","FAIL")</x:f>
        <x:v>PASS</x:v>
      </x:c>
    </x:row>
    <x:row r="14">
      <x:c r="A14" s="28" t="str">
        <x:v>FW_HAZUS_KNOT_09FT</x:v>
      </x:c>
      <x:c r="B14" s="28" t="str">
        <x:v>formula</x:v>
      </x:c>
      <x:c r="C14" s="28" t="str">
        <x:v>{"pathway_id":"flood_inundation_contact","failure_unit_id":"FW_HAZUS_GSU_SUBSTATION_ASSEMBLY","substation_hazus_class":"ESSL","source_assumption_set_id":"FEMA_HAZUS_MH_2_1_TABLE_7_9_UNPROTECTED_SUBSTATION","water_quality_class":"freshwater_non_contaminated","delivered_depth_basis":"unprotected_or_internal_post_bypass_depth","flood_depth_above_substation_grade_ft":9}</x:v>
      </x:c>
      <x:c r="D14" s="28" t="str">
        <x:v>conditional</x:v>
      </x:c>
      <x:c r="E14" s="28" t="n">
        <x:v>0.14</x:v>
      </x:c>
      <x:c r="F14" s="28" t="str">
        <x:v>FW_HAZUS_2_1_SUBSTATION_SCREENING_PWL</x:v>
      </x:c>
      <x:c r="G14" s="28" t="str">
        <x:v>executed externally</x:v>
      </x:c>
      <x:c r="H14" s="28" t="str">
        <x:f>IF(AND(A14&lt;&gt;"",D14&lt;&gt;"",F14&lt;&gt;""),"PASS","FAIL")</x:f>
        <x:v>PASS</x:v>
      </x:c>
    </x:row>
    <x:row r="15">
      <x:c r="A15" s="28" t="str">
        <x:v>FW_HAZUS_KNOT_10FT</x:v>
      </x:c>
      <x:c r="B15" s="28" t="str">
        <x:v>formula</x:v>
      </x:c>
      <x:c r="C15" s="28" t="str">
        <x:v>{"pathway_id":"flood_inundation_contact","failure_unit_id":"FW_HAZUS_GSU_SUBSTATION_ASSEMBLY","substation_hazus_class":"ESSM","source_assumption_set_id":"FEMA_HAZUS_MH_2_1_TABLE_7_9_UNPROTECTED_SUBSTATION","water_quality_class":"freshwater_non_contaminated","delivered_depth_basis":"unprotected_or_internal_post_bypass_depth","flood_depth_above_substation_grade_ft":10}</x:v>
      </x:c>
      <x:c r="D15" s="28" t="str">
        <x:v>conditional</x:v>
      </x:c>
      <x:c r="E15" s="28" t="n">
        <x:v>0.15</x:v>
      </x:c>
      <x:c r="F15" s="28" t="str">
        <x:v>FW_HAZUS_2_1_SUBSTATION_SCREENING_PWL</x:v>
      </x:c>
      <x:c r="G15" s="28" t="str">
        <x:v>executed externally</x:v>
      </x:c>
      <x:c r="H15" s="28" t="str">
        <x:f>IF(AND(A15&lt;&gt;"",D15&lt;&gt;"",F15&lt;&gt;""),"PASS","FAIL")</x:f>
        <x:v>PASS</x:v>
      </x:c>
    </x:row>
    <x:row r="16">
      <x:c r="A16" s="28" t="str">
        <x:v>FW_HAZUS_INTERPOLATE_0P5FT</x:v>
      </x:c>
      <x:c r="B16" s="28" t="str">
        <x:v>formula</x:v>
      </x:c>
      <x:c r="C16" s="28" t="str">
        <x:v>{"pathway_id":"flood_inundation_contact","failure_unit_id":"FW_HAZUS_GSU_SUBSTATION_ASSEMBLY","substation_hazus_class":"ESSL","source_assumption_set_id":"FEMA_HAZUS_MH_2_1_TABLE_7_9_UNPROTECTED_SUBSTATION","water_quality_class":"freshwater_non_contaminated","delivered_depth_basis":"unprotected_or_internal_post_bypass_depth","flood_depth_above_substation_grade_ft":0.5}</x:v>
      </x:c>
      <x:c r="D16" s="28" t="str">
        <x:v>conditional</x:v>
      </x:c>
      <x:c r="E16" s="28" t="n">
        <x:v>0.01</x:v>
      </x:c>
      <x:c r="F16" s="28" t="str">
        <x:v>FW_HAZUS_2_1_SUBSTATION_SCREENING_PWL</x:v>
      </x:c>
      <x:c r="G16" s="28" t="str">
        <x:v>executed externally</x:v>
      </x:c>
      <x:c r="H16" s="28" t="str">
        <x:f>IF(AND(A16&lt;&gt;"",D16&lt;&gt;"",F16&lt;&gt;""),"PASS","FAIL")</x:f>
        <x:v>PASS</x:v>
      </x:c>
    </x:row>
    <x:row r="17">
      <x:c r="A17" s="28" t="str">
        <x:v>FW_HAZUS_INTERPOLATE_7P5FT</x:v>
      </x:c>
      <x:c r="B17" s="28" t="str">
        <x:v>formula</x:v>
      </x:c>
      <x:c r="C17" s="28" t="str">
        <x:v>{"pathway_id":"flood_inundation_contact","failure_unit_id":"FW_HAZUS_GSU_SUBSTATION_ASSEMBLY","substation_hazus_class":"ESSM","source_assumption_set_id":"FEMA_HAZUS_MH_2_1_TABLE_7_9_UNPROTECTED_SUBSTATION","water_quality_class":"freshwater_non_contaminated","delivered_depth_basis":"unprotected_or_internal_post_bypass_depth","flood_depth_above_substation_grade_ft":7.5}</x:v>
      </x:c>
      <x:c r="D17" s="28" t="str">
        <x:v>conditional</x:v>
      </x:c>
      <x:c r="E17" s="28" t="n">
        <x:v>0.11</x:v>
      </x:c>
      <x:c r="F17" s="28" t="str">
        <x:v>FW_HAZUS_2_1_SUBSTATION_SCREENING_PWL</x:v>
      </x:c>
      <x:c r="G17" s="28" t="str">
        <x:v>executed externally</x:v>
      </x:c>
      <x:c r="H17" s="28" t="str">
        <x:f>IF(AND(A17&lt;&gt;"",D17&lt;&gt;"",F17&lt;&gt;""),"PASS","FAIL")</x:f>
        <x:v>PASS</x:v>
      </x:c>
    </x:row>
    <x:row r="18">
      <x:c r="A18" s="28" t="str">
        <x:v>FW_HAZUS_INTERPOLATE_9P5FT</x:v>
      </x:c>
      <x:c r="B18" s="28" t="str">
        <x:v>formula</x:v>
      </x:c>
      <x:c r="C18" s="28" t="str">
        <x:v>{"pathway_id":"flood_inundation_contact","failure_unit_id":"FW_HAZUS_GSU_SUBSTATION_ASSEMBLY","substation_hazus_class":"ESSH","source_assumption_set_id":"FEMA_HAZUS_MH_2_1_TABLE_7_9_UNPROTECTED_SUBSTATION","water_quality_class":"freshwater_non_contaminated","delivered_depth_basis":"unprotected_or_internal_post_bypass_depth","flood_depth_above_substation_grade_ft":9.5}</x:v>
      </x:c>
      <x:c r="D18" s="28" t="str">
        <x:v>conditional</x:v>
      </x:c>
      <x:c r="E18" s="28" t="n">
        <x:v>0.145</x:v>
      </x:c>
      <x:c r="F18" s="28" t="str">
        <x:v>FW_HAZUS_2_1_SUBSTATION_SCREENING_PWL</x:v>
      </x:c>
      <x:c r="G18" s="28" t="str">
        <x:v>executed externally</x:v>
      </x:c>
      <x:c r="H18" s="28" t="str">
        <x:f>IF(AND(A18&lt;&gt;"",D18&lt;&gt;"",F18&lt;&gt;""),"PASS","FAIL")</x:f>
        <x:v>PASS</x:v>
      </x:c>
    </x:row>
    <x:row r="19">
      <x:c r="A19" s="28" t="str">
        <x:v>FW_HAZUS_WSE_BRIDGE_EXACT_1FT</x:v>
      </x:c>
      <x:c r="B19" s="28" t="str">
        <x:v>formula</x:v>
      </x:c>
      <x:c r="C19" s="28" t="str">
        <x:v>{"pathway_id":"flood_inundation_contact","failure_unit_id":"FW_HAZUS_GSU_SUBSTATION_ASSEMBLY","substation_hazus_class":"ESSH","source_assumption_set_id":"FEMA_HAZUS_MH_2_1_TABLE_7_9_UNPROTECTED_SUBSTATION","water_quality_class":"freshwater_non_contaminated","delivered_depth_basis":"unprotected_or_internal_post_bypass_depth","water_surface_elevation_m":100.3048,"substation_grade_elevation_m":100,"water_surface_vertical_datum_id":"NAVD88","substation_grade_vertical_datum_id":"NAVD88"}</x:v>
      </x:c>
      <x:c r="D19" s="28" t="str">
        <x:v>conditional</x:v>
      </x:c>
      <x:c r="E19" s="28" t="n">
        <x:v>0.02</x:v>
      </x:c>
      <x:c r="F19" s="28" t="str">
        <x:v>FW_HAZUS_2_1_SUBSTATION_SCREENING_PWL</x:v>
      </x:c>
      <x:c r="G19" s="28" t="str">
        <x:v>executed externally</x:v>
      </x:c>
      <x:c r="H19" s="28" t="str">
        <x:f>IF(AND(A19&lt;&gt;"",D19&lt;&gt;"",F19&lt;&gt;""),"PASS","FAIL")</x:f>
        <x:v>PASS</x:v>
      </x:c>
    </x:row>
    <x:row r="20">
      <x:c r="A20" s="28" t="str">
        <x:v>FW_ABOVE_SOURCE_RANGE_WITHHELD</x:v>
      </x:c>
      <x:c r="B20" s="28" t="str">
        <x:v>withheld</x:v>
      </x:c>
      <x:c r="C20" s="28" t="str">
        <x:v>{"pathway_id":"flood_inundation_contact","failure_unit_id":"FW_HAZUS_GSU_SUBSTATION_ASSEMBLY","substation_hazus_class":"ESSL","source_assumption_set_id":"FEMA_HAZUS_MH_2_1_TABLE_7_9_UNPROTECTED_SUBSTATION","water_quality_class":"freshwater_non_contaminated","delivered_depth_basis":"unprotected_or_internal_post_bypass_depth","flood_depth_above_substation_grade_ft":10.0001}</x:v>
      </x:c>
      <x:c r="D20" s="28" t="str">
        <x:v>withheld</x:v>
      </x:c>
      <x:c r="E20" s="28" t="str">
        <x:v>null</x:v>
      </x:c>
      <x:c r="F20" s="28" t="str">
        <x:v>ABOVE_SOURCE_VALID_RANGE</x:v>
      </x:c>
      <x:c r="G20" s="28" t="str">
        <x:v>executed externally</x:v>
      </x:c>
      <x:c r="H20" s="28" t="str">
        <x:f>IF(AND(A20&lt;&gt;"",D20&lt;&gt;"",F20&lt;&gt;""),"PASS","FAIL")</x:f>
        <x:v>PASS</x:v>
      </x:c>
    </x:row>
    <x:row r="21">
      <x:c r="A21" s="28" t="str">
        <x:v>FW_SALTWATER_WITHHELD</x:v>
      </x:c>
      <x:c r="B21" s="28" t="str">
        <x:v>withheld</x:v>
      </x:c>
      <x:c r="C21" s="28" t="str">
        <x:v>{"pathway_id":"flood_inundation_contact","failure_unit_id":"FW_HAZUS_GSU_SUBSTATION_ASSEMBLY","substation_hazus_class":"ESSM","source_assumption_set_id":"FEMA_HAZUS_MH_2_1_TABLE_7_9_UNPROTECTED_SUBSTATION","water_quality_class":"saltwater","delivered_depth_basis":"unprotected_or_internal_post_bypass_depth","flood_depth_above_substation_grade_ft":4}</x:v>
      </x:c>
      <x:c r="D21" s="28" t="str">
        <x:v>withheld</x:v>
      </x:c>
      <x:c r="E21" s="28" t="str">
        <x:v>null</x:v>
      </x:c>
      <x:c r="F21" s="28" t="str">
        <x:v>WATER_QUALITY_OUTSIDE_SCREENING_DOMAIN</x:v>
      </x:c>
      <x:c r="G21" s="28" t="str">
        <x:v>executed externally</x:v>
      </x:c>
      <x:c r="H21" s="28" t="str">
        <x:f>IF(AND(A21&lt;&gt;"",D21&lt;&gt;"",F21&lt;&gt;""),"PASS","FAIL")</x:f>
        <x:v>PASS</x:v>
      </x:c>
    </x:row>
    <x:row r="22">
      <x:c r="A22" s="28" t="str">
        <x:v>FW_BRACKISH_WITHHELD</x:v>
      </x:c>
      <x:c r="B22" s="28" t="str">
        <x:v>withheld</x:v>
      </x:c>
      <x:c r="C22" s="28" t="str">
        <x:v>{"pathway_id":"flood_inundation_contact","failure_unit_id":"FW_HAZUS_GSU_SUBSTATION_ASSEMBLY","substation_hazus_class":"ESSM","source_assumption_set_id":"FEMA_HAZUS_MH_2_1_TABLE_7_9_UNPROTECTED_SUBSTATION","water_quality_class":"brackish","delivered_depth_basis":"unprotected_or_internal_post_bypass_depth","flood_depth_above_substation_grade_ft":4}</x:v>
      </x:c>
      <x:c r="D22" s="28" t="str">
        <x:v>withheld</x:v>
      </x:c>
      <x:c r="E22" s="28" t="str">
        <x:v>null</x:v>
      </x:c>
      <x:c r="F22" s="28" t="str">
        <x:v>WATER_QUALITY_OUTSIDE_SCREENING_DOMAIN</x:v>
      </x:c>
      <x:c r="G22" s="28" t="str">
        <x:v>executed externally</x:v>
      </x:c>
      <x:c r="H22" s="28" t="str">
        <x:f>IF(AND(A22&lt;&gt;"",D22&lt;&gt;"",F22&lt;&gt;""),"PASS","FAIL")</x:f>
        <x:v>PASS</x:v>
      </x:c>
    </x:row>
    <x:row r="23">
      <x:c r="A23" s="28" t="str">
        <x:v>FW_CONTAMINATED_WITHHELD</x:v>
      </x:c>
      <x:c r="B23" s="28" t="str">
        <x:v>withheld</x:v>
      </x:c>
      <x:c r="C23" s="28" t="str">
        <x:v>{"pathway_id":"flood_inundation_contact","failure_unit_id":"FW_HAZUS_GSU_SUBSTATION_ASSEMBLY","substation_hazus_class":"ESSM","source_assumption_set_id":"FEMA_HAZUS_MH_2_1_TABLE_7_9_UNPROTECTED_SUBSTATION","water_quality_class":"freshwater_contaminated","delivered_depth_basis":"unprotected_or_internal_post_bypass_depth","flood_depth_above_substation_grade_ft":4}</x:v>
      </x:c>
      <x:c r="D23" s="28" t="str">
        <x:v>withheld</x:v>
      </x:c>
      <x:c r="E23" s="28" t="str">
        <x:v>null</x:v>
      </x:c>
      <x:c r="F23" s="28" t="str">
        <x:v>WATER_QUALITY_OUTSIDE_SCREENING_DOMAIN</x:v>
      </x:c>
      <x:c r="G23" s="28" t="str">
        <x:v>executed externally</x:v>
      </x:c>
      <x:c r="H23" s="28" t="str">
        <x:f>IF(AND(A23&lt;&gt;"",D23&lt;&gt;"",F23&lt;&gt;""),"PASS","FAIL")</x:f>
        <x:v>PASS</x:v>
      </x:c>
    </x:row>
    <x:row r="24">
      <x:c r="A24" s="28" t="str">
        <x:v>FW_UNKNOWN_WATER_WITHHELD</x:v>
      </x:c>
      <x:c r="B24" s="28" t="str">
        <x:v>withheld</x:v>
      </x:c>
      <x:c r="C24" s="28" t="str">
        <x:v>{"pathway_id":"flood_inundation_contact","failure_unit_id":"FW_HAZUS_GSU_SUBSTATION_ASSEMBLY","substation_hazus_class":"ESSM","source_assumption_set_id":"FEMA_HAZUS_MH_2_1_TABLE_7_9_UNPROTECTED_SUBSTATION","water_quality_class":"unknown","delivered_depth_basis":"unprotected_or_internal_post_bypass_depth","flood_depth_above_substation_grade_ft":4}</x:v>
      </x:c>
      <x:c r="D24" s="28" t="str">
        <x:v>withheld</x:v>
      </x:c>
      <x:c r="E24" s="28" t="str">
        <x:v>null</x:v>
      </x:c>
      <x:c r="F24" s="28" t="str">
        <x:v>WATER_QUALITY_OUTSIDE_SCREENING_DOMAIN</x:v>
      </x:c>
      <x:c r="G24" s="28" t="str">
        <x:v>executed externally</x:v>
      </x:c>
      <x:c r="H24" s="28" t="str">
        <x:f>IF(AND(A24&lt;&gt;"",D24&lt;&gt;"",F24&lt;&gt;""),"PASS","FAIL")</x:f>
        <x:v>PASS</x:v>
      </x:c>
    </x:row>
    <x:row r="25">
      <x:c r="A25" s="28" t="str">
        <x:v>FW_COMPONENT_UNIT_WITHHELD_NOT_ZERO</x:v>
      </x:c>
      <x:c r="B25" s="28" t="str">
        <x:v>withheld</x:v>
      </x:c>
      <x:c r="C25" s="28" t="str">
        <x:v>{"pathway_id":"flood_inundation_contact","failure_unit_id":"FW_GSU_TRANSFORMER_MAIN","substation_hazus_class":"ESSH","source_assumption_set_id":"FEMA_HAZUS_MH_2_1_TABLE_7_9_UNPROTECTED_SUBSTATION","water_quality_class":"freshwater_non_contaminated","delivered_depth_basis":"unprotected_or_internal_post_bypass_depth","flood_depth_above_substation_grade_ft":5}</x:v>
      </x:c>
      <x:c r="D25" s="28" t="str">
        <x:v>withheld</x:v>
      </x:c>
      <x:c r="E25" s="28" t="str">
        <x:v>null</x:v>
      </x:c>
      <x:c r="F25" s="28" t="str">
        <x:v>NO_RUNTIME_CURVE_FOR_PATHWAY_UNIT</x:v>
      </x:c>
      <x:c r="G25" s="28" t="str">
        <x:v>executed externally</x:v>
      </x:c>
      <x:c r="H25" s="28" t="str">
        <x:f>IF(AND(A25&lt;&gt;"",D25&lt;&gt;"",F25&lt;&gt;""),"PASS","FAIL")</x:f>
        <x:v>PASS</x:v>
      </x:c>
    </x:row>
    <x:row r="26">
      <x:c r="A26" s="28" t="str">
        <x:v>FW_PATHWAY_REQUIRED</x:v>
      </x:c>
      <x:c r="B26" s="28" t="str">
        <x:v>error</x:v>
      </x:c>
      <x:c r="C26" s="28" t="str">
        <x:v>{}</x:v>
      </x:c>
      <x:c r="D26" s="28" t="str">
        <x:v>rejected</x:v>
      </x:c>
      <x:c r="E26" s="28" t="str">
        <x:v>null</x:v>
      </x:c>
      <x:c r="F26" s="28" t="str">
        <x:v>PATHWAY_ID_REQUIRED</x:v>
      </x:c>
      <x:c r="G26" s="28" t="str">
        <x:v>executed externally</x:v>
      </x:c>
      <x:c r="H26" s="28" t="str">
        <x:f>IF(AND(A26&lt;&gt;"",D26&lt;&gt;"",F26&lt;&gt;""),"PASS","FAIL")</x:f>
        <x:v>PASS</x:v>
      </x:c>
    </x:row>
    <x:row r="27">
      <x:c r="A27" s="28" t="str">
        <x:v>FW_PATHWAY_UNKNOWN</x:v>
      </x:c>
      <x:c r="B27" s="28" t="str">
        <x:v>error</x:v>
      </x:c>
      <x:c r="C27" s="28" t="str">
        <x:v>{"pathway_id":"flood"}</x:v>
      </x:c>
      <x:c r="D27" s="28" t="str">
        <x:v>rejected</x:v>
      </x:c>
      <x:c r="E27" s="28" t="str">
        <x:v>null</x:v>
      </x:c>
      <x:c r="F27" s="28" t="str">
        <x:v>PATHWAY_ID_UNKNOWN</x:v>
      </x:c>
      <x:c r="G27" s="28" t="str">
        <x:v>executed externally</x:v>
      </x:c>
      <x:c r="H27" s="28" t="str">
        <x:f>IF(AND(A27&lt;&gt;"",D27&lt;&gt;"",F27&lt;&gt;""),"PASS","FAIL")</x:f>
        <x:v>PASS</x:v>
      </x:c>
    </x:row>
    <x:row r="28">
      <x:c r="A28" s="28" t="str">
        <x:v>FW_CLASS_REQUIRED</x:v>
      </x:c>
      <x:c r="B28" s="28" t="str">
        <x:v>error</x:v>
      </x:c>
      <x:c r="C28" s="28" t="str">
        <x:v>{"pathway_id":"flood_inundation_contact"}</x:v>
      </x:c>
      <x:c r="D28" s="28" t="str">
        <x:v>rejected</x:v>
      </x:c>
      <x:c r="E28" s="28" t="str">
        <x:v>null</x:v>
      </x:c>
      <x:c r="F28" s="28" t="str">
        <x:v>SUBSTATION_HAZUS_CLASS_REQUIRED</x:v>
      </x:c>
      <x:c r="G28" s="28" t="str">
        <x:v>executed externally</x:v>
      </x:c>
      <x:c r="H28" s="28" t="str">
        <x:f>IF(AND(A28&lt;&gt;"",D28&lt;&gt;"",F28&lt;&gt;""),"PASS","FAIL")</x:f>
        <x:v>PASS</x:v>
      </x:c>
    </x:row>
    <x:row r="29">
      <x:c r="A29" s="28" t="str">
        <x:v>FW_CLASS_UNSUPPORTED</x:v>
      </x:c>
      <x:c r="B29" s="28" t="str">
        <x:v>error</x:v>
      </x:c>
      <x:c r="C29" s="28" t="str">
        <x:v>{"pathway_id":"flood_inundation_contact","substation_hazus_class":"SUBSTATION"}</x:v>
      </x:c>
      <x:c r="D29" s="28" t="str">
        <x:v>rejected</x:v>
      </x:c>
      <x:c r="E29" s="28" t="str">
        <x:v>null</x:v>
      </x:c>
      <x:c r="F29" s="28" t="str">
        <x:v>SUBSTATION_HAZUS_CLASS_UNSUPPORTED</x:v>
      </x:c>
      <x:c r="G29" s="28" t="str">
        <x:v>executed externally</x:v>
      </x:c>
      <x:c r="H29" s="28" t="str">
        <x:f>IF(AND(A29&lt;&gt;"",D29&lt;&gt;"",F29&lt;&gt;""),"PASS","FAIL")</x:f>
        <x:v>PASS</x:v>
      </x:c>
    </x:row>
    <x:row r="30">
      <x:c r="A30" s="28" t="str">
        <x:v>FW_ASSUMPTION_REQUIRED</x:v>
      </x:c>
      <x:c r="B30" s="28" t="str">
        <x:v>error</x:v>
      </x:c>
      <x:c r="C30" s="28" t="str">
        <x:v>{"pathway_id":"flood_inundation_contact","substation_hazus_class":"ESSL"}</x:v>
      </x:c>
      <x:c r="D30" s="28" t="str">
        <x:v>rejected</x:v>
      </x:c>
      <x:c r="E30" s="28" t="str">
        <x:v>null</x:v>
      </x:c>
      <x:c r="F30" s="28" t="str">
        <x:v>SOURCE_ASSUMPTION_SET_REQUIRED</x:v>
      </x:c>
      <x:c r="G30" s="28" t="str">
        <x:v>executed externally</x:v>
      </x:c>
      <x:c r="H30" s="28" t="str">
        <x:f>IF(AND(A30&lt;&gt;"",D30&lt;&gt;"",F30&lt;&gt;""),"PASS","FAIL")</x:f>
        <x:v>PASS</x:v>
      </x:c>
    </x:row>
    <x:row r="31">
      <x:c r="A31" s="28" t="str">
        <x:v>FW_ASSUMPTION_UNSUPPORTED</x:v>
      </x:c>
      <x:c r="B31" s="28" t="str">
        <x:v>error</x:v>
      </x:c>
      <x:c r="C31" s="28" t="str">
        <x:v>{"pathway_id":"flood_inundation_contact","substation_hazus_class":"ESSL","source_assumption_set_id":"GENERIC"}</x:v>
      </x:c>
      <x:c r="D31" s="28" t="str">
        <x:v>rejected</x:v>
      </x:c>
      <x:c r="E31" s="28" t="str">
        <x:v>null</x:v>
      </x:c>
      <x:c r="F31" s="28" t="str">
        <x:v>SOURCE_ASSUMPTION_SET_UNSUPPORTED</x:v>
      </x:c>
      <x:c r="G31" s="28" t="str">
        <x:v>executed externally</x:v>
      </x:c>
      <x:c r="H31" s="28" t="str">
        <x:f>IF(AND(A31&lt;&gt;"",D31&lt;&gt;"",F31&lt;&gt;""),"PASS","FAIL")</x:f>
        <x:v>PASS</x:v>
      </x:c>
    </x:row>
    <x:row r="32">
      <x:c r="A32" s="28" t="str">
        <x:v>FW_WATER_QUALITY_REQUIRED</x:v>
      </x:c>
      <x:c r="B32" s="28" t="str">
        <x:v>error</x:v>
      </x:c>
      <x:c r="C32" s="28" t="str">
        <x:v>{"pathway_id":"flood_inundation_contact","substation_hazus_class":"ESSL","source_assumption_set_id":"FEMA_HAZUS_MH_2_1_TABLE_7_9_UNPROTECTED_SUBSTATION"}</x:v>
      </x:c>
      <x:c r="D32" s="28" t="str">
        <x:v>rejected</x:v>
      </x:c>
      <x:c r="E32" s="28" t="str">
        <x:v>null</x:v>
      </x:c>
      <x:c r="F32" s="28" t="str">
        <x:v>WATER_QUALITY_CLASS_REQUIRED</x:v>
      </x:c>
      <x:c r="G32" s="28" t="str">
        <x:v>executed externally</x:v>
      </x:c>
      <x:c r="H32" s="28" t="str">
        <x:f>IF(AND(A32&lt;&gt;"",D32&lt;&gt;"",F32&lt;&gt;""),"PASS","FAIL")</x:f>
        <x:v>PASS</x:v>
      </x:c>
    </x:row>
    <x:row r="33">
      <x:c r="A33" s="28" t="str">
        <x:v>FW_WATER_QUALITY_UNKNOWN</x:v>
      </x:c>
      <x:c r="B33" s="28" t="str">
        <x:v>error</x:v>
      </x:c>
      <x:c r="C33" s="28" t="str">
        <x:v>{"pathway_id":"flood_inundation_contact","substation_hazus_class":"ESSL","source_assumption_set_id":"FEMA_HAZUS_MH_2_1_TABLE_7_9_UNPROTECTED_SUBSTATION","water_quality_class":"not_classified"}</x:v>
      </x:c>
      <x:c r="D33" s="28" t="str">
        <x:v>rejected</x:v>
      </x:c>
      <x:c r="E33" s="28" t="str">
        <x:v>null</x:v>
      </x:c>
      <x:c r="F33" s="28" t="str">
        <x:v>WATER_QUALITY_CLASS_UNKNOWN</x:v>
      </x:c>
      <x:c r="G33" s="28" t="str">
        <x:v>executed externally</x:v>
      </x:c>
      <x:c r="H33" s="28" t="str">
        <x:f>IF(AND(A33&lt;&gt;"",D33&lt;&gt;"",F33&lt;&gt;""),"PASS","FAIL")</x:f>
        <x:v>PASS</x:v>
      </x:c>
    </x:row>
    <x:row r="34">
      <x:c r="A34" s="28" t="str">
        <x:v>FW_DEPTH_BASIS_REQUIRED</x:v>
      </x:c>
      <x:c r="B34" s="28" t="str">
        <x:v>error</x:v>
      </x:c>
      <x:c r="C34" s="28" t="str">
        <x:v>{"pathway_id":"flood_inundation_contact","substation_hazus_class":"ESSL","source_assumption_set_id":"FEMA_HAZUS_MH_2_1_TABLE_7_9_UNPROTECTED_SUBSTATION","water_quality_class":"freshwater_non_contaminated"}</x:v>
      </x:c>
      <x:c r="D34" s="28" t="str">
        <x:v>rejected</x:v>
      </x:c>
      <x:c r="E34" s="28" t="str">
        <x:v>null</x:v>
      </x:c>
      <x:c r="F34" s="28" t="str">
        <x:v>DELIVERED_DEPTH_BASIS_REQUIRED</x:v>
      </x:c>
      <x:c r="G34" s="28" t="str">
        <x:v>executed externally</x:v>
      </x:c>
      <x:c r="H34" s="28" t="str">
        <x:f>IF(AND(A34&lt;&gt;"",D34&lt;&gt;"",F34&lt;&gt;""),"PASS","FAIL")</x:f>
        <x:v>PASS</x:v>
      </x:c>
    </x:row>
    <x:row r="35">
      <x:c r="A35" s="28" t="str">
        <x:v>FW_DEPTH_BASIS_UNSUPPORTED</x:v>
      </x:c>
      <x:c r="B35" s="28" t="str">
        <x:v>error</x:v>
      </x:c>
      <x:c r="C35" s="28" t="str">
        <x:v>{"pathway_id":"flood_inundation_contact","substation_hazus_class":"ESSL","source_assumption_set_id":"FEMA_HAZUS_MH_2_1_TABLE_7_9_UNPROTECTED_SUBSTATION","water_quality_class":"freshwater_non_contaminated","delivered_depth_basis":"external_water_surface"}</x:v>
      </x:c>
      <x:c r="D35" s="28" t="str">
        <x:v>rejected</x:v>
      </x:c>
      <x:c r="E35" s="28" t="str">
        <x:v>null</x:v>
      </x:c>
      <x:c r="F35" s="28" t="str">
        <x:v>DELIVERED_DEPTH_BASIS_UNSUPPORTED</x:v>
      </x:c>
      <x:c r="G35" s="28" t="str">
        <x:v>executed externally</x:v>
      </x:c>
      <x:c r="H35" s="28" t="str">
        <x:f>IF(AND(A35&lt;&gt;"",D35&lt;&gt;"",F35&lt;&gt;""),"PASS","FAIL")</x:f>
        <x:v>PASS</x:v>
      </x:c>
    </x:row>
    <x:row r="36">
      <x:c r="A36" s="28" t="str">
        <x:v>FW_AXIS_REQUIRED</x:v>
      </x:c>
      <x:c r="B36" s="28" t="str">
        <x:v>error</x:v>
      </x:c>
      <x:c r="C36" s="28" t="str">
        <x:v>{"pathway_id":"flood_inundation_contact","substation_hazus_class":"ESSL","source_assumption_set_id":"FEMA_HAZUS_MH_2_1_TABLE_7_9_UNPROTECTED_SUBSTATION","water_quality_class":"freshwater_non_contaminated","delivered_depth_basis":"unprotected_or_internal_post_bypass_depth"}</x:v>
      </x:c>
      <x:c r="D36" s="28" t="str">
        <x:v>rejected</x:v>
      </x:c>
      <x:c r="E36" s="28" t="str">
        <x:v>null</x:v>
      </x:c>
      <x:c r="F36" s="28" t="str">
        <x:v>AXIS_PAYLOAD_REQUIRED</x:v>
      </x:c>
      <x:c r="G36" s="28" t="str">
        <x:v>executed externally</x:v>
      </x:c>
      <x:c r="H36" s="28" t="str">
        <x:f>IF(AND(A36&lt;&gt;"",D36&lt;&gt;"",F36&lt;&gt;""),"PASS","FAIL")</x:f>
        <x:v>PASS</x:v>
      </x:c>
    </x:row>
    <x:row r="37">
      <x:c r="A37" s="28" t="str">
        <x:v>FW_AXIS_AMBIGUOUS</x:v>
      </x:c>
      <x:c r="B37" s="28" t="str">
        <x:v>error</x:v>
      </x:c>
      <x:c r="C37" s="28" t="str">
        <x:v>{"pathway_id":"flood_inundation_contact","substation_hazus_class":"ESSL","source_assumption_set_id":"FEMA_HAZUS_MH_2_1_TABLE_7_9_UNPROTECTED_SUBSTATION","water_quality_class":"freshwater_non_contaminated","delivered_depth_basis":"unprotected_or_internal_post_bypass_depth","flood_depth_above_substation_grade_ft":2,"water_surface_elevation_m":101}</x:v>
      </x:c>
      <x:c r="D37" s="28" t="str">
        <x:v>rejected</x:v>
      </x:c>
      <x:c r="E37" s="28" t="str">
        <x:v>null</x:v>
      </x:c>
      <x:c r="F37" s="28" t="str">
        <x:v>AXIS_PAYLOAD_AMBIGUOUS</x:v>
      </x:c>
      <x:c r="G37" s="28" t="str">
        <x:v>executed externally</x:v>
      </x:c>
      <x:c r="H37" s="28" t="str">
        <x:f>IF(AND(A37&lt;&gt;"",D37&lt;&gt;"",F37&lt;&gt;""),"PASS","FAIL")</x:f>
        <x:v>PASS</x:v>
      </x:c>
    </x:row>
    <x:row r="38">
      <x:c r="A38" s="28" t="str">
        <x:v>FW_WSE_BRIDGE_INCOMPLETE</x:v>
      </x:c>
      <x:c r="B38" s="28" t="str">
        <x:v>error</x:v>
      </x:c>
      <x:c r="C38" s="28" t="str">
        <x:v>{"pathway_id":"flood_inundation_contact","substation_hazus_class":"ESSL","source_assumption_set_id":"FEMA_HAZUS_MH_2_1_TABLE_7_9_UNPROTECTED_SUBSTATION","water_quality_class":"freshwater_non_contaminated","delivered_depth_basis":"unprotected_or_internal_post_bypass_depth","water_surface_elevation_m":101,"substation_grade_elevation_m":100}</x:v>
      </x:c>
      <x:c r="D38" s="28" t="str">
        <x:v>rejected</x:v>
      </x:c>
      <x:c r="E38" s="28" t="str">
        <x:v>null</x:v>
      </x:c>
      <x:c r="F38" s="28" t="str">
        <x:v>AXIS_PAYLOAD_INCOMPLETE</x:v>
      </x:c>
      <x:c r="G38" s="28" t="str">
        <x:v>executed externally</x:v>
      </x:c>
      <x:c r="H38" s="28" t="str">
        <x:f>IF(AND(A38&lt;&gt;"",D38&lt;&gt;"",F38&lt;&gt;""),"PASS","FAIL")</x:f>
        <x:v>PASS</x:v>
      </x:c>
    </x:row>
    <x:row r="39">
      <x:c r="A39" s="28" t="str">
        <x:v>FW_DATUM_MISMATCH</x:v>
      </x:c>
      <x:c r="B39" s="28" t="str">
        <x:v>error</x:v>
      </x:c>
      <x:c r="C39" s="28" t="str">
        <x:v>{"pathway_id":"flood_inundation_contact","substation_hazus_class":"ESSL","source_assumption_set_id":"FEMA_HAZUS_MH_2_1_TABLE_7_9_UNPROTECTED_SUBSTATION","water_quality_class":"freshwater_non_contaminated","delivered_depth_basis":"unprotected_or_internal_post_bypass_depth","water_surface_elevation_m":101,"substation_grade_elevation_m":100,"water_surface_vertical_datum_id":"NAVD88","substation_grade_vertical_datum_id":"NGVD29"}</x:v>
      </x:c>
      <x:c r="D39" s="28" t="str">
        <x:v>rejected</x:v>
      </x:c>
      <x:c r="E39" s="28" t="str">
        <x:v>null</x:v>
      </x:c>
      <x:c r="F39" s="28" t="str">
        <x:v>VERTICAL_DATUM_MISMATCH</x:v>
      </x:c>
      <x:c r="G39" s="28" t="str">
        <x:v>executed externally</x:v>
      </x:c>
      <x:c r="H39" s="28" t="str">
        <x:f>IF(AND(A39&lt;&gt;"",D39&lt;&gt;"",F39&lt;&gt;""),"PASS","FAIL")</x:f>
        <x:v>PASS</x:v>
      </x:c>
    </x:row>
    <x:row r="40">
      <x:c r="A40" s="28" t="str">
        <x:v>FW_NEGATIVE_DEPTH_REJECTED</x:v>
      </x:c>
      <x:c r="B40" s="28" t="str">
        <x:v>error</x:v>
      </x:c>
      <x:c r="C40" s="28" t="str">
        <x:v>{"pathway_id":"flood_inundation_contact","substation_hazus_class":"ESSL","source_assumption_set_id":"FEMA_HAZUS_MH_2_1_TABLE_7_9_UNPROTECTED_SUBSTATION","water_quality_class":"freshwater_non_contaminated","delivered_depth_basis":"unprotected_or_internal_post_bypass_depth","flood_depth_above_substation_grade_ft":-0.01}</x:v>
      </x:c>
      <x:c r="D40" s="28" t="str">
        <x:v>rejected</x:v>
      </x:c>
      <x:c r="E40" s="28" t="str">
        <x:v>null</x:v>
      </x:c>
      <x:c r="F40" s="28" t="str">
        <x:v>AXIS_OUTSIDE_VALID_RANGE</x:v>
      </x:c>
      <x:c r="G40" s="28" t="str">
        <x:v>executed externally</x:v>
      </x:c>
      <x:c r="H40" s="28" t="str">
        <x:f>IF(AND(A40&lt;&gt;"",D40&lt;&gt;"",F40&lt;&gt;""),"PASS","FAIL")</x:f>
        <x:v>PASS</x:v>
      </x:c>
    </x:row>
    <x:row r="41">
      <x:c r="A41" s="30" t="str">
        <x:v>FW_UNKNOWN_FAILURE_UNIT</x:v>
      </x:c>
      <x:c r="B41" s="30" t="str">
        <x:v>error</x:v>
      </x:c>
      <x:c r="C41" s="30" t="str">
        <x:v>{"pathway_id":"flood_inundation_contact","failure_unit_id":"WIND_FARM","substation_hazus_class":"ESSL","source_assumption_set_id":"FEMA_HAZUS_MH_2_1_TABLE_7_9_UNPROTECTED_SUBSTATION","water_quality_class":"freshwater_non_contaminated","delivered_depth_basis":"unprotected_or_internal_post_bypass_depth","flood_depth_above_substation_grade_ft":2}</x:v>
      </x:c>
      <x:c r="D41" s="30" t="str">
        <x:v>rejected</x:v>
      </x:c>
      <x:c r="E41" s="30" t="str">
        <x:v>null</x:v>
      </x:c>
      <x:c r="F41" s="30" t="str">
        <x:v>FAILURE_UNIT_ID_UNKNOWN</x:v>
      </x:c>
      <x:c r="G41" s="30" t="str">
        <x:v>executed externally</x:v>
      </x:c>
      <x:c r="H41" s="30" t="str">
        <x:f>IF(AND(A41&lt;&gt;"",D41&lt;&gt;"",F41&lt;&gt;""),"PASS","FAIL")</x:f>
        <x:v>PASS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2" hidden="0" customWidth="1"/>
    <x:col min="3" max="3" width="62" hidden="0" customWidth="1"/>
    <x:col min="4" max="4" width="48" hidden="0" customWidth="1"/>
    <x:col min="5" max="5" width="28" hidden="0" customWidth="1"/>
    <x:col min="6" max="6" width="34" hidden="0" customWidth="1"/>
    <x:col min="7" max="7" width="54" hidden="0" customWidth="1"/>
    <x:col min="8" max="8" width="56" hidden="0" customWidth="1"/>
    <x:col min="9" max="9" width="56" hidden="0" customWidth="1"/>
    <x:col min="10" max="10" width="24" hidden="0" customWidth="1"/>
    <x:col min="11" max="11" width="22" hidden="0" customWidth="1"/>
    <x:col min="12" max="12" width="44" hidden="0" customWidth="1"/>
  </x:cols>
  <x:sheetData>
    <x:row r="1" ht="26" customHeight="1">
      <x:c r="A1" s="2" t="str">
        <x:v>Source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4" t="str">
        <x:v>Every source has a locator plus permitted and prohibited inference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3" t="str">
        <x:v>Source ID</x:v>
      </x:c>
      <x:c r="B4" s="14" t="str">
        <x:v>Citation</x:v>
      </x:c>
      <x:c r="C4" s="14" t="str">
        <x:v>URL/path</x:v>
      </x:c>
      <x:c r="D4" s="14" t="str">
        <x:v>Locator</x:v>
      </x:c>
      <x:c r="E4" s="14" t="str">
        <x:v>Role</x:v>
      </x:c>
      <x:c r="F4" s="14" t="str">
        <x:v>Tier</x:v>
      </x:c>
      <x:c r="G4" s="14" t="str">
        <x:v>Endpoint</x:v>
      </x:c>
      <x:c r="H4" s="14" t="str">
        <x:v>Permitted</x:v>
      </x:c>
      <x:c r="I4" s="14" t="str">
        <x:v>Prohibited</x:v>
      </x:c>
      <x:c r="J4" s="14" t="str">
        <x:v>Decision</x:v>
      </x:c>
      <x:c r="K4" s="14" t="str">
        <x:v>Status</x:v>
      </x:c>
      <x:c r="L4" s="15" t="str">
        <x:v>Notes</x:v>
      </x:c>
    </x:row>
    <x:row r="5">
      <x:c r="A5" s="27" t="str">
        <x:v>FW-S001</x:v>
      </x:c>
      <x:c r="B5" s="27" t="str">
        <x:v>Federal Energy Regulatory Commission, Order on accounting for renewable generating assets, 174 FERC 61,033 (2021).</x:v>
      </x:c>
      <x:c r="C5" s="27" t="str">
        <x:v>https://www.ferc.gov/sites/default/files/2021-01/E-7-011921.pdf</x:v>
      </x:c>
      <x:c r="D5" s="27" t="str">
        <x:v>pp. 2-3, wind items a-e and solar items a-g</x:v>
      </x:c>
      <x:c r="E5" s="27" t="str">
        <x:v>asset_anatomy</x:v>
      </x:c>
      <x:c r="F5" s="27" t="str">
        <x:v>T2_public_lab_standard_or_physics</x:v>
      </x:c>
      <x:c r="G5" s="27" t="str">
        <x:v>typical wind and solar collection buses and high-voltage Plant GSU configuration</x:v>
      </x:c>
      <x:c r="H5" s="27" t="str">
        <x:v>Define common Plant-GSU/substation anatomy across solar and wind.</x:v>
      </x:c>
      <x:c r="I5" s="27" t="str">
        <x:v>Infer flood vulnerability, component value, ownership, quantity, or a universal site configuration.</x:v>
      </x:c>
      <x:c r="J5" s="27" t="str">
        <x:v>adopt_with_limits</x:v>
      </x:c>
      <x:c r="K5" s="27" t="str">
        <x:v>reviewed</x:v>
      </x:c>
      <x:c r="L5" s="27" t="str">
        <x:v>Both technologies use a facility-substation collection bus and Plant GSU; upstream equipment remains technology-specific.</x:v>
      </x:c>
    </x:row>
    <x:row r="6">
      <x:c r="A6" s="28" t="str">
        <x:v>FW-S002</x:v>
      </x:c>
      <x:c r="B6" s="28" t="str">
        <x:v>National Electrical Manufacturers Association, NEMA GD 1-2016, Evaluating Water-Damaged Electrical Equipment (historical edition).</x:v>
      </x:c>
      <x:c r="C6" s="28" t="str">
        <x:v>https://www.nema.org/docs/default-source/secure-document-library/nema-gd-1-2016-evaluating-water-damaged-electrical-equipment-guide.pdf</x:v>
      </x:c>
      <x:c r="D6" s="28" t="str">
        <x:v>sections 4.3 Power Equipment and 4.4 Transformers</x:v>
      </x:c>
      <x:c r="E6" s="28" t="str">
        <x:v>historical_mechanism_and_disposition</x:v>
      </x:c>
      <x:c r="F6" s="28" t="str">
        <x:v>T2_public_lab_standard_or_physics</x:v>
      </x:c>
      <x:c r="G6" s="28" t="str">
        <x:v>historical water-exposed switchgear/power-equipment and transformer evaluation reconditioning/replacement considerations</x:v>
      </x:c>
      <x:c r="H6" s="28" t="str">
        <x:v>Retain historical equipment-family and mechanism context while the 2026 successor is acquired and reviewed.</x:v>
      </x:c>
      <x:c r="I6" s="28" t="str">
        <x:v>Treat the 2016 edition as current guidance, derive continuous depth-DR ordinates, or override current OEM/manufacturer guidance.</x:v>
      </x:c>
      <x:c r="J6" s="28" t="str">
        <x:v>retain_historical_pending_successor_review</x:v>
      </x:c>
      <x:c r="K6" s="28" t="str">
        <x:v>historical_superseded</x:v>
      </x:c>
      <x:c r="L6" s="28" t="str">
        <x:v>NEMA's April 2026 publication register lists the same-titled successor guide NEMA CS 70006-2026; see FW-S013. Historical content does not calibrate the FEMA knots.</x:v>
      </x:c>
    </x:row>
    <x:row r="7">
      <x:c r="A7" s="28" t="str">
        <x:v>FW-S003</x:v>
      </x:c>
      <x:c r="B7" s="28" t="str">
        <x:v>North American Electric Reliability Corporation, Substation Flooding Events Highlight Potential Design Deficiencies (2022).</x:v>
      </x:c>
      <x:c r="C7" s="28" t="str">
        <x:v>https://www.nerc.com/pa/rrm/ea/Lessons%20Learned%20Document%20Library/LL20220404_Substation_Flooding_Events_Highlight_Potential_Design_Deficiencies.pdf</x:v>
      </x:c>
      <x:c r="D7" s="28" t="str">
        <x:v>p. 1, approximately 8 inches at 250 VDC control connections and resulting operations</x:v>
      </x:c>
      <x:c r="E7" s="28" t="str">
        <x:v>case_study_severity</x:v>
      </x:c>
      <x:c r="F7" s="28" t="str">
        <x:v>T3_engineering_proxy_or_adjacent_empirical</x:v>
      </x:c>
      <x:c r="G7" s="28" t="str">
        <x:v>one relay-room flood case causing false breaker operations and removal of two circuits and six generating units</x:v>
      </x:c>
      <x:c r="H7" s="28" t="str">
        <x:v>Confirm shallow control/protection inundation can be operationally material and motivate separate control/DC units.</x:v>
      </x:c>
      <x:c r="I7" s="28" t="str">
        <x:v>Treat 495 MW removed from service as direct physical DR or repair cost.</x:v>
      </x:c>
      <x:c r="J7" s="28" t="str">
        <x:v>adopt_with_limits</x:v>
      </x:c>
      <x:c r="K7" s="28" t="str">
        <x:v>reviewed</x:v>
      </x:c>
      <x:c r="L7" s="28" t="str">
        <x:v>Operational consequence is downstream; no same-unit cost endpoint.</x:v>
      </x:c>
    </x:row>
    <x:row r="8">
      <x:c r="A8" s="28" t="str">
        <x:v>FW-S004</x:v>
      </x:c>
      <x:c r="B8" s="28" t="str">
        <x:v>North American Electric Reliability Corporation, Severe Flooding Damages Transformer Substations (2015).</x:v>
      </x:c>
      <x:c r="C8" s="28" t="str">
        <x:v>https://www.nerc.com/pa/rrm/ea/Lessons%20Learned%20Document%20Library/LL20150402_Severe_Flooding_Damages_Transformer_Substations_final.pdf</x:v>
      </x:c>
      <x:c r="D8" s="28" t="str">
        <x:v>problem statement, details, and corrective actions</x:v>
      </x:c>
      <x:c r="E8" s="28" t="str">
        <x:v>case_study_severity</x:v>
      </x:c>
      <x:c r="F8" s="28" t="str">
        <x:v>T3_engineering_proxy_or_adjacent_empirical</x:v>
      </x:c>
      <x:c r="G8" s="28" t="str">
        <x:v>telecommunication protection and station-service damage and circuit unavailability at two substations</x:v>
      </x:c>
      <x:c r="H8" s="28" t="str">
        <x:v>Support component decomposition and water-path/elevation fields.</x:v>
      </x:c>
      <x:c r="I8" s="28" t="str">
        <x:v>Fit an economic damage curve or infer renewable-project ownership/value.</x:v>
      </x:c>
      <x:c r="J8" s="28" t="str">
        <x:v>adopt_with_limits</x:v>
      </x:c>
      <x:c r="K8" s="28" t="str">
        <x:v>reviewed</x:v>
      </x:c>
      <x:c r="L8" s="28" t="str">
        <x:v>Transmission-station case; mechanism transfer only.</x:v>
      </x:c>
    </x:row>
    <x:row r="9">
      <x:c r="A9" s="28" t="str">
        <x:v>FW-S005</x:v>
      </x:c>
      <x:c r="B9" s="28" t="str">
        <x:v>Federal Emergency Management Agency, FEMA P-348, Protecting Building Utility Systems From Flood Damage, 2nd ed. (2017).</x:v>
      </x:c>
      <x:c r="C9" s="28" t="str">
        <x:v>https://www.fema.gov/sites/default/files/2020-07/fema_p-348_protecting_building_utility_systems_from_flood_damage_2017.pdf</x:v>
      </x:c>
      <x:c r="D9" s="28" t="str">
        <x:v>section 5.2, electrical-system flood risk and mitigation</x:v>
      </x:c>
      <x:c r="E9" s="28" t="str">
        <x:v>axis_and_exposure</x:v>
      </x:c>
      <x:c r="F9" s="28" t="str">
        <x:v>T2_public_lab_standard_or_physics</x:v>
      </x:c>
      <x:c r="G9" s="28" t="str">
        <x:v>elevation/relocation/protection of transformers switchboards panels and feeders</x:v>
      </x:c>
      <x:c r="H9" s="28" t="str">
        <x:v>Support local vulnerable datum and equipment-elevation fields.</x:v>
      </x:c>
      <x:c r="I9" s="28" t="str">
        <x:v>Provide wind-farm ordinates or replacement percentages.</x:v>
      </x:c>
      <x:c r="J9" s="28" t="str">
        <x:v>adopt_with_limits</x:v>
      </x:c>
      <x:c r="K9" s="28" t="str">
        <x:v>reviewed</x:v>
      </x:c>
      <x:c r="L9" s="28" t="str">
        <x:v>Building-utility setting; used for method, not calibration.</x:v>
      </x:c>
    </x:row>
    <x:row r="10">
      <x:c r="A10" s="28" t="str">
        <x:v>FW-S006</x:v>
      </x:c>
      <x:c r="B10" s="28" t="str">
        <x:v>U.S. Army Corps of Engineers, HEC-FIA Technical Reference, Depth-Percent Damage Relationships.</x:v>
      </x:c>
      <x:c r="C10" s="28" t="str">
        <x:v>https://www.hec.usace.army.mil/confluence/fiadocs/fiatechref/latest/direct-damage/depth-percent-damage-relationships-direct-damage</x:v>
      </x:c>
      <x:c r="D10" s="28" t="str">
        <x:v>direct damage, depth-percent relationship and linear interpolation</x:v>
      </x:c>
      <x:c r="E10" s="28" t="str">
        <x:v>curve_form</x:v>
      </x:c>
      <x:c r="F10" s="28" t="str">
        <x:v>T2_public_lab_standard_or_physics</x:v>
      </x:c>
      <x:c r="G10" s="28" t="str">
        <x:v>tabular depth-percent relationship and interpolation method</x:v>
      </x:c>
      <x:c r="H10" s="28" t="str">
        <x:v>Support transparent piecewise/tabular curve form and critical-elevation semantics.</x:v>
      </x:c>
      <x:c r="I10" s="28" t="str">
        <x:v>Supply electrical-component ordinates.</x:v>
      </x:c>
      <x:c r="J10" s="28" t="str">
        <x:v>adopt_with_limits</x:v>
      </x:c>
      <x:c r="K10" s="28" t="str">
        <x:v>reviewed</x:v>
      </x:c>
      <x:c r="L10" s="28" t="str">
        <x:v>Form precedent only.</x:v>
      </x:c>
    </x:row>
    <x:row r="11">
      <x:c r="A11" s="28" t="str">
        <x:v>FW-S007</x:v>
      </x:c>
      <x:c r="B11" s="28" t="str">
        <x:v>U.S. Department of Energy FEMP, Preventing and Mitigating Flood Damage to Solar Photovoltaic Systems.</x:v>
      </x:c>
      <x:c r="C11" s="28" t="str">
        <x:v>https://www.energy.gov/cmei/femp/preventing-and-mitigating-flood-damage-solar-photovoltaic-systems</x:v>
      </x:c>
      <x:c r="D11" s="28" t="str">
        <x:v>total submersion, equipment elevation, conduit-water pathway, and electrical enclosure sections</x:v>
      </x:c>
      <x:c r="E11" s="28" t="str">
        <x:v>mechanism_and_exposure</x:v>
      </x:c>
      <x:c r="F11" s="28" t="str">
        <x:v>T2_public_lab_standard_or_physics</x:v>
      </x:c>
      <x:c r="G11" s="28" t="str">
        <x:v>solar-site observations and guidance for submerged electrical equipment and conduit water transport</x:v>
      </x:c>
      <x:c r="H11" s="28" t="str">
        <x:v>Support shared electrical water-path/elevation concepts where equipment matches.</x:v>
      </x:c>
      <x:c r="I11" s="28" t="str">
        <x:v>Infer wind-specific values or universal numeric curves.</x:v>
      </x:c>
      <x:c r="J11" s="28" t="str">
        <x:v>adopt_with_limits</x:v>
      </x:c>
      <x:c r="K11" s="28" t="str">
        <x:v>reviewed</x:v>
      </x:c>
      <x:c r="L11" s="28" t="str">
        <x:v>Solar-specific adjacent source; no wind curve.</x:v>
      </x:c>
    </x:row>
    <x:row r="12">
      <x:c r="A12" s="28" t="str">
        <x:v>FW-S008</x:v>
      </x:c>
      <x:c r="B12" s="28" t="str">
        <x:v>Stehly, T.; Duffy, P.; Mulas Hernando, D. Cost of Wind Energy Review: 2024 Edition. NREL/TP-5000-91775.</x:v>
      </x:c>
      <x:c r="C12" s="28" t="str">
        <x:v>https://www.nrel.gov/docs/fy25osti/91775.pdf</x:v>
      </x:c>
      <x:c r="D12" s="28" t="str">
        <x:v>land-based reference plant capital-cost breakdown</x:v>
      </x:c>
      <x:c r="E12" s="28" t="str">
        <x:v>exposure_or_value</x:v>
      </x:c>
      <x:c r="F12" s="28" t="str">
        <x:v>T2_public_lab_standard_or_physics</x:v>
      </x:c>
      <x:c r="G12" s="28" t="str">
        <x:v>2023-USD wind component and balance-of-system reference values</x:v>
      </x:c>
      <x:c r="H12" s="28" t="str">
        <x:v>Use the row-level reference ledger and identify the mixed 72 USD/kW electrical bucket.</x:v>
      </x:c>
      <x:c r="I12" s="28" t="str">
        <x:v>Infer a 9% substation share, fragility, ownership, or site replacement value.</x:v>
      </x:c>
      <x:c r="J12" s="28" t="str">
        <x:v>adopt_with_limits</x:v>
      </x:c>
      <x:c r="K12" s="28" t="str">
        <x:v>reviewed</x:v>
      </x:c>
      <x:c r="L12" s="28" t="str">
        <x:v>Value archetype only; substation and collection are not split.</x:v>
      </x:c>
    </x:row>
    <x:row r="13">
      <x:c r="A13" s="28" t="str">
        <x:v>FW-S009</x:v>
      </x:c>
      <x:c r="B13" s="28" t="str">
        <x:v>Federal Energy Regulatory Commission, pro forma Large Generator Interconnection Agreement.</x:v>
      </x:c>
      <x:c r="C13" s="28" t="str">
        <x:v>https://www.ferc.gov/sites/default/files/2020-04/LGIA.pdf</x:v>
      </x:c>
      <x:c r="D13" s="28" t="str">
        <x:v>definitions of Point of Change of Ownership and Point of Interconnection; Appendix A dependency</x:v>
      </x:c>
      <x:c r="E13" s="28" t="str">
        <x:v>ownership_boundary</x:v>
      </x:c>
      <x:c r="F13" s="28" t="str">
        <x:v>T2_public_lab_standard_or_physics</x:v>
      </x:c>
      <x:c r="G13" s="28" t="str">
        <x:v>contract-defined ownership/interconnection demarcations</x:v>
      </x:c>
      <x:c r="H13" s="28" t="str">
        <x:v>Require site agreement/one-line evidence for project versus transmission-owner inclusion.</x:v>
      </x:c>
      <x:c r="I13" s="28" t="str">
        <x:v>Assume ownership from physical role or map proximity.</x:v>
      </x:c>
      <x:c r="J13" s="28" t="str">
        <x:v>adopt_with_limits</x:v>
      </x:c>
      <x:c r="K13" s="28" t="str">
        <x:v>reviewed</x:v>
      </x:c>
      <x:c r="L13" s="28" t="str">
        <x:v>Template establishes that demarcation is agreement-specific.</x:v>
      </x:c>
    </x:row>
    <x:row r="14">
      <x:c r="A14" s="28" t="str">
        <x:v>FW-S010</x:v>
      </x:c>
      <x:c r="B14" s="28" t="str">
        <x:v>Canonical Damage Modeling flood_solar artifact, flood_solar@model_v1_0__docs_r4.</x:v>
      </x:c>
      <x:c r="C14" s="28" t="str">
        <x:v>docs/cells/flood_solar/current/flood_solar__model_v1_0__docs_r4__curve_artifact.json</x:v>
      </x:c>
      <x:c r="D14" s="28" t="str">
        <x:v>FS_SWG, FS_XFMR, FS_SCADA, FS_CABLE; artifact SHA a08e77ef034e1ecea3e7cd05d13c825921b54d610fca9de8651ebda8e857082d</x:v>
      </x:c>
      <x:c r="E14" s="28" t="str">
        <x:v>candidate_curve_and_method</x:v>
      </x:c>
      <x:c r="F14" s="28" t="str">
        <x:v>T3_engineering_proxy_or_adjacent_empirical</x:v>
      </x:c>
      <x:c r="G14" s="28" t="str">
        <x:v>deterministic T3 electrical depth-damage records and T2 local-datum transform</x:v>
      </x:c>
      <x:c r="H14" s="28" t="str">
        <x:v>Reuse axis/method and retain exact ordinates as pinned audit candidates under explicit crosswalk.</x:v>
      </x:c>
      <x:c r="I14" s="28" t="str">
        <x:v>Silently copy numerics into flood_wind or call them claims-calibrated asset-neutral curves.</x:v>
      </x:c>
      <x:c r="J14" s="28" t="str">
        <x:v>defer_candidate_only</x:v>
      </x:c>
      <x:c r="K14" s="28" t="str">
        <x:v>reviewed</x:v>
      </x:c>
      <x:c r="L14" s="28" t="str">
        <x:v>Canonical inside flood_solar; not runtime-approved for flood_wind.</x:v>
      </x:c>
    </x:row>
    <x:row r="15">
      <x:c r="A15" s="28" t="str">
        <x:v>FW-S011</x:v>
      </x:c>
      <x:c r="B15" s="28" t="str">
        <x:v>Federal Emergency Management Agency, Hazus-MH Flood Model Technical Manual, version 2.1.</x:v>
      </x:c>
      <x:c r="C15" s="28" t="str">
        <x:v>https://www.fema.gov/sites/default/files/2020-09/fema_hazus_flood-model_technical-manual_2.1.pdf</x:v>
      </x:c>
      <x:c r="D15" s="28" t="str">
        <x:v>sections 7.2.2, 7.2.4, and 7.2.6; Table 7.9, pp. 7-20 through 7-21; Table 7.9 footnote 2 and comments</x:v>
      </x:c>
      <x:c r="E15" s="28" t="str">
        <x:v>source_native_curve_and_assumptions</x:v>
      </x:c>
      <x:c r="F15" s="28" t="str">
        <x:v>T3_engineering_proxy_or_adjacent_empirical</x:v>
      </x:c>
      <x:c r="G15" s="28" t="str">
        <x:v>modeled whole-electric-substation depth-percent-damage values for ESSL ESSM and ESSH from 0 through 10 ft</x:v>
      </x:c>
      <x:c r="H15" s="28" t="str">
        <x:v>Reproduce the exact whole-substation source table as a strictly gated legacy screening curve and preserve its source assumptions.</x:v>
      </x:c>
      <x:c r="I15" s="28" t="str">
        <x:v>Infer component curves, field or claims calibration, wind-farm TIV loss, saline-water applicability, protection credit, or current Hazus enablement.</x:v>
      </x:c>
      <x:c r="J15" s="28" t="str">
        <x:v>adopt_screening_with_strict_gate</x:v>
      </x:c>
      <x:c r="K15" s="28" t="str">
        <x:v>reviewed</x:v>
      </x:c>
      <x:c r="L15" s="28" t="str">
        <x:v>Official source-native table; source PDF SHA-256 476726f194ed7e0702e8d6b47ad62616c8ca78214e56e9efc848f3bd547ae669. Section 7.2.4 also says electric-power implementation was deferred.</x:v>
      </x:c>
    </x:row>
    <x:row r="16">
      <x:c r="A16" s="28" t="str">
        <x:v>FW-S012</x:v>
      </x:c>
      <x:c r="B16" s="28" t="str">
        <x:v>Federal Emergency Management Agency, Hazus 7.0 Flood Technical Manual (2025).</x:v>
      </x:c>
      <x:c r="C16" s="28" t="str">
        <x:v>https://www.fema.gov/sites/default/files/documents/fema_rsl_hazus-7-fltm_06272025_0.pdf</x:v>
      </x:c>
      <x:c r="D16" s="28" t="str">
        <x:v>Table 9-1, pp. 9-1 through 9-2; section 9.4.1 footnote 21, p. 9-3</x:v>
      </x:c>
      <x:c r="E16" s="28" t="str">
        <x:v>current_status_and_limitation</x:v>
      </x:c>
      <x:c r="F16" s="28" t="str">
        <x:v>T2_public_lab_standard_or_physics</x:v>
      </x:c>
      <x:c r="G16" s="28" t="str">
        <x:v>electric-power substations listed as mapping-only; default electric-power functions viewable but disabled and producing no results</x:v>
      </x:c>
      <x:c r="H16" s="28" t="str">
        <x:v>Require the current-disabled limitation and prohibit describing the legacy table as an enabled Hazus result.</x:v>
      </x:c>
      <x:c r="I16" s="28" t="str">
        <x:v>Erase the legacy source table or claim current validation/calibration from its visibility.</x:v>
      </x:c>
      <x:c r="J16" s="28" t="str">
        <x:v>adopt_as_limitation</x:v>
      </x:c>
      <x:c r="K16" s="28" t="str">
        <x:v>reviewed</x:v>
      </x:c>
      <x:c r="L16" s="28" t="str">
        <x:v>Official current-status evidence; source PDF SHA-256 4fd5a0402dab23c9607ec824f728e2cef68cfac00a3882cdec3a0746516f7690.</x:v>
      </x:c>
    </x:row>
    <x:row r="17">
      <x:c r="A17" s="28" t="str">
        <x:v>FW-S013</x:v>
      </x:c>
      <x:c r="B17" s="28" t="str">
        <x:v>National Electrical Manufacturers Association, NEMA Standards Action, April 6, 2026.</x:v>
      </x:c>
      <x:c r="C17" s="28" t="str">
        <x:v>https://www.nema.org/docs/default-source/default-document-library/public/standards-actions/nema-standards-action-april-2026.pdf?sfvrsn=73934d20_2</x:v>
      </x:c>
      <x:c r="D17" s="28" t="str">
        <x:v>Recently Published Documents, p. 5: Evaluating Water-Damaged Electrical Equipment, NEMA CS 70006-2026, Guide</x:v>
      </x:c>
      <x:c r="E17" s="28" t="str">
        <x:v>current_guide_successor_status</x:v>
      </x:c>
      <x:c r="F17" s="28" t="str">
        <x:v>T2_public_lab_standard_or_physics</x:v>
      </x:c>
      <x:c r="G17" s="28" t="str">
        <x:v>official publication metadata for the 2026 same-titled water-damaged-electrical-equipment guide</x:v>
      </x:c>
      <x:c r="H17" s="28" t="str">
        <x:v>Classify NEMA GD 1-2016 as historical and require acquisition and technical review of NEMA CS 70006-2026 before canonical promotion.</x:v>
      </x:c>
      <x:c r="I17" s="28" t="str">
        <x:v>Assume the successor's detailed recommendations are identical, use inaccessible content as evidence, or alter the FEMA Table 7.9 numeric knots from publication metadata alone.</x:v>
      </x:c>
      <x:c r="J17" s="28" t="str">
        <x:v>adopt_as_promotion_caveat</x:v>
      </x:c>
      <x:c r="K17" s="28" t="str">
        <x:v>reviewed_metadata_only</x:v>
      </x:c>
      <x:c r="L17" s="28" t="str">
        <x:v>The current guide itself has not been acquired/reviewed in this package. Official register PDF SHA-256 a6fa04f226564fa68b316383117411d0cda62da4131e3a4040eb78f0622dbdcf.</x:v>
      </x:c>
    </x:row>
    <x:row r="18">
      <x:c r="A18" s="28" t="str">
        <x:v>LEG-FW-001</x:v>
      </x:c>
      <x:c r="B18" s="28" t="str">
        <x:v>Hazard Modeling flood/wind M3 greenfield consumer implementation.</x:v>
      </x:c>
      <x:c r="C18" s="28" t="str">
        <x:v>Hazard_modeling/Notebooks/flood/wind_farm/m3_damage/01_damage.py</x:v>
      </x:c>
      <x:c r="D18" s="28" t="str">
        <x:v>lines 65-84, dr(), loss assembly, vendored object</x:v>
      </x:c>
      <x:c r="E18" s="28" t="str">
        <x:v>rejected</x:v>
      </x:c>
      <x:c r="F18" s="28" t="str">
        <x:v>T4_placeholder_or_expert_judgment</x:v>
      </x:c>
      <x:c r="G18" s="28" t="str">
        <x:v>four hardcoded anchored logistics and fixed seven-bucket project shares</x:v>
      </x:c>
      <x:c r="H18" s="28" t="str">
        <x:v>Freeze formulas and vectors as migration characterization fixtures.</x:v>
      </x:c>
      <x:c r="I18" s="28" t="str">
        <x:v>Use as scientific calibration, value basis, governed artifact, or fallback.</x:v>
      </x:c>
      <x:c r="J18" s="28" t="str">
        <x:v>reject_runtime_retain_audit</x:v>
      </x:c>
      <x:c r="K18" s="28" t="str">
        <x:v>reviewed</x:v>
      </x:c>
      <x:c r="L18" s="28" t="str">
        <x:v>Hazard commit d876ef7190ef6baf7339cb32cb95a77bde89af4d; blob 1c50b845064a1f168090bfe3180bf23779375d90; SHA-256 b45fba70544d348638be4f3ad6af65193a272bbe2b4b25098128fa8b810a159e.</x:v>
      </x:c>
    </x:row>
    <x:row r="19">
      <x:c r="A19" s="28" t="str">
        <x:v>LEG-FW-002</x:v>
      </x:c>
      <x:c r="B19" s="28" t="str">
        <x:v>Hazard Modeling flood/wind M4 independent coastal flood reconstruction.</x:v>
      </x:c>
      <x:c r="C19" s="28" t="str">
        <x:v>Hazard_modeling/Notebooks/flood/wind_farm/m4_loss_metrics/01_loss_metrics.py</x:v>
      </x:c>
      <x:c r="D19" s="28" t="str">
        <x:v>lines 204-245 and output/compound sections</x:v>
      </x:c>
      <x:c r="E19" s="28" t="str">
        <x:v>rejected</x:v>
      </x:c>
      <x:c r="F19" s="28" t="str">
        <x:v>T4_placeholder_or_expert_judgment</x:v>
      </x:c>
      <x:c r="G19" s="28" t="str">
        <x:v>re-hardcoded CAPEX7 and SURGE_CURVE with aggregated max-combine logic</x:v>
      </x:c>
      <x:c r="H19" s="28" t="str">
        <x:v>Include in future migration/bypass tests.</x:v>
      </x:c>
      <x:c r="I19" s="28" t="str">
        <x:v>Assume replacing M3 alone removes local curves or validates compound aggregation.</x:v>
      </x:c>
      <x:c r="J19" s="28" t="str">
        <x:v>reject_runtime_retain_audit</x:v>
      </x:c>
      <x:c r="K19" s="28" t="str">
        <x:v>reviewed</x:v>
      </x:c>
      <x:c r="L19" s="28" t="str">
        <x:v>Hazard commit d876ef7190ef6baf7339cb32cb95a77bde89af4d; blob 11a28fd72557847dd2fe12a48bdc5972d9f58352; SHA-256 7f91344b4495a2899be6475350728dd8d5f114052270f6221e2c4c7b82f7adfa.</x:v>
      </x:c>
    </x:row>
    <x:row r="20">
      <x:c r="A20" s="28" t="str">
        <x:v>GOVERNANCE_CONTRACT</x:v>
      </x:c>
      <x:c r="B20" s="28" t="str">
        <x:v>Damage Modeling method, contracts, and damage-curve skill governance.</x:v>
      </x:c>
      <x:c r="C20" s="28" t="str">
        <x:v>docs/method/standards/00_index.md</x:v>
      </x:c>
      <x:c r="D20" s="28" t="str">
        <x:v>standards 02, 07, 08, 18, 20; versioning and capability contracts; fail-closed workflow</x:v>
      </x:c>
      <x:c r="E20" s="28" t="str">
        <x:v>governance_rule</x:v>
      </x:c>
      <x:c r="F20" s="28" t="str">
        <x:v>T4_placeholder_or_expert_judgment</x:v>
      </x:c>
      <x:c r="G20" s="28" t="str">
        <x:v>cell structure provenance compatibility versioning and withholding rules</x:v>
      </x:c>
      <x:c r="H20" s="28" t="str">
        <x:v>Control this package and release gates.</x:v>
      </x:c>
      <x:c r="I20" s="28" t="str">
        <x:v>Serve as scientific calibration.</x:v>
      </x:c>
      <x:c r="J20" s="28" t="str">
        <x:v>adopt</x:v>
      </x:c>
      <x:c r="K20" s="28" t="str">
        <x:v>reviewed</x:v>
      </x:c>
      <x:c r="L20" s="28" t="str">
        <x:v>Stable internal governance source.</x:v>
      </x:c>
    </x:row>
    <x:row r="21">
      <x:c r="A21" s="28" t="str">
        <x:v>SHARED_SUBSTRATE</x:v>
      </x:c>
      <x:c r="B21" s="28" t="str">
        <x:v>Flood-electrical non-runtime shared component substrate v0.1.</x:v>
      </x:c>
      <x:c r="C21" s="28" t="str">
        <x:v>docs/method/shared_components/flood_electrical/README.md</x:v>
      </x:c>
      <x:c r="D21" s="28" t="str">
        <x:v>catalog and binding rules</x:v>
      </x:c>
      <x:c r="E21" s="28" t="str">
        <x:v>component_identity_and_binding</x:v>
      </x:c>
      <x:c r="F21" s="28" t="str">
        <x:v>T4_placeholder_or_expert_judgment</x:v>
      </x:c>
      <x:c r="G21" s="28" t="str">
        <x:v>asset-neutral vocabulary compatibility rules and non-runtime boundary</x:v>
      </x:c>
      <x:c r="H21" s="28" t="str">
        <x:v>Bind proposed flood_wind failure units to common concepts.</x:v>
      </x:c>
      <x:c r="I21" s="28" t="str">
        <x:v>Populate a curve emit or imply runtime approval.</x:v>
      </x:c>
      <x:c r="J21" s="28" t="str">
        <x:v>adopt</x:v>
      </x:c>
      <x:c r="K21" s="28" t="str">
        <x:v>reviewed</x:v>
      </x:c>
      <x:c r="L21" s="28" t="str">
        <x:v>Governed by method standard 20.</x:v>
      </x:c>
    </x:row>
    <x:row r="22">
      <x:c r="A22" s="30" t="str">
        <x:v>BOUNDED_SEARCH_LOG</x:v>
      </x:c>
      <x:c r="B22" s="30" t="str">
        <x:v>Bounded evidence search log for flood_wind model v0.1/docs r1.</x:v>
      </x:c>
      <x:c r="C22" s="30" t="str">
        <x:v>docs/cells/flood_wind/proposed/BOUNDED_EVIDENCE_SEARCH_LOG_flood_wind__model_v0_1__docs_r1.md</x:v>
      </x:c>
      <x:c r="D22" s="30" t="str">
        <x:v>search surfaces endpoint tests limitations and refresh triggers</x:v>
      </x:c>
      <x:c r="E22" s="30" t="str">
        <x:v>historical_negative_evidence_boundary</x:v>
      </x:c>
      <x:c r="F22" s="30" t="str">
        <x:v>T3_engineering_proxy_or_adjacent_empirical</x:v>
      </x:c>
      <x:c r="G22" s="30" t="str">
        <x:v>historical bounded result that no public matched component-local depth/state-to-disposition-to-same-unit-cost chain was located</x:v>
      </x:c>
      <x:c r="H22" s="30" t="str">
        <x:v>Retain the component-level negative boundary and document why the whole-substation source reopens only a different grain.</x:v>
      </x:c>
      <x:c r="I22" s="30" t="str">
        <x:v>Repeat the old conclusion as universal across whole-substation functions, private evidence, non-English evidence, unindexed evidence, or later publications.</x:v>
      </x:c>
      <x:c r="J22" s="30" t="str">
        <x:v>partially_superseded_by_FW-S011</x:v>
      </x:c>
      <x:c r="K22" s="30" t="str">
        <x:v>reviewed</x:v>
      </x:c>
      <x:c r="L22" s="30" t="str">
        <x:v>Still governing for component-level records; superseded only at the whole-substation source atom by FW-S011 and constrained by FW-S012.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6" hidden="0" customWidth="1"/>
    <x:col min="3" max="3" width="24" hidden="0" customWidth="1"/>
    <x:col min="4" max="4" width="28" hidden="0" customWidth="1"/>
    <x:col min="5" max="5" width="42" hidden="0" customWidth="1"/>
    <x:col min="6" max="6" width="34" hidden="0" customWidth="1"/>
    <x:col min="7" max="7" width="34" hidden="0" customWidth="1"/>
    <x:col min="8" max="8" width="22" hidden="0" customWidth="1"/>
    <x:col min="9" max="9" width="56" hidden="0" customWidth="1"/>
    <x:col min="10" max="10" width="56" hidden="0" customWidth="1"/>
    <x:col min="11" max="11" width="56" hidden="0" customWidth="1"/>
    <x:col min="12" max="12" width="44" hidden="0" customWidth="1"/>
  </x:cols>
  <x:sheetData>
    <x:row r="1" ht="26" customHeight="1">
      <x:c r="A1" s="2" t="str">
        <x:v>Claim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4" t="str">
        <x:v>No load-bearing claim is allowed to outrun its source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3" t="str">
        <x:v>Claim ID</x:v>
      </x:c>
      <x:c r="B4" s="14" t="str">
        <x:v>Claim</x:v>
      </x:c>
      <x:c r="C4" s="14" t="str">
        <x:v>Type</x:v>
      </x:c>
      <x:c r="D4" s="14" t="str">
        <x:v>Source IDs</x:v>
      </x:c>
      <x:c r="E4" s="14" t="str">
        <x:v>Locator</x:v>
      </x:c>
      <x:c r="F4" s="14" t="str">
        <x:v>Tier</x:v>
      </x:c>
      <x:c r="G4" s="14" t="str">
        <x:v>Rule</x:v>
      </x:c>
      <x:c r="H4" s="14" t="str">
        <x:v>Status</x:v>
      </x:c>
      <x:c r="I4" s="14" t="str">
        <x:v>Permitted</x:v>
      </x:c>
      <x:c r="J4" s="14" t="str">
        <x:v>Prohibited</x:v>
      </x:c>
      <x:c r="K4" s="14" t="str">
        <x:v>Reasoning</x:v>
      </x:c>
      <x:c r="L4" s="15" t="str">
        <x:v>Update trigger</x:v>
      </x:c>
    </x:row>
    <x:row r="5">
      <x:c r="A5" s="27" t="str">
        <x:v>FW-C001</x:v>
      </x:c>
      <x:c r="B5" s="27" t="str">
        <x:v>Typical wind and solar generation facilities can use the same facility-level Plant GSU role and collection-bus-to-interconnection architecture.</x:v>
      </x:c>
      <x:c r="C5" s="27" t="str">
        <x:v>direct_observation</x:v>
      </x:c>
      <x:c r="D5" s="27" t="str">
        <x:v>FW-S001</x:v>
      </x:c>
      <x:c r="E5" s="27" t="str">
        <x:v>pp. 2-3</x:v>
      </x:c>
      <x:c r="F5" s="27" t="str">
        <x:v>T2_public_lab_standard_or_physics</x:v>
      </x:c>
      <x:c r="G5" s="27" t="str">
        <x:v>shared_asset_anatomy</x:v>
      </x:c>
      <x:c r="H5" s="27" t="str">
        <x:v>adopt</x:v>
      </x:c>
      <x:c r="I5" s="27" t="str">
        <x:v>Define asset-neutral GSU/substation component concepts.</x:v>
      </x:c>
      <x:c r="J5" s="27" t="str">
        <x:v>Assume identical site configuration ownership value or vulnerability.</x:v>
      </x:c>
      <x:c r="K5" s="27" t="str">
        <x:v>FERC describes both technology configurations explicitly.</x:v>
      </x:c>
      <x:c r="L5" s="27" t="str">
        <x:v>FERC configuration guidance or class scope changes.</x:v>
      </x:c>
    </x:row>
    <x:row r="6">
      <x:c r="A6" s="28" t="str">
        <x:v>FW-C002</x:v>
      </x:c>
      <x:c r="B6" s="28" t="str">
        <x:v>For future component-level records, a local water-depth bridge may use component vulnerable datum h_i=max(0,WSE-z_i_crit); this is not the model-v1 whole-substation runtime axis.</x:v>
      </x:c>
      <x:c r="C6" s="28" t="str">
        <x:v>engineering_inference</x:v>
      </x:c>
      <x:c r="D6" s="28" t="str">
        <x:v>FW-S005;FW-S006;FW-S007;FW-S010</x:v>
      </x:c>
      <x:c r="E6" s="28" t="str">
        <x:v>elevation/critical-depth method and canonical flood_solar axis</x:v>
      </x:c>
      <x:c r="F6" s="28" t="str">
        <x:v>T2_public_lab_standard_or_physics</x:v>
      </x:c>
      <x:c r="G6" s="28" t="str">
        <x:v>component_axis_research_bridge</x:v>
      </x:c>
      <x:c r="H6" s="28" t="str">
        <x:v>retain_nonruntime</x:v>
      </x:c>
      <x:c r="I6" s="28" t="str">
        <x:v>Use only in component-level research with matched WSE and component datums.</x:v>
      </x:c>
      <x:c r="J6" s="28" t="str">
        <x:v>Substitute it for FLOOD_DEPTH_ABOVE_SUBSTATION_GRADE_FT_HAZUS or mix the two grains.</x:v>
      </x:c>
      <x:c r="K6" s="28" t="str">
        <x:v>The component method remains useful but differs from the source-native facility-grade axis.</x:v>
      </x:c>
      <x:c r="L6" s="28" t="str">
        <x:v>A component record is validated or the assembly-axis contract changes.</x:v>
      </x:c>
    </x:row>
    <x:row r="7">
      <x:c r="A7" s="28" t="str">
        <x:v>FW-C003</x:v>
      </x:c>
      <x:c r="B7" s="28" t="str">
        <x:v>Asset label solar versus wind is not an intrinsic selector for materially identical equipment and delivered exposure.</x:v>
      </x:c>
      <x:c r="C7" s="28" t="str">
        <x:v>governance_decision</x:v>
      </x:c>
      <x:c r="D7" s="28" t="str">
        <x:v>FW-S001;GOVERNANCE_CONTRACT;SHARED_SUBSTRATE</x:v>
      </x:c>
      <x:c r="E7" s="28" t="str">
        <x:v>method standard 20 compatibility key</x:v>
      </x:c>
      <x:c r="F7" s="28" t="str">
        <x:v>T4_placeholder_or_expert_judgment</x:v>
      </x:c>
      <x:c r="G7" s="28" t="str">
        <x:v>curve_selection_rule</x:v>
      </x:c>
      <x:c r="H7" s="28" t="str">
        <x:v>adopt</x:v>
      </x:c>
      <x:c r="I7" s="28" t="str">
        <x:v>Share a response after exact compatibility passes.</x:v>
      </x:c>
      <x:c r="J7" s="28" t="str">
        <x:v>Ignore equipment construction selectors or copy exposure/value.</x:v>
      </x:c>
      <x:c r="K7" s="28" t="str">
        <x:v>The physical component sees water and its own state, not the upstream generation label.</x:v>
      </x:c>
      <x:c r="L7" s="28" t="str">
        <x:v>Evidence shows technology context changes intrinsic response after controls.</x:v>
      </x:c>
    </x:row>
    <x:row r="8">
      <x:c r="A8" s="28" t="str">
        <x:v>FW-C004</x:v>
      </x:c>
      <x:c r="B8" s="28" t="str">
        <x:v>Switchgear main transformer auxiliaries controls station service and terminations require separate failure-unit identities unless an adopted source explicitly supplies a whole-facility atom.</x:v>
      </x:c>
      <x:c r="C8" s="28" t="str">
        <x:v>source_interpretation</x:v>
      </x:c>
      <x:c r="D8" s="28" t="str">
        <x:v>FW-S002;FW-S003;FW-S004;FW-S011;SHARED_SUBSTRATE</x:v>
      </x:c>
      <x:c r="E8" s="28" t="str">
        <x:v>equipment categories, case endpoints, and Hazus Table 7.9 comments</x:v>
      </x:c>
      <x:c r="F8" s="28" t="str">
        <x:v>T3_engineering_proxy_or_adjacent_empirical</x:v>
      </x:c>
      <x:c r="G8" s="28" t="str">
        <x:v>failure_unit_decomposition</x:v>
      </x:c>
      <x:c r="H8" s="28" t="str">
        <x:v>adopt</x:v>
      </x:c>
      <x:c r="I8" s="28" t="str">
        <x:v>Preserve separate component subjects and the mutually exclusive Hazus whole-substation source atom.</x:v>
      </x:c>
      <x:c r="J8" s="28" t="str">
        <x:v>Apply the assembly DR independently to each component or sum assembly and component values.</x:v>
      </x:c>
      <x:c r="K8" s="28" t="str">
        <x:v>Sources describe distinct components while FW-S011 supplies only one inseparable facility response; FW-S002 is historical context pending successor review.</x:v>
      </x:c>
      <x:c r="L8" s="28" t="str">
        <x:v>Claims/OEM data or reviewed NEMA CS 70006-2026 guidance change the decomposition.</x:v>
      </x:c>
    </x:row>
    <x:row r="9">
      <x:c r="A9" s="28" t="str">
        <x:v>FW-C005</x:v>
      </x:c>
      <x:c r="B9" s="28" t="str">
        <x:v>NERC shallow relay-room flooding demonstrates operational sensitivity but does not calibrate physical DR.</x:v>
      </x:c>
      <x:c r="C9" s="28" t="str">
        <x:v>direct_observation</x:v>
      </x:c>
      <x:c r="D9" s="28" t="str">
        <x:v>FW-S003</x:v>
      </x:c>
      <x:c r="E9" s="28" t="str">
        <x:v>approximately 8 inches and 495 MW operational consequence</x:v>
      </x:c>
      <x:c r="F9" s="28" t="str">
        <x:v>T3_engineering_proxy_or_adjacent_empirical</x:v>
      </x:c>
      <x:c r="G9" s="28" t="str">
        <x:v>endpoint_boundary</x:v>
      </x:c>
      <x:c r="H9" s="28" t="str">
        <x:v>adopt_with_limits</x:v>
      </x:c>
      <x:c r="I9" s="28" t="str">
        <x:v>Prioritize controls/protection curation and route outage downstream.</x:v>
      </x:c>
      <x:c r="J9" s="28" t="str">
        <x:v>Use MW removed from service as repair-cost ratio.</x:v>
      </x:c>
      <x:c r="K9" s="28" t="str">
        <x:v>The source reports operations and unavailable equipment rather than same-unit cost.</x:v>
      </x:c>
      <x:c r="L9" s="28" t="str">
        <x:v>A source publishes component disposition and cost for the event.</x:v>
      </x:c>
    </x:row>
    <x:row r="10">
      <x:c r="A10" s="28" t="str">
        <x:v>FW-C006</x:v>
      </x:c>
      <x:c r="B10" s="28" t="str">
        <x:v>FS_SWG remains a pinned component candidate but is not the adopted whole-substation curve and remains audit-only for flood_wind.</x:v>
      </x:c>
      <x:c r="C10" s="28" t="str">
        <x:v>governance_decision</x:v>
      </x:c>
      <x:c r="D10" s="28" t="str">
        <x:v>FW-S010</x:v>
      </x:c>
      <x:c r="E10" s="28" t="str">
        <x:v>FS_SWG and parameter tier table</x:v>
      </x:c>
      <x:c r="F10" s="28" t="str">
        <x:v>T3_engineering_proxy_or_adjacent_empirical</x:v>
      </x:c>
      <x:c r="G10" s="28" t="str">
        <x:v>FS_SWG_candidate</x:v>
      </x:c>
      <x:c r="H10" s="28" t="str">
        <x:v>withhold</x:v>
      </x:c>
      <x:c r="I10" s="28" t="str">
        <x:v>Retain exact source pin/ordinates for future component review.</x:v>
      </x:c>
      <x:c r="J10" s="28" t="str">
        <x:v>Populate a flood_wind component emit or use FS_SWG as FW_HAZUS_2_1_SUBSTATION_SCREENING_PWL.</x:v>
      </x:c>
      <x:c r="K10" s="28" t="str">
        <x:v>Definition/axis/economic compatibility remains unapproved and the Hazus atom has different grain.</x:v>
      </x:c>
      <x:c r="L10" s="28" t="str">
        <x:v>Exact equipment applicability and economic validation pass.</x:v>
      </x:c>
    </x:row>
    <x:row r="11">
      <x:c r="A11" s="28" t="str">
        <x:v>FW-C007</x:v>
      </x:c>
      <x:c r="B11" s="28" t="str">
        <x:v>FS_XFMR cannot transfer directly because its datum/control semantics and main-transformer value denominator are mixed.</x:v>
      </x:c>
      <x:c r="C11" s="28" t="str">
        <x:v>source_interpretation</x:v>
      </x:c>
      <x:c r="D11" s="28" t="str">
        <x:v>FW-S010</x:v>
      </x:c>
      <x:c r="E11" s="28" t="str">
        <x:v>FS_XFMR record plus dossier/metadata wording</x:v>
      </x:c>
      <x:c r="F11" s="28" t="str">
        <x:v>T3_engineering_proxy_or_adjacent_empirical</x:v>
      </x:c>
      <x:c r="G11" s="28" t="str">
        <x:v>FS_XFMR_candidate</x:v>
      </x:c>
      <x:c r="H11" s="28" t="str">
        <x:v>reject_direct_reuse</x:v>
      </x:c>
      <x:c r="I11" s="28" t="str">
        <x:v>Use as a decomposition prompt only.</x:v>
      </x:c>
      <x:c r="J11" s="28" t="str">
        <x:v>Apply control-water depth to full main-transformer value.</x:v>
      </x:c>
      <x:c r="K11" s="28" t="str">
        <x:v>Same-unit denominator and exposed vulnerable parts are not aligned.</x:v>
      </x:c>
      <x:c r="L11" s="28" t="str">
        <x:v>A dependency-safe transformer state/cost model is validated.</x:v>
      </x:c>
    </x:row>
    <x:row r="12">
      <x:c r="A12" s="28" t="str">
        <x:v>FW-C008</x:v>
      </x:c>
      <x:c r="B12" s="28" t="str">
        <x:v>FS_SCADA and FS_CABLE are partial concept/mechanism matches only.</x:v>
      </x:c>
      <x:c r="C12" s="28" t="str">
        <x:v>source_interpretation</x:v>
      </x:c>
      <x:c r="D12" s="28" t="str">
        <x:v>FW-S007;FW-S010</x:v>
      </x:c>
      <x:c r="E12" s="28" t="str">
        <x:v>FS_SCADA and FS_CABLE semantics</x:v>
      </x:c>
      <x:c r="F12" s="28" t="str">
        <x:v>T3_engineering_proxy_or_adjacent_empirical</x:v>
      </x:c>
      <x:c r="G12" s="28" t="str">
        <x:v>neighbor_candidate_reuse</x:v>
      </x:c>
      <x:c r="H12" s="28" t="str">
        <x:v>withhold</x:v>
      </x:c>
      <x:c r="I12" s="28" t="str">
        <x:v>Crosswalk equipment and pathways.</x:v>
      </x:c>
      <x:c r="J12" s="28" t="str">
        <x:v>Equate plant SCADA with protection/control or solar AC/DC cable with wind MV inventory.</x:v>
      </x:c>
      <x:c r="K12" s="28" t="str">
        <x:v>The existing records aggregate different subjects.</x:v>
      </x:c>
      <x:c r="L12" s="28" t="str">
        <x:v>Qualified equipment and value crosswalks pass.</x:v>
      </x:c>
    </x:row>
    <x:row r="13">
      <x:c r="A13" s="28" t="str">
        <x:v>FW-C009</x:v>
      </x:c>
      <x:c r="B13" s="28" t="str">
        <x:v>The CWER wind electrical value is one mixed 72 2023 USD/kW bucket and does not support a standalone 9% substation allocation.</x:v>
      </x:c>
      <x:c r="C13" s="28" t="str">
        <x:v>source_interpretation</x:v>
      </x:c>
      <x:c r="D13" s="28" t="str">
        <x:v>FW-S008</x:v>
      </x:c>
      <x:c r="E13" s="28" t="str">
        <x:v>land-based reference breakdown and local Wind_Map row 12</x:v>
      </x:c>
      <x:c r="F13" s="28" t="str">
        <x:v>T2_public_lab_standard_or_physics</x:v>
      </x:c>
      <x:c r="G13" s="28" t="str">
        <x:v>value_rollup</x:v>
      </x:c>
      <x:c r="H13" s="28" t="str">
        <x:v>adopt_with_limits</x:v>
      </x:c>
      <x:c r="I13" s="28" t="str">
        <x:v>Preserve the 72 USD/kW reconciliation row and require a component or whole-substation site value.</x:v>
      </x:c>
      <x:c r="J13" s="28" t="str">
        <x:v>Use 9% GSU plus 9% electrical or treat the row as a site appraisal.</x:v>
      </x:c>
      <x:c r="K13" s="28" t="str">
        <x:v>The source ledger does not split collection and substation.</x:v>
      </x:c>
      <x:c r="L13" s="28" t="str">
        <x:v>Site/OEM/insured schedule supplies a complete non-overlapping value.</x:v>
      </x:c>
    </x:row>
    <x:row r="14">
      <x:c r="A14" s="28" t="str">
        <x:v>FW-C010</x:v>
      </x:c>
      <x:c r="B14" s="28" t="str">
        <x:v>Functional association or mapped generation-substation role does not prove project ownership or insured inclusion.</x:v>
      </x:c>
      <x:c r="C14" s="28" t="str">
        <x:v>governance_decision</x:v>
      </x:c>
      <x:c r="D14" s="28" t="str">
        <x:v>FW-S009;LEG-FW-001;GOVERNANCE_CONTRACT</x:v>
      </x:c>
      <x:c r="E14" s="28" t="str">
        <x:v>LGIA demarcation definitions and Hazard ownership audit</x:v>
      </x:c>
      <x:c r="F14" s="28" t="str">
        <x:v>T3_engineering_proxy_or_adjacent_empirical</x:v>
      </x:c>
      <x:c r="G14" s="28" t="str">
        <x:v>ownership_value_rule</x:v>
      </x:c>
      <x:c r="H14" s="28" t="str">
        <x:v>adopt</x:v>
      </x:c>
      <x:c r="I14" s="28" t="str">
        <x:v>Withhold project scenario loss and permit labeled dependency/sensitivity treatment.</x:v>
      </x:c>
      <x:c r="J14" s="28" t="str">
        <x:v>Price unknown or utility-owned POI equipment as project value.</x:v>
      </x:c>
      <x:c r="K14" s="28" t="str">
        <x:v>Ownership and demarcation are agreement/site specific.</x:v>
      </x:c>
      <x:c r="L14" s="28" t="str">
        <x:v>Executed agreement, one-line, and value schedule resolve the boundary.</x:v>
      </x:c>
    </x:row>
    <x:row r="15">
      <x:c r="A15" s="28" t="str">
        <x:v>FW-C011</x:v>
      </x:c>
      <x:c r="B15" s="28" t="str">
        <x:v>Riverine pluvial and coastal sources may share a contact response only for the same delivered exposure and conditioner vector.</x:v>
      </x:c>
      <x:c r="C15" s="28" t="str">
        <x:v>governance_decision</x:v>
      </x:c>
      <x:c r="D15" s="28" t="str">
        <x:v>FW-S002;FW-S005;GOVERNANCE_CONTRACT</x:v>
      </x:c>
      <x:c r="E15" s="28" t="str">
        <x:v>pathway and binding rules</x:v>
      </x:c>
      <x:c r="F15" s="28" t="str">
        <x:v>T3_engineering_proxy_or_adjacent_empirical</x:v>
      </x:c>
      <x:c r="G15" s="28" t="str">
        <x:v>source_peril_routing</x:v>
      </x:c>
      <x:c r="H15" s="28" t="str">
        <x:v>adopt</x:v>
      </x:c>
      <x:c r="I15" s="28" t="str">
        <x:v>Preserve source provenance event identity duration water quality and local depth.</x:v>
      </x:c>
      <x:c r="J15" s="28" t="str">
        <x:v>Treat equal grade depth as equal damage under salinity debris velocity or duration differences.</x:v>
      </x:c>
      <x:c r="K15" s="28" t="str">
        <x:v>Source label alone is not mechanism equivalence.</x:v>
      </x:c>
      <x:c r="L15" s="28" t="str">
        <x:v>Validated source-specific variants or equivalence tests pass.</x:v>
      </x:c>
    </x:row>
    <x:row r="16">
      <x:c r="A16" s="28" t="str">
        <x:v>FW-C012</x:v>
      </x:c>
      <x:c r="B16" s="28" t="str">
        <x:v>Scour erosion and saturated-soil support loss are separate from direct inundation contact.</x:v>
      </x:c>
      <x:c r="C16" s="28" t="str">
        <x:v>governance_decision</x:v>
      </x:c>
      <x:c r="D16" s="28" t="str">
        <x:v>FW-S005;GOVERNANCE_CONTRACT</x:v>
      </x:c>
      <x:c r="E16" s="28" t="str">
        <x:v>method standard 18 and discussion boundary</x:v>
      </x:c>
      <x:c r="F16" s="28" t="str">
        <x:v>T4_placeholder_or_expert_judgment</x:v>
      </x:c>
      <x:c r="G16" s="28" t="str">
        <x:v>pathway_split</x:v>
      </x:c>
      <x:c r="H16" s="28" t="str">
        <x:v>adopt</x:v>
      </x:c>
      <x:c r="I16" s="28" t="str">
        <x:v>Defer to hydraulic/geotechnical pathway.</x:v>
      </x:c>
      <x:c r="J16" s="28" t="str">
        <x:v>Use the assembly depth curve or legacy foundation logistic.</x:v>
      </x:c>
      <x:c r="K16" s="28" t="str">
        <x:v>Axes mechanisms and site dependence differ.</x:v>
      </x:c>
      <x:c r="L16" s="28" t="str">
        <x:v>Qualified scour pathway is released.</x:v>
      </x:c>
    </x:row>
    <x:row r="17">
      <x:c r="A17" s="28" t="str">
        <x:v>FW-C013</x:v>
      </x:c>
      <x:c r="B17" s="28" t="str">
        <x:v>The legacy M3 anchored logistics are regression fixtures and contain a non-renormalized asymptote discrepancy.</x:v>
      </x:c>
      <x:c r="C17" s="28" t="str">
        <x:v>direct_observation</x:v>
      </x:c>
      <x:c r="D17" s="28" t="str">
        <x:v>LEG-FW-001</x:v>
      </x:c>
      <x:c r="E17" s="28" t="str">
        <x:v>dr() and hardcoded CAPEX/curves</x:v>
      </x:c>
      <x:c r="F17" s="28" t="str">
        <x:v>T4_placeholder_or_expert_judgment</x:v>
      </x:c>
      <x:c r="G17" s="28" t="str">
        <x:v>legacy_curve</x:v>
      </x:c>
      <x:c r="H17" s="28" t="str">
        <x:v>reject</x:v>
      </x:c>
      <x:c r="I17" s="28" t="str">
        <x:v>Reproduce old characterization values only.</x:v>
      </x:c>
      <x:c r="J17" s="28" t="str">
        <x:v>Use L as actual asymptote x0 as emitted midpoint or accept the 0.37 ceiling as curve saturation.</x:v>
      </x:c>
      <x:c r="K17" s="28" t="str">
        <x:v>Subtracting raw(0) anchors but does not renormalize.</x:v>
      </x:c>
      <x:c r="L17" s="28" t="str">
        <x:v>Legacy code is retired after pinned migration.</x:v>
      </x:c>
    </x:row>
    <x:row r="18">
      <x:c r="A18" s="28" t="str">
        <x:v>FW-C014</x:v>
      </x:c>
      <x:c r="B18" s="28" t="str">
        <x:v>Replacing Hazard M3 alone does not remove the M4 coastal hardcoded bypass.</x:v>
      </x:c>
      <x:c r="C18" s="28" t="str">
        <x:v>direct_observation</x:v>
      </x:c>
      <x:c r="D18" s="28" t="str">
        <x:v>LEG-FW-002</x:v>
      </x:c>
      <x:c r="E18" s="28" t="str">
        <x:v>CAPEX7 and SURGE_CURVE reconstruction</x:v>
      </x:c>
      <x:c r="F18" s="28" t="str">
        <x:v>T4_placeholder_or_expert_judgment</x:v>
      </x:c>
      <x:c r="G18" s="28" t="str">
        <x:v>consumer_migration_scope</x:v>
      </x:c>
      <x:c r="H18" s="28" t="str">
        <x:v>adopt</x:v>
      </x:c>
      <x:c r="I18" s="28" t="str">
        <x:v>Require one pinned loader for M3 and coastal M4.</x:v>
      </x:c>
      <x:c r="J18" s="28" t="str">
        <x:v>Declare migration complete after M3-only replacement.</x:v>
      </x:c>
      <x:c r="K18" s="28" t="str">
        <x:v>M4 independently reconstructs the provisional response.</x:v>
      </x:c>
      <x:c r="L18" s="28" t="str">
        <x:v>Consumer dual-read and bypass KAT pass.</x:v>
      </x:c>
    </x:row>
    <x:row r="19">
      <x:c r="A19" s="28" t="str">
        <x:v>FW-C015</x:v>
      </x:c>
      <x:c r="B19" s="28" t="str">
        <x:v>Missing ground/elevation data and synthetic centroid fallback cannot become dry or a priced substation.</x:v>
      </x:c>
      <x:c r="C19" s="28" t="str">
        <x:v>governance_decision</x:v>
      </x:c>
      <x:c r="D19" s="28" t="str">
        <x:v>LEG-FW-001;GOVERNANCE_CONTRACT</x:v>
      </x:c>
      <x:c r="E19" s="28" t="str">
        <x:v>legacy audit and missing-state rules</x:v>
      </x:c>
      <x:c r="F19" s="28" t="str">
        <x:v>T4_placeholder_or_expert_judgment</x:v>
      </x:c>
      <x:c r="G19" s="28" t="str">
        <x:v>missing_exposure_policy</x:v>
      </x:c>
      <x:c r="H19" s="28" t="str">
        <x:v>adopt</x:v>
      </x:c>
      <x:c r="I19" s="28" t="str">
        <x:v>Preserve missing/placeholder state and withhold or reject.</x:v>
      </x:c>
      <x:c r="J19" s="28" t="str">
        <x:v>Convert invalid elevation to zero depth or price a centroid as a 9% GSU.</x:v>
      </x:c>
      <x:c r="K19" s="28" t="str">
        <x:v>Unknown exposure and absent physical identity are not observations.</x:v>
      </x:c>
      <x:c r="L19" s="28" t="str">
        <x:v>Observed component identity geometry and datum become available.</x:v>
      </x:c>
    </x:row>
    <x:row r="20">
      <x:c r="A20" s="28" t="str">
        <x:v>FW-C016</x:v>
      </x:c>
      <x:c r="B20" s="28" t="str">
        <x:v>Support fieldwork and transport are allocated once after direct damaged units and disposition are known.</x:v>
      </x:c>
      <x:c r="C20" s="28" t="str">
        <x:v>governance_decision</x:v>
      </x:c>
      <x:c r="D20" s="28" t="str">
        <x:v>FW-S008;GOVERNANCE_CONTRACT</x:v>
      </x:c>
      <x:c r="E20" s="28" t="str">
        <x:v>Wind_Map rows 13-14 and value standard</x:v>
      </x:c>
      <x:c r="F20" s="28" t="str">
        <x:v>T4_placeholder_or_expert_judgment</x:v>
      </x:c>
      <x:c r="G20" s="28" t="str">
        <x:v>support_once_rule</x:v>
      </x:c>
      <x:c r="H20" s="28" t="str">
        <x:v>adopt_with_limits</x:v>
      </x:c>
      <x:c r="I20" s="28" t="str">
        <x:v>Preserve 294 USD/kW reference reconciliation and require explicit allocation.</x:v>
      </x:c>
      <x:c r="J20" s="28" t="str">
        <x:v>Give support an independent flood curve or add it twice.</x:v>
      </x:c>
      <x:c r="K20" s="28" t="str">
        <x:v>Support is repair-scope dependent, not vulnerable hardware.</x:v>
      </x:c>
      <x:c r="L20" s="28" t="str">
        <x:v>Claims-backed support allocation is approved.</x:v>
      </x:c>
    </x:row>
    <x:row r="21">
      <x:c r="A21" s="28" t="str">
        <x:v>FW-C017</x:v>
      </x:c>
      <x:c r="B21" s="28" t="str">
        <x:v>The model-v0.1 bounded negative remains valid for component-local state-to-disposition-to-same-unit-cost chains but is superseded at whole-substation grain by FW-S011.</x:v>
      </x:c>
      <x:c r="C21" s="28" t="str">
        <x:v>governance_decision</x:v>
      </x:c>
      <x:c r="D21" s="28" t="str">
        <x:v>FW-S002;FW-S003;FW-S004;FW-S011;FW-S012;BOUNDED_SEARCH_LOG</x:v>
      </x:c>
      <x:c r="E21" s="28" t="str">
        <x:v>bounded endpoint review plus Hazus-MH 2.1 Table 7.9 and Hazus 7.0 status</x:v>
      </x:c>
      <x:c r="F21" s="28" t="str">
        <x:v>T3_engineering_proxy_or_adjacent_empirical</x:v>
      </x:c>
      <x:c r="G21" s="28" t="str">
        <x:v>evidence_reopening</x:v>
      </x:c>
      <x:c r="H21" s="28" t="str">
        <x:v>adopt_with_limits</x:v>
      </x:c>
      <x:c r="I21" s="28" t="str">
        <x:v>Adopt one legacy source-native assembly curve while retaining component withholding.</x:v>
      </x:c>
      <x:c r="J21" s="28" t="str">
        <x:v>Claim component calibration, current Hazus enablement, or universal evidence completeness.</x:v>
      </x:c>
      <x:c r="K21" s="28" t="str">
        <x:v>The newly located source closes only the facility-assembly ordinate gap and FW-S012 narrows its status.</x:v>
      </x:c>
      <x:c r="L21" s="28" t="str">
        <x:v>Matched component evidence or a newer official Hazus status changes.</x:v>
      </x:c>
    </x:row>
    <x:row r="22">
      <x:c r="A22" s="28" t="str">
        <x:v>FW-C018</x:v>
      </x:c>
      <x:c r="B22" s="28" t="str">
        <x:v>Model v1.0 changes capability from universal numeric withholding to one conditional whole-substation scalar DR while every prior failure unit remains withheld.</x:v>
      </x:c>
      <x:c r="C22" s="28" t="str">
        <x:v>governance_decision</x:v>
      </x:c>
      <x:c r="D22" s="28" t="str">
        <x:v>FW-S011;FW-S012;GOVERNANCE_CONTRACT</x:v>
      </x:c>
      <x:c r="E22" s="28" t="str">
        <x:v>proposed artifact capability declaration and evaluation contract</x:v>
      </x:c>
      <x:c r="F22" s="28" t="str">
        <x:v>T3_engineering_proxy_or_adjacent_empirical</x:v>
      </x:c>
      <x:c r="G22" s="28" t="str">
        <x:v>capability</x:v>
      </x:c>
      <x:c r="H22" s="28" t="str">
        <x:v>adopt_proposed</x:v>
      </x:c>
      <x:c r="I22" s="28" t="str">
        <x:v>Return the assembly scalar only when every exact compatibility gate passes.</x:v>
      </x:c>
      <x:c r="J22" s="28" t="str">
        <x:v>Return zero, a component result, legacy fallback, scenario loss, or annual/tail result from the reference evaluator.</x:v>
      </x:c>
      <x:c r="K22" s="28" t="str">
        <x:v>A source-native function exists at one grain; no other record passed promotion gates.</x:v>
      </x:c>
      <x:c r="L22" s="28" t="str">
        <x:v>Independent review or canonical promotion decision.</x:v>
      </x:c>
    </x:row>
    <x:row r="23">
      <x:c r="A23" s="28" t="str">
        <x:v>FW-C019</x:v>
      </x:c>
      <x:c r="B23" s="28" t="str">
        <x:v>FW_HAZUS_2_1_SUBSTATION_SCREENING_PWL exactly reproduces Table 7.9 ratios [0,.02,.04,.06,.07,.08,.09,.10,.12,.14,.15] at depths 0 through 10 ft and linearly interpolates only between knots.</x:v>
      </x:c>
      <x:c r="C23" s="28" t="str">
        <x:v>direct_observation</x:v>
      </x:c>
      <x:c r="D23" s="28" t="str">
        <x:v>FW-S006;FW-S011</x:v>
      </x:c>
      <x:c r="E23" s="28" t="str">
        <x:v>FW-S011 Table 7.9; FW-S006 interpolation form</x:v>
      </x:c>
      <x:c r="F23" s="28" t="str">
        <x:v>T3_engineering_proxy_or_adjacent_empirical</x:v>
      </x:c>
      <x:c r="G23" s="28" t="str">
        <x:v>FW_HAZUS_2_1_SUBSTATION_SCREENING_PWL</x:v>
      </x:c>
      <x:c r="H23" s="28" t="str">
        <x:v>adopt_proposed</x:v>
      </x:c>
      <x:c r="I23" s="28" t="str">
        <x:v>Evaluate finite in-range source-grade depth for the compatible assembly.</x:v>
      </x:c>
      <x:c r="J23" s="28" t="str">
        <x:v>Clamp, extrapolate, smooth, add a tail, or apply the table to components.</x:v>
      </x:c>
      <x:c r="K23" s="28" t="str">
        <x:v>Exact source transcription plus transparent interpolation minimizes local invention.</x:v>
      </x:c>
      <x:c r="L23" s="28" t="str">
        <x:v>Source-table correction or independent transcription failure.</x:v>
      </x:c>
    </x:row>
    <x:row r="24">
      <x:c r="A24" s="28" t="str">
        <x:v>FW-C020</x:v>
      </x:c>
      <x:c r="B24" s="28" t="str">
        <x:v>The Hazus curve atom is one facility-level control-room cabling transformer and switchgear assembly with the full same-substation direct replacement value denominator.</x:v>
      </x:c>
      <x:c r="C24" s="28" t="str">
        <x:v>source_interpretation</x:v>
      </x:c>
      <x:c r="D24" s="28" t="str">
        <x:v>FW-S011</x:v>
      </x:c>
      <x:c r="E24" s="28" t="str">
        <x:v>Table 7.9 comments and footnote 2</x:v>
      </x:c>
      <x:c r="F24" s="28" t="str">
        <x:v>T3_engineering_proxy_or_adjacent_empirical</x:v>
      </x:c>
      <x:c r="G24" s="28" t="str">
        <x:v>whole_substation_source_atom</x:v>
      </x:c>
      <x:c r="H24" s="28" t="str">
        <x:v>adopt_proposed</x:v>
      </x:c>
      <x:c r="I24" s="28" t="str">
        <x:v>Use one complete same-facility assembly value after promotion.</x:v>
      </x:c>
      <x:c r="J24" s="28" t="str">
        <x:v>Split the source ordinate among components or bind it to project TIV.</x:v>
      </x:c>
      <x:c r="K24" s="28" t="str">
        <x:v>The source reports one substation percent-damage function while naming multiple contributors.</x:v>
      </x:c>
      <x:c r="L24" s="28" t="str">
        <x:v>A source publishes dependency-safe component attribution.</x:v>
      </x:c>
    </x:row>
    <x:row r="25">
      <x:c r="A25" s="28" t="str">
        <x:v>FW-C021</x:v>
      </x:c>
      <x:c r="B25" s="28" t="str">
        <x:v>ESSL ESSM and ESSH publish identical Table 7.9 ordinates but substation_hazus_class remains a required no-default selector.</x:v>
      </x:c>
      <x:c r="C25" s="28" t="str">
        <x:v>direct_observation</x:v>
      </x:c>
      <x:c r="D25" s="28" t="str">
        <x:v>FW-S011</x:v>
      </x:c>
      <x:c r="E25" s="28" t="str">
        <x:v>Table 7.9, pp. 7-20 through 7-21</x:v>
      </x:c>
      <x:c r="F25" s="28" t="str">
        <x:v>T3_engineering_proxy_or_adjacent_empirical</x:v>
      </x:c>
      <x:c r="G25" s="28" t="str">
        <x:v>substation_hazus_class</x:v>
      </x:c>
      <x:c r="H25" s="28" t="str">
        <x:v>adopt_proposed</x:v>
      </x:c>
      <x:c r="I25" s="28" t="str">
        <x:v>Require exact source class and return equal values within this source model.</x:v>
      </x:c>
      <x:c r="J25" s="28" t="str">
        <x:v>Infer voltage irrelevance outside the source or default a missing class.</x:v>
      </x:c>
      <x:c r="K25" s="28" t="str">
        <x:v>Equality is a source-table fact, not a general empirical conclusion.</x:v>
      </x:c>
      <x:c r="L25" s="28" t="str">
        <x:v>New class-specific evidence or source revision.</x:v>
      </x:c>
    </x:row>
    <x:row r="26">
      <x:c r="A26" s="28" t="str">
        <x:v>FW-C022</x:v>
      </x:c>
      <x:c r="B26" s="28" t="str">
        <x:v>Numeric evaluation requires source_assumption_set_id=FEMA_HAZUS_MH_2_1_TABLE_7_9_UNPROTECTED_SUBSTATION and axis FLOOD_DEPTH_ABOVE_SUBSTATION_GRADE_FT_HAZUS.</x:v>
      </x:c>
      <x:c r="C26" s="28" t="str">
        <x:v>governance_decision</x:v>
      </x:c>
      <x:c r="D26" s="28" t="str">
        <x:v>FW-S011;FW-S012;GOVERNANCE_CONTRACT</x:v>
      </x:c>
      <x:c r="E26" s="28" t="str">
        <x:v>source assumptions, proposed artifact selector, and evaluation contract</x:v>
      </x:c>
      <x:c r="F26" s="28" t="str">
        <x:v>T3_engineering_proxy_or_adjacent_empirical</x:v>
      </x:c>
      <x:c r="G26" s="28" t="str">
        <x:v>source_assumption_and_axis_gate</x:v>
      </x:c>
      <x:c r="H26" s="28" t="str">
        <x:v>adopt_proposed</x:v>
      </x:c>
      <x:c r="I26" s="28" t="str">
        <x:v>Make the legacy source atom and limitation explicit in every numerical call.</x:v>
      </x:c>
      <x:c r="J26" s="28" t="str">
        <x:v>Silently default the assumption set or use a component-contact axis.</x:v>
      </x:c>
      <x:c r="K26" s="28" t="str">
        <x:v>Explicit compatibility metadata prevents accidental transfer.</x:v>
      </x:c>
      <x:c r="L26" s="28" t="str">
        <x:v>A reviewed source adapter supersedes the gate.</x:v>
      </x:c>
    </x:row>
    <x:row r="27">
      <x:c r="A27" s="28" t="str">
        <x:v>FW-C023</x:v>
      </x:c>
      <x:c r="B27" s="28" t="str">
        <x:v>Hazus 7.0 lists electric-power substations as mapping-only and states that viewable default electric-power functions are disabled and produce no results.</x:v>
      </x:c>
      <x:c r="C27" s="28" t="str">
        <x:v>direct_observation</x:v>
      </x:c>
      <x:c r="D27" s="28" t="str">
        <x:v>FW-S012</x:v>
      </x:c>
      <x:c r="E27" s="28" t="str">
        <x:v>Table 9-1 and section 9.4.1 footnote 21</x:v>
      </x:c>
      <x:c r="F27" s="28" t="str">
        <x:v>T2_public_lab_standard_or_physics</x:v>
      </x:c>
      <x:c r="G27" s="28" t="str">
        <x:v>current_hazus_status</x:v>
      </x:c>
      <x:c r="H27" s="28" t="str">
        <x:v>adopt_as_limitation</x:v>
      </x:c>
      <x:c r="I27" s="28" t="str">
        <x:v>Describe the adopted table as a legacy source-native screening proxy.</x:v>
      </x:c>
      <x:c r="J27" s="28" t="str">
        <x:v>Describe it as current enabled Hazus output or field validation.</x:v>
      </x:c>
      <x:c r="K27" s="28" t="str">
        <x:v>The current official manual explicitly limits runtime status.</x:v>
      </x:c>
      <x:c r="L27" s="28" t="str">
        <x:v>FEMA re-enables and documents validated electric-power loss functions.</x:v>
      </x:c>
    </x:row>
    <x:row r="28">
      <x:c r="A28" s="28" t="str">
        <x:v>FW-C024</x:v>
      </x:c>
      <x:c r="B28" s="28" t="str">
        <x:v>Numeric support is limited to water_quality_class=freshwater_non_contaminated and delivered_depth_basis=unprotected_or_internal_post_bypass_depth; protection is handled once in delivered depth.</x:v>
      </x:c>
      <x:c r="C28" s="28" t="str">
        <x:v>governance_decision</x:v>
      </x:c>
      <x:c r="D28" s="28" t="str">
        <x:v>FW-S002;FW-S005;FW-S011;FW-S013;GOVERNANCE_CONTRACT</x:v>
      </x:c>
      <x:c r="E28" s="28" t="str">
        <x:v>source domain and proposed conditioner contract</x:v>
      </x:c>
      <x:c r="F28" s="28" t="str">
        <x:v>T4_placeholder_or_expert_judgment</x:v>
      </x:c>
      <x:c r="G28" s="28" t="str">
        <x:v>conditioner_gate</x:v>
      </x:c>
      <x:c r="H28" s="28" t="str">
        <x:v>adopt_proposed</x:v>
      </x:c>
      <x:c r="I28" s="28" t="str">
        <x:v>Evaluate unprotected or internal post-bypass freshwater depth without a second protection modifier.</x:v>
      </x:c>
      <x:c r="J28" s="28" t="str">
        <x:v>Transfer to contaminated brackish saltwater or unknown water or add implicit protection credit.</x:v>
      </x:c>
      <x:c r="K28" s="28" t="str">
        <x:v>No validated modifier accompanies the source curve, and the current NEMA guide has not yet been reviewed; the freshwater-only gate is conservative governance, not source calibration.</x:v>
      </x:c>
      <x:c r="L28" s="28" t="str">
        <x:v>NEMA CS 70006-2026 and qualified water-quality or protection-response evidence are acquired and reviewed.</x:v>
      </x:c>
    </x:row>
    <x:row r="29">
      <x:c r="A29" s="28" t="str">
        <x:v>FW-C025</x:v>
      </x:c>
      <x:c r="B29" s="28" t="str">
        <x:v>The Hazus assembly representation and the six component GSU representations are mutually exclusive for both response and value.</x:v>
      </x:c>
      <x:c r="C29" s="28" t="str">
        <x:v>governance_decision</x:v>
      </x:c>
      <x:c r="D29" s="28" t="str">
        <x:v>FW-S011;GOVERNANCE_CONTRACT;SHARED_SUBSTRATE</x:v>
      </x:c>
      <x:c r="E29" s="28" t="str">
        <x:v>source atom and assembly/value standards</x:v>
      </x:c>
      <x:c r="F29" s="28" t="str">
        <x:v>T4_placeholder_or_expert_judgment</x:v>
      </x:c>
      <x:c r="G29" s="28" t="str">
        <x:v>assembly_component_mutual_exclusion</x:v>
      </x:c>
      <x:c r="H29" s="28" t="str">
        <x:v>adopt_proposed</x:v>
      </x:c>
      <x:c r="I29" s="28" t="str">
        <x:v>Choose one non-overlapping representation of one physical substation.</x:v>
      </x:c>
      <x:c r="J29" s="28" t="str">
        <x:v>Evaluate or value the assembly and its component rows together.</x:v>
      </x:c>
      <x:c r="K29" s="28" t="str">
        <x:v>The assembly ordinate already reflects multiple physical substation contributors.</x:v>
      </x:c>
      <x:c r="L29" s="28" t="str">
        <x:v>A dependency-safe decomposition explicitly replaces the assembly.</x:v>
      </x:c>
    </x:row>
    <x:row r="30">
      <x:c r="A30" s="28" t="str">
        <x:v>FW-C026</x:v>
      </x:c>
      <x:c r="B30" s="28" t="str">
        <x:v>The noncanonical reference evaluator emits DR only; scenario loss remains withheld until promotion and explicit same-substation value ownership and exposure checks.</x:v>
      </x:c>
      <x:c r="C30" s="28" t="str">
        <x:v>governance_decision</x:v>
      </x:c>
      <x:c r="D30" s="28" t="str">
        <x:v>FW-S008;FW-S009;GOVERNANCE_CONTRACT</x:v>
      </x:c>
      <x:c r="E30" s="28" t="str">
        <x:v>evaluation contract and value linkage</x:v>
      </x:c>
      <x:c r="F30" s="28" t="str">
        <x:v>T4_placeholder_or_expert_judgment</x:v>
      </x:c>
      <x:c r="G30" s="28" t="str">
        <x:v>scenario_loss_boundary</x:v>
      </x:c>
      <x:c r="H30" s="28" t="str">
        <x:v>adopt_proposed</x:v>
      </x:c>
      <x:c r="I30" s="28" t="str">
        <x:v>Review intrinsic scalar behavior independently from value binding.</x:v>
      </x:c>
      <x:c r="J30" s="28" t="str">
        <x:v>Treat a DR emit as a reportable dollar loss EAL PML VaR or TVaR.</x:v>
      </x:c>
      <x:c r="K30" s="28" t="str">
        <x:v>The proposal has neither canonical status nor a verified site denominator.</x:v>
      </x:c>
      <x:c r="L30" s="28" t="str">
        <x:v>Canonical promotion and consumer cap-binding validation complete.</x:v>
      </x:c>
    </x:row>
    <x:row r="31">
      <x:c r="A31" s="30" t="str">
        <x:v>FW-C027</x:v>
      </x:c>
      <x:c r="B31" s="30" t="str">
        <x:v>NEMA's April 2026 publication register identifies the same-titled successor guide NEMA CS 70006-2026, so GD 1-2016 is historical and the current guide must be acquired and technically reviewed before canonical promotion.</x:v>
      </x:c>
      <x:c r="C31" s="30" t="str">
        <x:v>source_status_observation</x:v>
      </x:c>
      <x:c r="D31" s="30" t="str">
        <x:v>FW-S002;FW-S013</x:v>
      </x:c>
      <x:c r="E31" s="30" t="str">
        <x:v>FW-S013 Recently Published Documents, p. 5; FW-S002 sections 4.3 and 4.4</x:v>
      </x:c>
      <x:c r="F31" s="30" t="str">
        <x:v>T2_public_lab_standard_or_physics</x:v>
      </x:c>
      <x:c r="G31" s="30" t="str">
        <x:v>current_electrical_disposition_guide_gate</x:v>
      </x:c>
      <x:c r="H31" s="30" t="str">
        <x:v>promotion_caveat</x:v>
      </x:c>
      <x:c r="I31" s="30" t="str">
        <x:v>Retain the 2016 guide only as historical mechanism context while opening current-guide review.</x:v>
      </x:c>
      <x:c r="J31" s="30" t="str">
        <x:v>Assume unseen successor content, treat the 2016 edition as current authority, or change FEMA Table 7.9 knots from publication metadata.</x:v>
      </x:c>
      <x:c r="K31" s="30" t="str">
        <x:v>The official register proves current publication identity but not the successor's detailed technical content; the numeric curve comes from FW-S011 and is unaffected.</x:v>
      </x:c>
      <x:c r="L31" s="30" t="str">
        <x:v>NEMA CS 70006-2026 is acquired, registered, compared against FW-S002, and reviewed.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8" hidden="0" customWidth="1"/>
    <x:col min="3" max="3" width="40" hidden="0" customWidth="1"/>
    <x:col min="4" max="4" width="48" hidden="0" customWidth="1"/>
    <x:col min="5" max="5" width="30" hidden="0" customWidth="1"/>
    <x:col min="6" max="6" width="34" hidden="0" customWidth="1"/>
    <x:col min="7" max="7" width="28" hidden="0" customWidth="1"/>
    <x:col min="8" max="8" width="62" hidden="0" customWidth="1"/>
    <x:col min="9" max="9" width="24" hidden="0" customWidth="1"/>
    <x:col min="10" max="10" width="48" hidden="0" customWidth="1"/>
  </x:cols>
  <x:sheetData>
    <x:row r="1" ht="26" customHeight="1">
      <x:c r="A1" s="2" t="str">
        <x:v>Parameter and rule tiers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4" t="str">
        <x:v>The source ordinates are transparent, but the aggregate transfer remains screening-grade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3" t="str">
        <x:v>Parameter</x:v>
      </x:c>
      <x:c r="B4" s="14" t="str">
        <x:v>Pathway</x:v>
      </x:c>
      <x:c r="C4" s="14" t="str">
        <x:v>Curve</x:v>
      </x:c>
      <x:c r="D4" s="14" t="str">
        <x:v>Value/rule</x:v>
      </x:c>
      <x:c r="E4" s="14" t="str">
        <x:v>Role</x:v>
      </x:c>
      <x:c r="F4" s="14" t="str">
        <x:v>Tier</x:v>
      </x:c>
      <x:c r="G4" s="14" t="str">
        <x:v>Sources</x:v>
      </x:c>
      <x:c r="H4" s="14" t="str">
        <x:v>Reasoning</x:v>
      </x:c>
      <x:c r="I4" s="14" t="str">
        <x:v>Status</x:v>
      </x:c>
      <x:c r="J4" s="15" t="str">
        <x:v>Update trigger</x:v>
      </x:c>
    </x:row>
    <x:row r="5">
      <x:c r="A5" s="27" t="str">
        <x:v>runtime_curve_count</x:v>
      </x:c>
      <x:c r="B5" s="27" t="str">
        <x:v>flood_inundation_contact</x:v>
      </x:c>
      <x:c r="C5" s="27" t="str">
        <x:v>FW_HAZUS_2_1_SUBSTATION_SCREENING_PWL</x:v>
      </x:c>
      <x:c r="D5" s="27" t="str">
        <x:v>1</x:v>
      </x:c>
      <x:c r="E5" s="27" t="str">
        <x:v>capability</x:v>
      </x:c>
      <x:c r="F5" s="27" t="str">
        <x:v>T3_engineering_proxy_or_adjacent_empirical</x:v>
      </x:c>
      <x:c r="G5" s="27" t="str">
        <x:v>FW-S011;FW-S012;GOVERNANCE_CONTRACT</x:v>
      </x:c>
      <x:c r="H5" s="27" t="str">
        <x:v>One official legacy whole-substation source function passes the narrow screening gate; every prior unit remains withheld.</x:v>
      </x:c>
      <x:c r="I5" s="27" t="str">
        <x:v>adopt_proposed</x:v>
      </x:c>
      <x:c r="J5" s="27" t="str">
        <x:v>Independent review or canonical promotion decision.</x:v>
      </x:c>
    </x:row>
    <x:row r="6">
      <x:c r="A6" s="28" t="str">
        <x:v>source_table_points_ft_dr</x:v>
      </x:c>
      <x:c r="B6" s="28" t="str">
        <x:v>flood_inundation_contact</x:v>
      </x:c>
      <x:c r="C6" s="28" t="str">
        <x:v>FW_HAZUS_2_1_SUBSTATION_SCREENING_PWL</x:v>
      </x:c>
      <x:c r="D6" s="28" t="str">
        <x:v>[[0,0],[1,0.02],[2,0.04],[3,0.06],[4,0.07],[5,0.08],[6,0.09],[7,0.10],[8,0.12],[9,0.14],[10,0.15]]</x:v>
      </x:c>
      <x:c r="E6" s="28" t="str">
        <x:v>curve_fit_shape</x:v>
      </x:c>
      <x:c r="F6" s="28" t="str">
        <x:v>T3_engineering_proxy_or_adjacent_empirical</x:v>
      </x:c>
      <x:c r="G6" s="28" t="str">
        <x:v>FW-S011</x:v>
      </x:c>
      <x:c r="H6" s="28" t="str">
        <x:v>Exact FEMA Hazus-MH 2.1 Table 7.9 percent-damage values divided by 100.</x:v>
      </x:c>
      <x:c r="I6" s="28" t="str">
        <x:v>adopt_proposed</x:v>
      </x:c>
      <x:c r="J6" s="28" t="str">
        <x:v>Source-table correction or failed independent transcription.</x:v>
      </x:c>
    </x:row>
    <x:row r="7">
      <x:c r="A7" s="28" t="str">
        <x:v>curve_form</x:v>
      </x:c>
      <x:c r="B7" s="28" t="str">
        <x:v>flood_inundation_contact</x:v>
      </x:c>
      <x:c r="C7" s="28" t="str">
        <x:v>FW_HAZUS_2_1_SUBSTATION_SCREENING_PWL</x:v>
      </x:c>
      <x:c r="D7" s="28" t="str">
        <x:v>piecewise_linear</x:v>
      </x:c>
      <x:c r="E7" s="28" t="str">
        <x:v>curve_form</x:v>
      </x:c>
      <x:c r="F7" s="28" t="str">
        <x:v>T3_engineering_proxy_or_adjacent_empirical</x:v>
      </x:c>
      <x:c r="G7" s="28" t="str">
        <x:v>FW-S006;FW-S011</x:v>
      </x:c>
      <x:c r="H7" s="28" t="str">
        <x:v>Preserves the source knots without imposing a fitted logistic or local tail.</x:v>
      </x:c>
      <x:c r="I7" s="28" t="str">
        <x:v>adopt_proposed</x:v>
      </x:c>
      <x:c r="J7" s="28" t="str">
        <x:v>A governed alternative source-native representation is approved.</x:v>
      </x:c>
    </x:row>
    <x:row r="8">
      <x:c r="A8" s="28" t="str">
        <x:v>interpolation_policy</x:v>
      </x:c>
      <x:c r="B8" s="28" t="str">
        <x:v>flood_inundation_contact</x:v>
      </x:c>
      <x:c r="C8" s="28" t="str">
        <x:v>FW_HAZUS_2_1_SUBSTATION_SCREENING_PWL</x:v>
      </x:c>
      <x:c r="D8" s="28" t="str">
        <x:v>linear_between_source_knots</x:v>
      </x:c>
      <x:c r="E8" s="28" t="str">
        <x:v>interpolation</x:v>
      </x:c>
      <x:c r="F8" s="28" t="str">
        <x:v>T2_public_lab_standard_or_physics</x:v>
      </x:c>
      <x:c r="G8" s="28" t="str">
        <x:v>FW-S006;FW-S011</x:v>
      </x:c>
      <x:c r="H8" s="28" t="str">
        <x:v>Transparent interpolation between adjacent source-table points.</x:v>
      </x:c>
      <x:c r="I8" s="28" t="str">
        <x:v>adopt_proposed</x:v>
      </x:c>
      <x:c r="J8" s="28" t="str">
        <x:v>Source or schema requires a different interpolation rule.</x:v>
      </x:c>
    </x:row>
    <x:row r="9">
      <x:c r="A9" s="28" t="str">
        <x:v>extrapolation_policy</x:v>
      </x:c>
      <x:c r="B9" s="28" t="str">
        <x:v>flood_inundation_contact</x:v>
      </x:c>
      <x:c r="C9" s="28" t="str">
        <x:v>FW_HAZUS_2_1_SUBSTATION_SCREENING_PWL</x:v>
      </x:c>
      <x:c r="D9" s="28" t="str">
        <x:v>negative rejects; above 10 ft withholds; no endpoint clamp</x:v>
      </x:c>
      <x:c r="E9" s="28" t="str">
        <x:v>domain_behavior</x:v>
      </x:c>
      <x:c r="F9" s="28" t="str">
        <x:v>T4_placeholder_or_expert_judgment</x:v>
      </x:c>
      <x:c r="G9" s="28" t="str">
        <x:v>FW-S011;GOVERNANCE_CONTRACT</x:v>
      </x:c>
      <x:c r="H9" s="28" t="str">
        <x:v>No source ordinates exist outside the tabulated range and fail-closed behavior avoids invented tails.</x:v>
      </x:c>
      <x:c r="I9" s="28" t="str">
        <x:v>adopt_proposed</x:v>
      </x:c>
      <x:c r="J9" s="28" t="str">
        <x:v>Qualified tail evidence is reviewed.</x:v>
      </x:c>
    </x:row>
    <x:row r="10">
      <x:c r="A10" s="28" t="str">
        <x:v>hazard_axis_id</x:v>
      </x:c>
      <x:c r="B10" s="28" t="str">
        <x:v>flood_inundation_contact</x:v>
      </x:c>
      <x:c r="C10" s="28" t="str">
        <x:v>FW_HAZUS_2_1_SUBSTATION_SCREENING_PWL</x:v>
      </x:c>
      <x:c r="D10" s="28" t="str">
        <x:v>FLOOD_DEPTH_ABOVE_SUBSTATION_GRADE_FT_HAZUS</x:v>
      </x:c>
      <x:c r="E10" s="28" t="str">
        <x:v>axis_identity</x:v>
      </x:c>
      <x:c r="F10" s="28" t="str">
        <x:v>T3_engineering_proxy_or_adjacent_empirical</x:v>
      </x:c>
      <x:c r="G10" s="28" t="str">
        <x:v>FW-S005;FW-S011</x:v>
      </x:c>
      <x:c r="H10" s="28" t="str">
        <x:v>The source atom is indexed by flood depth above facility substation grade, not a component contact datum.</x:v>
      </x:c>
      <x:c r="I10" s="28" t="str">
        <x:v>adopt_proposed</x:v>
      </x:c>
      <x:c r="J10" s="28" t="str">
        <x:v>A reviewed source adapter changes the axis contract.</x:v>
      </x:c>
    </x:row>
    <x:row r="11">
      <x:c r="A11" s="28" t="str">
        <x:v>direct_axis_input_field</x:v>
      </x:c>
      <x:c r="B11" s="28" t="str">
        <x:v>flood_inundation_contact</x:v>
      </x:c>
      <x:c r="C11" s="28" t="str">
        <x:v>FW_HAZUS_2_1_SUBSTATION_SCREENING_PWL</x:v>
      </x:c>
      <x:c r="D11" s="28" t="str">
        <x:v>flood_depth_above_substation_grade_ft</x:v>
      </x:c>
      <x:c r="E11" s="28" t="str">
        <x:v>axis_input</x:v>
      </x:c>
      <x:c r="F11" s="28" t="str">
        <x:v>T3_engineering_proxy_or_adjacent_empirical</x:v>
      </x:c>
      <x:c r="G11" s="28" t="str">
        <x:v>FW-S011;GOVERNANCE_CONTRACT</x:v>
      </x:c>
      <x:c r="H11" s="28" t="str">
        <x:v>Exact preferred input field for source-native feet depth.</x:v>
      </x:c>
      <x:c r="I11" s="28" t="str">
        <x:v>adopt_proposed</x:v>
      </x:c>
      <x:c r="J11" s="28" t="str">
        <x:v>Artifact/evaluator contract changes.</x:v>
      </x:c>
    </x:row>
    <x:row r="12">
      <x:c r="A12" s="28" t="str">
        <x:v>axis_payload_modes</x:v>
      </x:c>
      <x:c r="B12" s="28" t="str">
        <x:v>flood_inundation_contact</x:v>
      </x:c>
      <x:c r="C12" s="28" t="str">
        <x:v>FW_HAZUS_2_1_SUBSTATION_SCREENING_PWL</x:v>
      </x:c>
      <x:c r="D12" s="28" t="str">
        <x:v>direct_depth_ft|same_datum_wse_grade_m</x:v>
      </x:c>
      <x:c r="E12" s="28" t="str">
        <x:v>axis_input</x:v>
      </x:c>
      <x:c r="F12" s="28" t="str">
        <x:v>T4_placeholder_or_expert_judgment</x:v>
      </x:c>
      <x:c r="G12" s="28" t="str">
        <x:v>GOVERNANCE_CONTRACT</x:v>
      </x:c>
      <x:c r="H12" s="28" t="str">
        <x:v>Exactly one payload mode is accepted; direct and bridge fields are mutually exclusive.</x:v>
      </x:c>
      <x:c r="I12" s="28" t="str">
        <x:v>adopt_proposed</x:v>
      </x:c>
      <x:c r="J12" s="28" t="str">
        <x:v>A governed adapter adds another mode.</x:v>
      </x:c>
    </x:row>
    <x:row r="13">
      <x:c r="A13" s="28" t="str">
        <x:v>wse_grade_bridge</x:v>
      </x:c>
      <x:c r="B13" s="28" t="str">
        <x:v>flood_inundation_contact</x:v>
      </x:c>
      <x:c r="C13" s="28" t="str">
        <x:v>FW_HAZUS_2_1_SUBSTATION_SCREENING_PWL</x:v>
      </x:c>
      <x:c r="D13" s="28" t="str">
        <x:v>(water_surface_elevation_m-substation_grade_elevation_m)*3.280839895013123</x:v>
      </x:c>
      <x:c r="E13" s="28" t="str">
        <x:v>axis_bridge</x:v>
      </x:c>
      <x:c r="F13" s="28" t="str">
        <x:v>T2_public_lab_standard_or_physics</x:v>
      </x:c>
      <x:c r="G13" s="28" t="str">
        <x:v>FW-S005;FW-S011</x:v>
      </x:c>
      <x:c r="H13" s="28" t="str">
        <x:v>Converts same-datum metre elevations to the source-native feet depth.</x:v>
      </x:c>
      <x:c r="I13" s="28" t="str">
        <x:v>adopt_proposed</x:v>
      </x:c>
      <x:c r="J13" s="28" t="str">
        <x:v>Conversion or axis convention changes.</x:v>
      </x:c>
    </x:row>
    <x:row r="14">
      <x:c r="A14" s="28" t="str">
        <x:v>wse_bridge_required_fields</x:v>
      </x:c>
      <x:c r="B14" s="28" t="str">
        <x:v>flood_inundation_contact</x:v>
      </x:c>
      <x:c r="C14" s="28" t="str">
        <x:v>FW_HAZUS_2_1_SUBSTATION_SCREENING_PWL</x:v>
      </x:c>
      <x:c r="D14" s="28" t="str">
        <x:v>water_surface_elevation_m|substation_grade_elevation_m|water_surface_vertical_datum_id|substation_grade_vertical_datum_id</x:v>
      </x:c>
      <x:c r="E14" s="28" t="str">
        <x:v>axis_bridge</x:v>
      </x:c>
      <x:c r="F14" s="28" t="str">
        <x:v>T4_placeholder_or_expert_judgment</x:v>
      </x:c>
      <x:c r="G14" s="28" t="str">
        <x:v>GOVERNANCE_CONTRACT</x:v>
      </x:c>
      <x:c r="H14" s="28" t="str">
        <x:v>All bridge fields are required together and datum IDs must match exactly.</x:v>
      </x:c>
      <x:c r="I14" s="28" t="str">
        <x:v>adopt_proposed</x:v>
      </x:c>
      <x:c r="J14" s="28" t="str">
        <x:v>Governed axis adapter changes.</x:v>
      </x:c>
    </x:row>
    <x:row r="15">
      <x:c r="A15" s="28" t="str">
        <x:v>runtime_axis_valid_range_ft</x:v>
      </x:c>
      <x:c r="B15" s="28" t="str">
        <x:v>flood_inundation_contact</x:v>
      </x:c>
      <x:c r="C15" s="28" t="str">
        <x:v>FW_HAZUS_2_1_SUBSTATION_SCREENING_PWL</x:v>
      </x:c>
      <x:c r="D15" s="28" t="str">
        <x:v>[0,10]</x:v>
      </x:c>
      <x:c r="E15" s="28" t="str">
        <x:v>axis_domain</x:v>
      </x:c>
      <x:c r="F15" s="28" t="str">
        <x:v>T2_public_lab_standard_or_physics</x:v>
      </x:c>
      <x:c r="G15" s="28" t="str">
        <x:v>FW-S011;FW-S012</x:v>
      </x:c>
      <x:c r="H15" s="28" t="str">
        <x:v>Exact source-table domain, inclusive; the current manual also identifies ten feet as the utility-function maximum depth.</x:v>
      </x:c>
      <x:c r="I15" s="28" t="str">
        <x:v>adopt_proposed</x:v>
      </x:c>
      <x:c r="J15" s="28" t="str">
        <x:v>Qualified source extension is reviewed.</x:v>
      </x:c>
    </x:row>
    <x:row r="16">
      <x:c r="A16" s="28" t="str">
        <x:v>maximum_source_damage_ratio</x:v>
      </x:c>
      <x:c r="B16" s="28" t="str">
        <x:v>flood_inundation_contact</x:v>
      </x:c>
      <x:c r="C16" s="28" t="str">
        <x:v>FW_HAZUS_2_1_SUBSTATION_SCREENING_PWL</x:v>
      </x:c>
      <x:c r="D16" s="28" t="str">
        <x:v>0.15</x:v>
      </x:c>
      <x:c r="E16" s="28" t="str">
        <x:v>ordinate</x:v>
      </x:c>
      <x:c r="F16" s="28" t="str">
        <x:v>T3_engineering_proxy_or_adjacent_empirical</x:v>
      </x:c>
      <x:c r="G16" s="28" t="str">
        <x:v>FW-S011</x:v>
      </x:c>
      <x:c r="H16" s="28" t="str">
        <x:v>Exact Table 7.9 ratio at 10 ft; not a component or project-TIV cap.</x:v>
      </x:c>
      <x:c r="I16" s="28" t="str">
        <x:v>adopt_proposed</x:v>
      </x:c>
      <x:c r="J16" s="28" t="str">
        <x:v>Source-table correction.</x:v>
      </x:c>
    </x:row>
    <x:row r="17">
      <x:c r="A17" s="28" t="str">
        <x:v>numeric_failure_unit_id</x:v>
      </x:c>
      <x:c r="B17" s="28" t="str">
        <x:v>flood_inundation_contact</x:v>
      </x:c>
      <x:c r="C17" s="28" t="str">
        <x:v>FW_HAZUS_2_1_SUBSTATION_SCREENING_PWL</x:v>
      </x:c>
      <x:c r="D17" s="28" t="str">
        <x:v>FW_HAZUS_GSU_SUBSTATION_ASSEMBLY</x:v>
      </x:c>
      <x:c r="E17" s="28" t="str">
        <x:v>failure_unit</x:v>
      </x:c>
      <x:c r="F17" s="28" t="str">
        <x:v>T3_engineering_proxy_or_adjacent_empirical</x:v>
      </x:c>
      <x:c r="G17" s="28" t="str">
        <x:v>FW-S011</x:v>
      </x:c>
      <x:c r="H17" s="28" t="str">
        <x:v>The published function is one whole-electric-substation source atom.</x:v>
      </x:c>
      <x:c r="I17" s="28" t="str">
        <x:v>adopt_proposed</x:v>
      </x:c>
      <x:c r="J17" s="28" t="str">
        <x:v>A source-supported decomposition replaces the atom.</x:v>
      </x:c>
    </x:row>
    <x:row r="18">
      <x:c r="A18" s="28" t="str">
        <x:v>substation_hazus_class_allowed</x:v>
      </x:c>
      <x:c r="B18" s="28" t="str">
        <x:v>flood_inundation_contact</x:v>
      </x:c>
      <x:c r="C18" s="28" t="str">
        <x:v>FW_HAZUS_2_1_SUBSTATION_SCREENING_PWL</x:v>
      </x:c>
      <x:c r="D18" s="28" t="str">
        <x:v>ESSL|ESSM|ESSH</x:v>
      </x:c>
      <x:c r="E18" s="28" t="str">
        <x:v>selector</x:v>
      </x:c>
      <x:c r="F18" s="28" t="str">
        <x:v>T3_engineering_proxy_or_adjacent_empirical</x:v>
      </x:c>
      <x:c r="G18" s="28" t="str">
        <x:v>FW-S011</x:v>
      </x:c>
      <x:c r="H18" s="28" t="str">
        <x:v>All three explicit source classes publish identical ordinates; no default is allowed.</x:v>
      </x:c>
      <x:c r="I18" s="28" t="str">
        <x:v>adopt_proposed</x:v>
      </x:c>
      <x:c r="J18" s="28" t="str">
        <x:v>Source taxonomy or class-specific evidence changes.</x:v>
      </x:c>
    </x:row>
    <x:row r="19">
      <x:c r="A19" s="28" t="str">
        <x:v>source_assumption_set_id</x:v>
      </x:c>
      <x:c r="B19" s="28" t="str">
        <x:v>flood_inundation_contact</x:v>
      </x:c>
      <x:c r="C19" s="28" t="str">
        <x:v>FW_HAZUS_2_1_SUBSTATION_SCREENING_PWL</x:v>
      </x:c>
      <x:c r="D19" s="28" t="str">
        <x:v>FEMA_HAZUS_MH_2_1_TABLE_7_9_UNPROTECTED_SUBSTATION</x:v>
      </x:c>
      <x:c r="E19" s="28" t="str">
        <x:v>selector</x:v>
      </x:c>
      <x:c r="F19" s="28" t="str">
        <x:v>T3_engineering_proxy_or_adjacent_empirical</x:v>
      </x:c>
      <x:c r="G19" s="28" t="str">
        <x:v>FW-S011;FW-S012</x:v>
      </x:c>
      <x:c r="H19" s="28" t="str">
        <x:v>Exact acknowledgement of the legacy whole-substation source atom and current-disabled limitation.</x:v>
      </x:c>
      <x:c r="I19" s="28" t="str">
        <x:v>adopt_proposed</x:v>
      </x:c>
      <x:c r="J19" s="28" t="str">
        <x:v>A reviewed successor assumption set is released.</x:v>
      </x:c>
    </x:row>
    <x:row r="20">
      <x:c r="A20" s="28" t="str">
        <x:v>water_quality_class_allowed</x:v>
      </x:c>
      <x:c r="B20" s="28" t="str">
        <x:v>flood_inundation_contact</x:v>
      </x:c>
      <x:c r="C20" s="28" t="str">
        <x:v>FW_HAZUS_2_1_SUBSTATION_SCREENING_PWL</x:v>
      </x:c>
      <x:c r="D20" s="28" t="str">
        <x:v>freshwater_non_contaminated|freshwater_contaminated|brackish|saltwater|chemically_contaminated|unknown</x:v>
      </x:c>
      <x:c r="E20" s="28" t="str">
        <x:v>conditioner</x:v>
      </x:c>
      <x:c r="F20" s="28" t="str">
        <x:v>T4_placeholder_or_expert_judgment</x:v>
      </x:c>
      <x:c r="G20" s="28" t="str">
        <x:v>FW-S002;FW-S011;FW-S013;GOVERNANCE_CONTRACT</x:v>
      </x:c>
      <x:c r="H20" s="28" t="str">
        <x:v>The enum preserves known/unknown states without silently collapsing them; the 2016 equipment guide is historical pending review of its 2026 successor.</x:v>
      </x:c>
      <x:c r="I20" s="28" t="str">
        <x:v>adopt_proposed</x:v>
      </x:c>
      <x:c r="J20" s="28" t="str">
        <x:v>NEMA CS 70006-2026 review or conditioner vocabulary changes.</x:v>
      </x:c>
    </x:row>
    <x:row r="21">
      <x:c r="A21" s="28" t="str">
        <x:v>water_quality_numeric_support</x:v>
      </x:c>
      <x:c r="B21" s="28" t="str">
        <x:v>flood_inundation_contact</x:v>
      </x:c>
      <x:c r="C21" s="28" t="str">
        <x:v>FW_HAZUS_2_1_SUBSTATION_SCREENING_PWL</x:v>
      </x:c>
      <x:c r="D21" s="28" t="str">
        <x:v>freshwater_non_contaminated</x:v>
      </x:c>
      <x:c r="E21" s="28" t="str">
        <x:v>conditioner</x:v>
      </x:c>
      <x:c r="F21" s="28" t="str">
        <x:v>T4_placeholder_or_expert_judgment</x:v>
      </x:c>
      <x:c r="G21" s="28" t="str">
        <x:v>FW-S002;FW-S005;FW-S012;FW-S013</x:v>
      </x:c>
      <x:c r="H21" s="28" t="str">
        <x:v>Hazus does not vary damage by flood type; historical equipment guidance indicates material contamination/salinity consequences, while the current NEMA successor remains unreviewed, so unsupported states conservatively withhold.</x:v>
      </x:c>
      <x:c r="I21" s="28" t="str">
        <x:v>adopt_proposed</x:v>
      </x:c>
      <x:c r="J21" s="28" t="str">
        <x:v>NEMA CS 70006-2026 and qualified water-quality response evidence are acquired and reviewed.</x:v>
      </x:c>
    </x:row>
    <x:row r="22">
      <x:c r="A22" s="28" t="str">
        <x:v>delivered_depth_basis</x:v>
      </x:c>
      <x:c r="B22" s="28" t="str">
        <x:v>flood_inundation_contact</x:v>
      </x:c>
      <x:c r="C22" s="28" t="str">
        <x:v>FW_HAZUS_2_1_SUBSTATION_SCREENING_PWL</x:v>
      </x:c>
      <x:c r="D22" s="28" t="str">
        <x:v>unprotected_or_internal_post_bypass_depth</x:v>
      </x:c>
      <x:c r="E22" s="28" t="str">
        <x:v>conditioner</x:v>
      </x:c>
      <x:c r="F22" s="28" t="str">
        <x:v>T3_engineering_proxy_or_adjacent_empirical</x:v>
      </x:c>
      <x:c r="G22" s="28" t="str">
        <x:v>FW-S005;FW-S011</x:v>
      </x:c>
      <x:c r="H22" s="28" t="str">
        <x:v>Protection is resolved once upstream into delivered internal depth; the curve grants no second credit.</x:v>
      </x:c>
      <x:c r="I22" s="28" t="str">
        <x:v>adopt_proposed</x:v>
      </x:c>
      <x:c r="J22" s="28" t="str">
        <x:v>A validated protection adapter is released.</x:v>
      </x:c>
    </x:row>
    <x:row r="23">
      <x:c r="A23" s="28" t="str">
        <x:v>contact_duration_hr</x:v>
      </x:c>
      <x:c r="B23" s="28" t="str">
        <x:v>flood_inundation_contact</x:v>
      </x:c>
      <x:c r="C23" s="28" t="str">
        <x:v>FW_HAZUS_2_1_SUBSTATION_SCREENING_PWL</x:v>
      </x:c>
      <x:c r="D23" s="28" t="str">
        <x:v>optional nonnegative; no numeric effect</x:v>
      </x:c>
      <x:c r="E23" s="28" t="str">
        <x:v>conditioner</x:v>
      </x:c>
      <x:c r="F23" s="28" t="str">
        <x:v>T4_placeholder_or_expert_judgment</x:v>
      </x:c>
      <x:c r="G23" s="28" t="str">
        <x:v>GOVERNANCE_CONTRACT</x:v>
      </x:c>
      <x:c r="H23" s="28" t="str">
        <x:v>Duration is captured for future work but is not calibrated in model v1.</x:v>
      </x:c>
      <x:c r="I23" s="28" t="str">
        <x:v>adopt_proposed</x:v>
      </x:c>
      <x:c r="J23" s="28" t="str">
        <x:v>Duration-response evidence is reviewed.</x:v>
      </x:c>
    </x:row>
    <x:row r="24">
      <x:c r="A24" s="28" t="str">
        <x:v>curve_denominator</x:v>
      </x:c>
      <x:c r="B24" s="28" t="str">
        <x:v>flood_inundation_contact</x:v>
      </x:c>
      <x:c r="C24" s="28" t="str">
        <x:v>FW_HAZUS_2_1_SUBSTATION_SCREENING_PWL</x:v>
      </x:c>
      <x:c r="D24" s="28" t="str">
        <x:v>full_direct_replacement_value_of_same_facility_level_GSU_substation_assembly</x:v>
      </x:c>
      <x:c r="E24" s="28" t="str">
        <x:v>value_linkage</x:v>
      </x:c>
      <x:c r="F24" s="28" t="str">
        <x:v>T3_engineering_proxy_or_adjacent_empirical</x:v>
      </x:c>
      <x:c r="G24" s="28" t="str">
        <x:v>FW-S008;FW-S009;FW-S011</x:v>
      </x:c>
      <x:c r="H24" s="28" t="str">
        <x:v>The source percent damage applies to the same complete substation atom and cannot use a mixed electrical or project-TIV denominator.</x:v>
      </x:c>
      <x:c r="I24" s="28" t="str">
        <x:v>adopt_proposed</x:v>
      </x:c>
      <x:c r="J24" s="28" t="str">
        <x:v>A validated value decomposition replaces the source atom.</x:v>
      </x:c>
    </x:row>
    <x:row r="25">
      <x:c r="A25" s="28" t="str">
        <x:v>assembly_component_mutual_exclusion</x:v>
      </x:c>
      <x:c r="B25" s="28" t="str">
        <x:v>flood_inundation_contact</x:v>
      </x:c>
      <x:c r="C25" s="28" t="str">
        <x:v>FW_HAZUS_2_1_SUBSTATION_SCREENING_PWL</x:v>
      </x:c>
      <x:c r="D25" s="28" t="str">
        <x:v>FW_GSU_SWITCHGEAR|FW_GSU_TRANSFORMER_MAIN|FW_GSU_TRANSFORMER_AUX_CONTROLS|FW_GSU_PROTECTION_SCADA|FW_GSU_STATION_SERVICE_DC|FW_GSU_CABLE_TERMINATIONS</x:v>
      </x:c>
      <x:c r="E25" s="28" t="str">
        <x:v>value_guardrail</x:v>
      </x:c>
      <x:c r="F25" s="28" t="str">
        <x:v>T4_placeholder_or_expert_judgment</x:v>
      </x:c>
      <x:c r="G25" s="28" t="str">
        <x:v>FW-S011;GOVERNANCE_CONTRACT;SHARED_SUBSTRATE</x:v>
      </x:c>
      <x:c r="H25" s="28" t="str">
        <x:v>The source assembly and its component subunits are alternative response/value representations.</x:v>
      </x:c>
      <x:c r="I25" s="28" t="str">
        <x:v>adopt_proposed</x:v>
      </x:c>
      <x:c r="J25" s="28" t="str">
        <x:v>A dependency-safe component model formally supersedes the assembly.</x:v>
      </x:c>
    </x:row>
    <x:row r="26">
      <x:c r="A26" s="28" t="str">
        <x:v>reference_evaluator_scenario_loss_status</x:v>
      </x:c>
      <x:c r="B26" s="28" t="str">
        <x:v>flood_inundation_contact</x:v>
      </x:c>
      <x:c r="C26" s="28" t="str">
        <x:v>FW_HAZUS_2_1_SUBSTATION_SCREENING_PWL</x:v>
      </x:c>
      <x:c r="D26" s="28" t="str">
        <x:v>withheld_noncanonical_proposal</x:v>
      </x:c>
      <x:c r="E26" s="28" t="str">
        <x:v>capability</x:v>
      </x:c>
      <x:c r="F26" s="28" t="str">
        <x:v>T4_placeholder_or_expert_judgment</x:v>
      </x:c>
      <x:c r="G26" s="28" t="str">
        <x:v>GOVERNANCE_CONTRACT</x:v>
      </x:c>
      <x:c r="H26" s="28" t="str">
        <x:v>The reference evaluator emits DR only; value binding requires promotion and consumer controls.</x:v>
      </x:c>
      <x:c r="I26" s="28" t="str">
        <x:v>adopt_proposed</x:v>
      </x:c>
      <x:c r="J26" s="28" t="str">
        <x:v>Canonical promotion and cap-binding validation complete.</x:v>
      </x:c>
    </x:row>
    <x:row r="27">
      <x:c r="A27" s="28" t="str">
        <x:v>curve_intrinsic_spread</x:v>
      </x:c>
      <x:c r="B27" s="28" t="str">
        <x:v>flood_inundation_contact</x:v>
      </x:c>
      <x:c r="C27" s="28" t="str">
        <x:v>FW_HAZUS_2_1_SUBSTATION_SCREENING_PWL</x:v>
      </x:c>
      <x:c r="D27" s="28" t="str">
        <x:v>not_carried</x:v>
      </x:c>
      <x:c r="E27" s="28" t="str">
        <x:v>uncertainty</x:v>
      </x:c>
      <x:c r="F27" s="28" t="str">
        <x:v>T3_engineering_proxy_or_adjacent_empirical</x:v>
      </x:c>
      <x:c r="G27" s="28" t="str">
        <x:v>FW-S011</x:v>
      </x:c>
      <x:c r="H27" s="28" t="str">
        <x:v>The source reports no response distribution or calibration sample.</x:v>
      </x:c>
      <x:c r="I27" s="28" t="str">
        <x:v>adopt_proposed</x:v>
      </x:c>
      <x:c r="J27" s="28" t="str">
        <x:v>Qualified uncertainty evidence is reviewed.</x:v>
      </x:c>
    </x:row>
    <x:row r="28">
      <x:c r="A28" s="28" t="str">
        <x:v>FS_SWG_candidate_points_m_dr</x:v>
      </x:c>
      <x:c r="B28" s="28" t="str">
        <x:v>flood_inundation_contact</x:v>
      </x:c>
      <x:c r="C28" s="28" t="str">
        <x:v>FS_SWG_CANDIDATE_ONLY</x:v>
      </x:c>
      <x:c r="D28" s="28" t="str">
        <x:v>[[0,0],[0.02,0.10],[0.05,0.40],[0.15,0.85],[0.30,1],[0.60,1],[1,1],[1.5,1],[2,1]]</x:v>
      </x:c>
      <x:c r="E28" s="28" t="str">
        <x:v>curve_fit_shape</x:v>
      </x:c>
      <x:c r="F28" s="28" t="str">
        <x:v>T3_engineering_proxy_or_adjacent_empirical</x:v>
      </x:c>
      <x:c r="G28" s="28" t="str">
        <x:v>FW-S010</x:v>
      </x:c>
      <x:c r="H28" s="28" t="str">
        <x:v>Pinned canonical flood_solar engineering proxy; separate component compatibility and economic validation remain open.</x:v>
      </x:c>
      <x:c r="I28" s="28" t="str">
        <x:v>audit_only</x:v>
      </x:c>
      <x:c r="J28" s="28" t="str">
        <x:v>Exact switchgear applicability and validation pass.</x:v>
      </x:c>
    </x:row>
    <x:row r="29">
      <x:c r="A29" s="28" t="str">
        <x:v>FS_XFMR_candidate_status</x:v>
      </x:c>
      <x:c r="B29" s="28" t="str">
        <x:v>flood_inundation_contact</x:v>
      </x:c>
      <x:c r="C29" s="28" t="str">
        <x:v>FS_XFMR_CANDIDATE_ONLY</x:v>
      </x:c>
      <x:c r="D29" s="28" t="str">
        <x:v>REJECT_DIRECT_REUSE</x:v>
      </x:c>
      <x:c r="E29" s="28" t="str">
        <x:v>curve_fit_shape</x:v>
      </x:c>
      <x:c r="F29" s="28" t="str">
        <x:v>T3_engineering_proxy_or_adjacent_empirical</x:v>
      </x:c>
      <x:c r="G29" s="28" t="str">
        <x:v>FW-S010</x:v>
      </x:c>
      <x:c r="H29" s="28" t="str">
        <x:v>Main value and control/terminal datum are not dependency-safe.</x:v>
      </x:c>
      <x:c r="I29" s="28" t="str">
        <x:v>reject</x:v>
      </x:c>
      <x:c r="J29" s="28" t="str">
        <x:v>Transformer main/auxiliary state model passes.</x:v>
      </x:c>
    </x:row>
    <x:row r="30">
      <x:c r="A30" s="28" t="str">
        <x:v>FS_SCADA_candidate_status</x:v>
      </x:c>
      <x:c r="B30" s="28" t="str">
        <x:v>flood_inundation_contact</x:v>
      </x:c>
      <x:c r="C30" s="28" t="str">
        <x:v>FS_SCADA_CANDIDATE_ONLY</x:v>
      </x:c>
      <x:c r="D30" s="28" t="str">
        <x:v>PARTIAL_SEMANTIC_MATCH</x:v>
      </x:c>
      <x:c r="E30" s="28" t="str">
        <x:v>curve_fit_shape</x:v>
      </x:c>
      <x:c r="F30" s="28" t="str">
        <x:v>T3_engineering_proxy_or_adjacent_empirical</x:v>
      </x:c>
      <x:c r="G30" s="28" t="str">
        <x:v>FW-S010</x:v>
      </x:c>
      <x:c r="H30" s="28" t="str">
        <x:v>Plant monitoring does not equal substation protection/control.</x:v>
      </x:c>
      <x:c r="I30" s="28" t="str">
        <x:v>audit_only</x:v>
      </x:c>
      <x:c r="J30" s="28" t="str">
        <x:v>Equipment crosswalk and cost evidence pass.</x:v>
      </x:c>
    </x:row>
    <x:row r="31">
      <x:c r="A31" s="28" t="str">
        <x:v>FS_CABLE_candidate_status</x:v>
      </x:c>
      <x:c r="B31" s="28" t="str">
        <x:v>flood_inundation_contact</x:v>
      </x:c>
      <x:c r="C31" s="28" t="str">
        <x:v>FS_CABLE_CANDIDATE_ONLY</x:v>
      </x:c>
      <x:c r="D31" s="28" t="str">
        <x:v>MECHANISM_ONLY</x:v>
      </x:c>
      <x:c r="E31" s="28" t="str">
        <x:v>curve_fit_shape</x:v>
      </x:c>
      <x:c r="F31" s="28" t="str">
        <x:v>T3_engineering_proxy_or_adjacent_empirical</x:v>
      </x:c>
      <x:c r="G31" s="28" t="str">
        <x:v>FW-S007;FW-S010</x:v>
      </x:c>
      <x:c r="H31" s="28" t="str">
        <x:v>Wind MV cable/terminations and solar AC/DC rollup differ.</x:v>
      </x:c>
      <x:c r="I31" s="28" t="str">
        <x:v>audit_only</x:v>
      </x:c>
      <x:c r="J31" s="28" t="str">
        <x:v>Construction-specific disposition/value evidence passes.</x:v>
      </x:c>
    </x:row>
    <x:row r="32">
      <x:c r="A32" s="28" t="str">
        <x:v>reference_external_electrical_value_usd_per_kw</x:v>
      </x:c>
      <x:c r="B32" s="28" t="str">
        <x:v>all_shared</x:v>
      </x:c>
      <x:c r="C32" s="28" t="str">
        <x:v>none</x:v>
      </x:c>
      <x:c r="D32" s="28" t="str">
        <x:v>72</x:v>
      </x:c>
      <x:c r="E32" s="28" t="str">
        <x:v>value_rollup</x:v>
      </x:c>
      <x:c r="F32" s="28" t="str">
        <x:v>T2_public_lab_standard_or_physics</x:v>
      </x:c>
      <x:c r="G32" s="28" t="str">
        <x:v>FW-S008</x:v>
      </x:c>
      <x:c r="H32" s="28" t="str">
        <x:v>CWER 2024 mixed collection/substation row; prohibited as the assembly denominator.</x:v>
      </x:c>
      <x:c r="I32" s="28" t="str">
        <x:v>adopt_with_limits</x:v>
      </x:c>
      <x:c r="J32" s="28" t="str">
        <x:v>New value vintage or site split.</x:v>
      </x:c>
    </x:row>
    <x:row r="33">
      <x:c r="A33" s="28" t="str">
        <x:v>reference_foundation_value_usd_per_kw</x:v>
      </x:c>
      <x:c r="B33" s="28" t="str">
        <x:v>all_shared</x:v>
      </x:c>
      <x:c r="C33" s="28" t="str">
        <x:v>none</x:v>
      </x:c>
      <x:c r="D33" s="28" t="str">
        <x:v>120</x:v>
      </x:c>
      <x:c r="E33" s="28" t="str">
        <x:v>value_rollup</x:v>
      </x:c>
      <x:c r="F33" s="28" t="str">
        <x:v>T2_public_lab_standard_or_physics</x:v>
      </x:c>
      <x:c r="G33" s="28" t="str">
        <x:v>FW-S008</x:v>
      </x:c>
      <x:c r="H33" s="28" t="str">
        <x:v>CWER 2024 foundation row; no flood DR inferred.</x:v>
      </x:c>
      <x:c r="I33" s="28" t="str">
        <x:v>adopt_with_limits</x:v>
      </x:c>
      <x:c r="J33" s="28" t="str">
        <x:v>New value vintage or site appraisal.</x:v>
      </x:c>
    </x:row>
    <x:row r="34">
      <x:c r="A34" s="28" t="str">
        <x:v>reference_civil_value_usd_per_kw</x:v>
      </x:c>
      <x:c r="B34" s="28" t="str">
        <x:v>all_shared</x:v>
      </x:c>
      <x:c r="C34" s="28" t="str">
        <x:v>none</x:v>
      </x:c>
      <x:c r="D34" s="28" t="str">
        <x:v>47</x:v>
      </x:c>
      <x:c r="E34" s="28" t="str">
        <x:v>value_rollup</x:v>
      </x:c>
      <x:c r="F34" s="28" t="str">
        <x:v>T2_public_lab_standard_or_physics</x:v>
      </x:c>
      <x:c r="G34" s="28" t="str">
        <x:v>FW-S008</x:v>
      </x:c>
      <x:c r="H34" s="28" t="str">
        <x:v>CWER 2024 mixed civil row; split required.</x:v>
      </x:c>
      <x:c r="I34" s="28" t="str">
        <x:v>adopt_with_limits</x:v>
      </x:c>
      <x:c r="J34" s="28" t="str">
        <x:v>New value vintage or site split.</x:v>
      </x:c>
    </x:row>
    <x:row r="35">
      <x:c r="A35" s="28" t="str">
        <x:v>reference_support_value_usd_per_kw</x:v>
      </x:c>
      <x:c r="B35" s="28" t="str">
        <x:v>all_shared</x:v>
      </x:c>
      <x:c r="C35" s="28" t="str">
        <x:v>none</x:v>
      </x:c>
      <x:c r="D35" s="28" t="str">
        <x:v>294</x:v>
      </x:c>
      <x:c r="E35" s="28" t="str">
        <x:v>support_rollup</x:v>
      </x:c>
      <x:c r="F35" s="28" t="str">
        <x:v>T2_public_lab_standard_or_physics</x:v>
      </x:c>
      <x:c r="G35" s="28" t="str">
        <x:v>FW-S008</x:v>
      </x:c>
      <x:c r="H35" s="28" t="str">
        <x:v>Fieldwork 100 plus transport 194; allocate once after qualified disposition.</x:v>
      </x:c>
      <x:c r="I35" s="28" t="str">
        <x:v>adopt_with_limits</x:v>
      </x:c>
      <x:c r="J35" s="28" t="str">
        <x:v>Claims-backed allocation or value vintage.</x:v>
      </x:c>
    </x:row>
    <x:row r="36">
      <x:c r="A36" s="28" t="str">
        <x:v>unknown_ownership_baseline_inclusion</x:v>
      </x:c>
      <x:c r="B36" s="28" t="str">
        <x:v>all_shared</x:v>
      </x:c>
      <x:c r="C36" s="28" t="str">
        <x:v>none</x:v>
      </x:c>
      <x:c r="D36" s="28" t="str">
        <x:v>WITHHOLD</x:v>
      </x:c>
      <x:c r="E36" s="28" t="str">
        <x:v>governance_rule</x:v>
      </x:c>
      <x:c r="F36" s="28" t="str">
        <x:v>T4_placeholder_or_expert_judgment</x:v>
      </x:c>
      <x:c r="G36" s="28" t="str">
        <x:v>FW-S009;GOVERNANCE_CONTRACT</x:v>
      </x:c>
      <x:c r="H36" s="28" t="str">
        <x:v>Functional association is not ownership/value proof.</x:v>
      </x:c>
      <x:c r="I36" s="28" t="str">
        <x:v>adopt</x:v>
      </x:c>
      <x:c r="J36" s="28" t="str">
        <x:v>Executed agreement and value schedule resolve boundary.</x:v>
      </x:c>
    </x:row>
    <x:row r="37">
      <x:c r="A37" s="30" t="str">
        <x:v>missing_substation_depth_behavior</x:v>
      </x:c>
      <x:c r="B37" s="30" t="str">
        <x:v>flood_inundation_contact</x:v>
      </x:c>
      <x:c r="C37" s="30" t="str">
        <x:v>FW_HAZUS_2_1_SUBSTATION_SCREENING_PWL</x:v>
      </x:c>
      <x:c r="D37" s="30" t="str">
        <x:v>REJECT_NOT_DRY</x:v>
      </x:c>
      <x:c r="E37" s="30" t="str">
        <x:v>governance_rule</x:v>
      </x:c>
      <x:c r="F37" s="30" t="str">
        <x:v>T4_placeholder_or_expert_judgment</x:v>
      </x:c>
      <x:c r="G37" s="30" t="str">
        <x:v>GOVERNANCE_CONTRACT</x:v>
      </x:c>
      <x:c r="H37" s="30" t="str">
        <x:v>Missing or incomplete axis payload cannot become zero depth.</x:v>
      </x:c>
      <x:c r="I37" s="30" t="str">
        <x:v>adopt_proposed</x:v>
      </x:c>
      <x:c r="J37" s="30" t="str">
        <x:v>A validated uncertainty/default policy is approved.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28" hidden="0" customWidth="1"/>
    <x:col min="5" max="5" width="66" hidden="0" customWidth="1"/>
  </x:cols>
  <x:sheetData>
    <x:row r="1" ht="26" customHeight="1">
      <x:c r="A1" s="2" t="str">
        <x:v>Workbook QA</x:v>
      </x:c>
      <x:c r="B1" s="2"/>
      <x:c r="C1" s="2"/>
      <x:c r="D1" s="2"/>
      <x:c r="E1" s="2"/>
    </x:row>
    <x:row r="2" ht="22" customHeight="1">
      <x:c r="A2" s="4" t="str">
        <x:v>Formula-driven assertions; the external validator also executes schemas, evaluator KATs, links, and canonical-index checks</x:v>
      </x:c>
      <x:c r="B2" s="4"/>
      <x:c r="C2" s="4"/>
      <x:c r="D2" s="4"/>
      <x:c r="E2" s="4"/>
    </x:row>
    <x:row r="4">
      <x:c r="A4" s="13" t="str">
        <x:v>Check</x:v>
      </x:c>
      <x:c r="B4" s="14" t="str">
        <x:v>Status formula</x:v>
      </x:c>
      <x:c r="C4" s="14" t="str">
        <x:v>Expected</x:v>
      </x:c>
      <x:c r="D4" s="14" t="str">
        <x:v>Scope</x:v>
      </x:c>
      <x:c r="E4" s="15" t="str">
        <x:v>Why it matters</x:v>
      </x:c>
    </x:row>
    <x:row r="5">
      <x:c r="A5" s="27" t="str">
        <x:v>Hazus knot count exact</x:v>
      </x:c>
      <x:c r="B5" s="59" t="str">
        <x:f>IF(COUNTA('Hazus_Source'!A5:A15)=11,"PASS","FAIL")</x:f>
        <x:v>PASS</x:v>
      </x:c>
      <x:c r="C5" s="27" t="n">
        <x:v>11</x:v>
      </x:c>
      <x:c r="D5" s="27" t="str">
        <x:v>Hazus_Source</x:v>
      </x:c>
      <x:c r="E5" s="27" t="str">
        <x:v>All table ordinates</x:v>
      </x:c>
    </x:row>
    <x:row r="6">
      <x:c r="A6" s="28" t="str">
        <x:v>Source/artifact deltas zero</x:v>
      </x:c>
      <x:c r="B6" s="60" t="str">
        <x:f>IF(COUNTIF('Hazus_Source'!E5:E15,0)=11,"PASS","FAIL")</x:f>
        <x:v>PASS</x:v>
      </x:c>
      <x:c r="C6" s="28" t="n">
        <x:v>0</x:v>
      </x:c>
      <x:c r="D6" s="28" t="str">
        <x:v>Hazus_Source</x:v>
      </x:c>
      <x:c r="E6" s="28" t="str">
        <x:v>Exact transcription</x:v>
      </x:c>
    </x:row>
    <x:row r="7">
      <x:c r="A7" s="28" t="str">
        <x:v>Curve interpolation rows pass</x:v>
      </x:c>
      <x:c r="B7" s="60" t="str">
        <x:f>IF(COUNTIF('Curve'!F5:F14,"PASS")=10,"PASS","FAIL")</x:f>
        <x:v>PASS</x:v>
      </x:c>
      <x:c r="C7" s="28" t="n">
        <x:v>10</x:v>
      </x:c>
      <x:c r="D7" s="28" t="str">
        <x:v>Curve</x:v>
      </x:c>
      <x:c r="E7" s="28" t="str">
        <x:v>Linear interpolation</x:v>
      </x:c>
    </x:row>
    <x:row r="8">
      <x:c r="A8" s="28" t="str">
        <x:v>Minimum depth exact</x:v>
      </x:c>
      <x:c r="B8" s="60" t="str">
        <x:f>IF('Hazus_Source'!A5=0,"PASS","FAIL")</x:f>
        <x:v>PASS</x:v>
      </x:c>
      <x:c r="C8" s="28" t="n">
        <x:v>0</x:v>
      </x:c>
      <x:c r="D8" s="28" t="str">
        <x:v>Hazus_Source</x:v>
      </x:c>
      <x:c r="E8" s="28" t="str">
        <x:v>Source range</x:v>
      </x:c>
    </x:row>
    <x:row r="9">
      <x:c r="A9" s="28" t="str">
        <x:v>Maximum depth exact</x:v>
      </x:c>
      <x:c r="B9" s="60" t="str">
        <x:f>IF('Hazus_Source'!A15=10,"PASS","FAIL")</x:f>
        <x:v>PASS</x:v>
      </x:c>
      <x:c r="C9" s="28" t="n">
        <x:v>10</x:v>
      </x:c>
      <x:c r="D9" s="28" t="str">
        <x:v>Hazus_Source</x:v>
      </x:c>
      <x:c r="E9" s="28" t="str">
        <x:v>Source range</x:v>
      </x:c>
    </x:row>
    <x:row r="10">
      <x:c r="A10" s="28" t="str">
        <x:v>Maximum DR exact</x:v>
      </x:c>
      <x:c r="B10" s="60" t="str">
        <x:f>IF('Hazus_Source'!D15=0.15,"PASS","FAIL")</x:f>
        <x:v>PASS</x:v>
      </x:c>
      <x:c r="C10" s="28" t="n">
        <x:v>0.15</x:v>
      </x:c>
      <x:c r="D10" s="28" t="str">
        <x:v>Hazus_Source</x:v>
      </x:c>
      <x:c r="E10" s="28" t="str">
        <x:v>No cap invention</x:v>
      </x:c>
    </x:row>
    <x:row r="11">
      <x:c r="A11" s="28" t="str">
        <x:v>WSE one-foot bridge exact</x:v>
      </x:c>
      <x:c r="B11" s="60" t="str">
        <x:f>IF(ABS('Axis_Bridge'!E5-1)&lt;1E-10,"PASS","FAIL")</x:f>
        <x:v>PASS</x:v>
      </x:c>
      <x:c r="C11" s="28" t="n">
        <x:v>1</x:v>
      </x:c>
      <x:c r="D11" s="28" t="str">
        <x:v>Axis_Bridge</x:v>
      </x:c>
      <x:c r="E11" s="28" t="str">
        <x:v>Exact SI conversion</x:v>
      </x:c>
    </x:row>
    <x:row r="12">
      <x:c r="A12" s="28" t="str">
        <x:v>Datum mismatch withheld</x:v>
      </x:c>
      <x:c r="B12" s="60" t="str">
        <x:f>IF('Axis_Bridge'!G7="WITHHOLD_DATUM","PASS","FAIL")</x:f>
        <x:v>PASS</x:v>
      </x:c>
      <x:c r="C12" s="28" t="str">
        <x:v>WITHHOLD_DATUM</x:v>
      </x:c>
      <x:c r="D12" s="28" t="str">
        <x:v>Axis_Bridge</x:v>
      </x:c>
      <x:c r="E12" s="28" t="str">
        <x:v>No mixed datum</x:v>
      </x:c>
    </x:row>
    <x:row r="13">
      <x:c r="A13" s="28" t="str">
        <x:v>Source register exact count</x:v>
      </x:c>
      <x:c r="B13" s="60" t="str">
        <x:f>IF(COUNTA('Source_Register'!A5:A22)=18,"PASS","FAIL")</x:f>
        <x:v>PASS</x:v>
      </x:c>
      <x:c r="C13" s="28" t="n">
        <x:v>18</x:v>
      </x:c>
      <x:c r="D13" s="28" t="str">
        <x:v>Source_Register</x:v>
      </x:c>
      <x:c r="E13" s="28" t="str">
        <x:v>All governed sources</x:v>
      </x:c>
    </x:row>
    <x:row r="14">
      <x:c r="A14" s="28" t="str">
        <x:v>Claim register exact count</x:v>
      </x:c>
      <x:c r="B14" s="60" t="str">
        <x:f>IF(COUNTA('Claim_Register'!A5:A31)=27,"PASS","FAIL")</x:f>
        <x:v>PASS</x:v>
      </x:c>
      <x:c r="C14" s="28" t="n">
        <x:v>27</x:v>
      </x:c>
      <x:c r="D14" s="28" t="str">
        <x:v>Claim_Register</x:v>
      </x:c>
      <x:c r="E14" s="28" t="str">
        <x:v>All governed claims</x:v>
      </x:c>
    </x:row>
    <x:row r="15">
      <x:c r="A15" s="28" t="str">
        <x:v>Parameter table exact count</x:v>
      </x:c>
      <x:c r="B15" s="60" t="str">
        <x:f>IF(COUNTA('Parameter_Tiers'!A5:A37)=33,"PASS","FAIL")</x:f>
        <x:v>PASS</x:v>
      </x:c>
      <x:c r="C15" s="28" t="n">
        <x:v>33</x:v>
      </x:c>
      <x:c r="D15" s="28" t="str">
        <x:v>Parameter_Tiers</x:v>
      </x:c>
      <x:c r="E15" s="28" t="str">
        <x:v>All governed rules</x:v>
      </x:c>
    </x:row>
    <x:row r="16">
      <x:c r="A16" s="28" t="str">
        <x:v>Value crosswalk exact count</x:v>
      </x:c>
      <x:c r="B16" s="60" t="str">
        <x:f>IF(COUNTA('Value_Crosswalk'!A5:A23)=19,"PASS","FAIL")</x:f>
        <x:v>PASS</x:v>
      </x:c>
      <x:c r="C16" s="28" t="n">
        <x:v>19</x:v>
      </x:c>
      <x:c r="D16" s="28" t="str">
        <x:v>Value_Crosswalk</x:v>
      </x:c>
      <x:c r="E16" s="28" t="str">
        <x:v>No dropped value row</x:v>
      </x:c>
    </x:row>
    <x:row r="17">
      <x:c r="A17" s="28" t="str">
        <x:v>Failure unit exact count</x:v>
      </x:c>
      <x:c r="B17" s="60" t="str">
        <x:f>IF(COUNTA('Failure_Units'!A5:A19)=15,"PASS","FAIL")</x:f>
        <x:v>PASS</x:v>
      </x:c>
      <x:c r="C17" s="28" t="n">
        <x:v>15</x:v>
      </x:c>
      <x:c r="D17" s="28" t="str">
        <x:v>Failure_Units</x:v>
      </x:c>
      <x:c r="E17" s="28" t="str">
        <x:v>Complete unit inventory</x:v>
      </x:c>
    </x:row>
    <x:row r="18">
      <x:c r="A18" s="28" t="str">
        <x:v>One supported source atom</x:v>
      </x:c>
      <x:c r="B18" s="60" t="str">
        <x:f>IF(COUNTIF('Failure_Units'!D5:D19,"primary nonzero")=1,"PASS","FAIL")</x:f>
        <x:v>PASS</x:v>
      </x:c>
      <x:c r="C18" s="28" t="n">
        <x:v>1</x:v>
      </x:c>
      <x:c r="D18" s="28" t="str">
        <x:v>Failure_Units</x:v>
      </x:c>
      <x:c r="E18" s="28" t="str">
        <x:v>Partial coverage only</x:v>
      </x:c>
    </x:row>
    <x:row r="19">
      <x:c r="A19" s="28" t="str">
        <x:v>Assembly atom present once</x:v>
      </x:c>
      <x:c r="B19" s="60" t="str">
        <x:f>IF(COUNTIF('Failure_Units'!A5:A19,"FW_HAZUS_GSU_SUBSTATION_ASSEMBLY")=1,"PASS","FAIL")</x:f>
        <x:v>PASS</x:v>
      </x:c>
      <x:c r="C19" s="28" t="n">
        <x:v>1</x:v>
      </x:c>
      <x:c r="D19" s="28" t="str">
        <x:v>Failure_Units</x:v>
      </x:c>
      <x:c r="E19" s="28" t="str">
        <x:v>No duplicated GSU</x:v>
      </x:c>
    </x:row>
    <x:row r="20">
      <x:c r="A20" s="28" t="str">
        <x:v>KAT rows complete</x:v>
      </x:c>
      <x:c r="B20" s="60" t="str">
        <x:f>IF(COUNTIF('KATs'!H5:H41,"PASS")=37,"PASS","FAIL")</x:f>
        <x:v>PASS</x:v>
      </x:c>
      <x:c r="C20" s="28" t="n">
        <x:v>37</x:v>
      </x:c>
      <x:c r="D20" s="28" t="str">
        <x:v>KATs</x:v>
      </x:c>
      <x:c r="E20" s="28" t="str">
        <x:v>Every fixture represented</x:v>
      </x:c>
    </x:row>
    <x:row r="21">
      <x:c r="A21" s="28" t="str">
        <x:v>Proposal remains noncanonical</x:v>
      </x:c>
      <x:c r="B21" s="60" t="str">
        <x:f>IF('README'!B12=FALSE,"PASS","FAIL")</x:f>
        <x:v>PASS</x:v>
      </x:c>
      <x:c r="C21" s="29" t="b">
        <x:v>0</x:v>
      </x:c>
      <x:c r="D21" s="28" t="str">
        <x:v>README</x:v>
      </x:c>
      <x:c r="E21" s="28" t="str">
        <x:v>No runtime cutover</x:v>
      </x:c>
    </x:row>
    <x:row r="22">
      <x:c r="A22" s="30" t="str">
        <x:v>Package remains excluded</x:v>
      </x:c>
      <x:c r="B22" s="61" t="str">
        <x:f>IF('README'!B13="not_included","PASS","FAIL")</x:f>
        <x:v>PASS</x:v>
      </x:c>
      <x:c r="C22" s="30" t="str">
        <x:v>not_included</x:v>
      </x:c>
      <x:c r="D22" s="30" t="str">
        <x:v>README</x:v>
      </x:c>
      <x:c r="E22" s="30" t="str">
        <x:v>No silent release</x:v>
      </x:c>
    </x:row>
  </x:sheetData>
  <x:mergeCells>
    <x:mergeCell ref="A1:E1"/>
    <x:mergeCell ref="A2:E2"/>
  </x:mergeCells>
  <x:pageMargins left="0.7" right="0.7" top="0.75" bottom="0.75" header="0.3" footer="0.3"/>
</x:worksheet>
</file>