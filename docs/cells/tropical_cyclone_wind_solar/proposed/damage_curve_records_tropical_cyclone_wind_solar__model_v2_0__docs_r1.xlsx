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Scope_Pathway" sheetId="3" state="visible" r:id="rId3"/>
    <sheet name="Architecture_Axes" sheetId="4" state="visible" r:id="rId4"/>
    <sheet name="Curve_Records" sheetId="5" state="visible" r:id="rId5"/>
    <sheet name="Curve_Data" sheetId="6" state="visible" r:id="rId6"/>
    <sheet name="State_Definitions" sheetId="7" state="visible" r:id="rId7"/>
    <sheet name="Perry_Compatibility" sheetId="8" state="visible" r:id="rId8"/>
    <sheet name="Site_Condition_Double_Count" sheetId="9" state="visible" r:id="rId9"/>
    <sheet name="KATs" sheetId="10" state="visible" r:id="rId10"/>
    <sheet name="Value_Crosswalk" sheetId="11" state="visible" r:id="rId11"/>
    <sheet name="Sources" sheetId="12" state="visible" r:id="rId12"/>
    <sheet name="Claim_Register" sheetId="13" state="visible" r:id="rId13"/>
    <sheet name="Claim_Supersession" sheetId="14" state="visible" r:id="rId14"/>
    <sheet name="Parameter_Tiers" sheetId="15" state="visible" r:id="rId15"/>
    <sheet name="Legacy_Comparison" sheetId="16" state="visible" r:id="rId16"/>
    <sheet name="QA_Checks" sheetId="17" state="visible" r:id="rId17"/>
  </sheets>
  <definedNames>
    <definedName name="_xlnm._FilterDatabase" localSheetId="0" hidden="1">'README'!$A$1:$B$11</definedName>
    <definedName name="_xlnm._FilterDatabase" localSheetId="1" hidden="1">'Dashboard'!$A$1:$C$6</definedName>
    <definedName name="_xlnm._FilterDatabase" localSheetId="2" hidden="1">'Scope_Pathway'!$A$1:$C$9</definedName>
    <definedName name="_xlnm._FilterDatabase" localSheetId="3" hidden="1">'Architecture_Axes'!$A$1:$E$4</definedName>
    <definedName name="_xlnm._FilterDatabase" localSheetId="4" hidden="1">'Curve_Records'!$A$1:$F$6</definedName>
    <definedName name="_xlnm._FilterDatabase" localSheetId="5" hidden="1">'Curve_Data'!$A$1:$F$165</definedName>
    <definedName name="_xlnm._FilterDatabase" localSheetId="6" hidden="1">'State_Definitions'!$A$1:$E$15</definedName>
    <definedName name="_xlnm._FilterDatabase" localSheetId="7" hidden="1">'Perry_Compatibility'!$A$1:$E$14</definedName>
    <definedName name="_xlnm._FilterDatabase" localSheetId="8" hidden="1">'Site_Condition_Double_Count'!$A$1:$D$7</definedName>
    <definedName name="_xlnm._FilterDatabase" localSheetId="9" hidden="1">'KATs'!$A$1:$D$34</definedName>
    <definedName name="_xlnm._FilterDatabase" localSheetId="10" hidden="1">'Value_Crosswalk'!$A$1:$O$19</definedName>
    <definedName name="_xlnm._FilterDatabase" localSheetId="11" hidden="1">'Sources'!$A$1:$Q$72</definedName>
    <definedName name="_xlnm._FilterDatabase" localSheetId="12" hidden="1">'Claim_Register'!$A$1:$M$88</definedName>
    <definedName name="_xlnm._FilterDatabase" localSheetId="13" hidden="1">'Claim_Supersession'!$A$1:$E$9</definedName>
    <definedName name="_xlnm._FilterDatabase" localSheetId="14" hidden="1">'Parameter_Tiers'!$A$1:$J$54</definedName>
    <definedName name="_xlnm._FilterDatabase" localSheetId="15" hidden="1">'Legacy_Comparison'!$A$1:$H$12</definedName>
    <definedName name="_xlnm._FilterDatabase" localSheetId="16" hidden="1">'QA_Checks'!$A$1:$D$20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cell_id</t>
        </is>
      </c>
      <c r="B2" s="2" t="inlineStr">
        <is>
          <t>tropical_cyclone_wind_solar</t>
        </is>
      </c>
    </row>
    <row r="3">
      <c r="A3" s="2" t="inlineStr">
        <is>
          <t>model</t>
        </is>
      </c>
      <c r="B3" s="2" t="inlineStr">
        <is>
          <t>model v2.0</t>
        </is>
      </c>
    </row>
    <row r="4">
      <c r="A4" s="2" t="inlineStr">
        <is>
          <t>docs</t>
        </is>
      </c>
      <c r="B4" s="2" t="inlineStr">
        <is>
          <t>docs r1</t>
        </is>
      </c>
    </row>
    <row r="5">
      <c r="A5" s="2" t="inlineStr">
        <is>
          <t>status</t>
        </is>
      </c>
      <c r="B5" s="2" t="inlineStr">
        <is>
          <t>noncanonical synthetic T4 proposal</t>
        </is>
      </c>
    </row>
    <row r="6">
      <c r="A6" s="2" t="inlineStr">
        <is>
          <t>canonical_runtime_artifact</t>
        </is>
      </c>
      <c r="B6" s="2" t="b">
        <v>0</v>
      </c>
    </row>
    <row r="7">
      <c r="A7" s="2" t="inlineStr">
        <is>
          <t>generic_curve_count</t>
        </is>
      </c>
      <c r="B7" s="2" t="n">
        <v>4</v>
      </c>
    </row>
    <row r="8">
      <c r="A8" s="2" t="inlineStr">
        <is>
          <t>Perry_compatibility_curve_count</t>
        </is>
      </c>
      <c r="B8" s="2" t="n">
        <v>1</v>
      </c>
    </row>
    <row r="9">
      <c r="A9" s="2" t="inlineStr">
        <is>
          <t>scenario_dollar_loss</t>
        </is>
      </c>
      <c r="B9" s="2" t="inlineStr">
        <is>
          <t>withheld</t>
        </is>
      </c>
    </row>
    <row r="10">
      <c r="A10" s="2" t="inlineStr">
        <is>
          <t>strict_alternative</t>
        </is>
      </c>
      <c r="B10" s="2" t="inlineStr">
        <is>
          <t>model v0.1 NO_RUNTIME_CURVE</t>
        </is>
      </c>
    </row>
    <row r="11">
      <c r="A11" s="2" t="inlineStr">
        <is>
          <t>warning</t>
        </is>
      </c>
      <c r="B11" s="2" t="inlineStr">
        <is>
          <t>Generic numbers are synthetic unweighted scenarios, not hurricane calibration.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architectures</t>
        </is>
      </c>
      <c r="B2" s="2" t="n">
        <v>3</v>
      </c>
      <c r="C2" s="2" t="inlineStr">
        <is>
          <t>Perry compatibility + synthetic fixed + qualified tracker</t>
        </is>
      </c>
    </row>
    <row r="3">
      <c r="A3" s="2" t="inlineStr">
        <is>
          <t>numeric records</t>
        </is>
      </c>
      <c r="B3" s="2" t="n">
        <v>5</v>
      </c>
      <c r="C3" s="2" t="inlineStr">
        <is>
          <t>one source-specific and four synthetic T4</t>
        </is>
      </c>
    </row>
    <row r="4">
      <c r="A4" s="2" t="inlineStr">
        <is>
          <t>withheld units</t>
        </is>
      </c>
      <c r="B4" s="2" t="n">
        <v>6</v>
      </c>
      <c r="C4" s="2" t="inlineStr">
        <is>
          <t>null, not zero</t>
        </is>
      </c>
    </row>
    <row r="5">
      <c r="A5" s="2" t="inlineStr">
        <is>
          <t>full plant DR</t>
        </is>
      </c>
      <c r="B5" s="2" t="inlineStr">
        <is>
          <t>WITHHELD</t>
        </is>
      </c>
      <c r="C5" s="2" t="inlineStr">
        <is>
          <t>no artificial legacy cap</t>
        </is>
      </c>
    </row>
    <row r="6">
      <c r="A6" s="2" t="inlineStr">
        <is>
          <t>Hazard cutover</t>
        </is>
      </c>
      <c r="B6" s="2" t="inlineStr">
        <is>
          <t>BLOCKED</t>
        </is>
      </c>
      <c r="C6" s="2" t="inlineStr">
        <is>
          <t>artifact index unchanged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1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Treatment</t>
        </is>
      </c>
    </row>
    <row r="2">
      <c r="A2" s="2" t="inlineStr">
        <is>
          <t>included</t>
        </is>
      </c>
      <c r="B2" s="2" t="inlineStr">
        <is>
          <t>tropical-cyclone wind after a versioned local demand bridge</t>
        </is>
      </c>
      <c r="C2" s="2" t="inlineStr">
        <is>
          <t>evaluate only after route gates</t>
        </is>
      </c>
    </row>
    <row r="3">
      <c r="A3" s="2" t="inlineStr">
        <is>
          <t>included</t>
        </is>
      </c>
      <c r="B3" s="2" t="inlineStr">
        <is>
          <t>source-composite Perry hurricane module outcome only on the compatibility route</t>
        </is>
      </c>
      <c r="C3" s="2" t="inlineStr">
        <is>
          <t>evaluate only after route gates</t>
        </is>
      </c>
    </row>
    <row r="4">
      <c r="A4" s="2" t="inlineStr">
        <is>
          <t>excluded</t>
        </is>
      </c>
      <c r="B4" s="2" t="inlineStr">
        <is>
          <t>straight-line convective wind</t>
        </is>
      </c>
      <c r="C4" s="2" t="inlineStr">
        <is>
          <t>separate pathway or outside physical DR</t>
        </is>
      </c>
    </row>
    <row r="5">
      <c r="A5" s="2" t="inlineStr">
        <is>
          <t>excluded</t>
        </is>
      </c>
      <c r="B5" s="2" t="inlineStr">
        <is>
          <t>tornado direct hit</t>
        </is>
      </c>
      <c r="C5" s="2" t="inlineStr">
        <is>
          <t>separate pathway or outside physical DR</t>
        </is>
      </c>
    </row>
    <row r="6">
      <c r="A6" s="2" t="inlineStr">
        <is>
          <t>excluded</t>
        </is>
      </c>
      <c r="B6" s="2" t="inlineStr">
        <is>
          <t>windborne-debris impact as a separately valued pathway</t>
        </is>
      </c>
      <c r="C6" s="2" t="inlineStr">
        <is>
          <t>separate pathway or outside physical DR</t>
        </is>
      </c>
    </row>
    <row r="7">
      <c r="A7" s="2" t="inlineStr">
        <is>
          <t>excluded</t>
        </is>
      </c>
      <c r="B7" s="2" t="inlineStr">
        <is>
          <t>wind-driven rain or water ingress</t>
        </is>
      </c>
      <c r="C7" s="2" t="inlineStr">
        <is>
          <t>separate pathway or outside physical DR</t>
        </is>
      </c>
    </row>
    <row r="8">
      <c r="A8" s="2" t="inlineStr">
        <is>
          <t>excluded</t>
        </is>
      </c>
      <c r="B8" s="2" t="inlineStr">
        <is>
          <t>flood, storm surge, and scour</t>
        </is>
      </c>
      <c r="C8" s="2" t="inlineStr">
        <is>
          <t>separate pathway or outside physical DR</t>
        </is>
      </c>
    </row>
    <row r="9">
      <c r="A9" s="2" t="inlineStr">
        <is>
          <t>excluded</t>
        </is>
      </c>
      <c r="B9" s="2" t="inlineStr">
        <is>
          <t>hail, lightning, fire, downtime, BI, and financial terms</t>
        </is>
      </c>
      <c r="C9" s="2" t="inlineStr">
        <is>
          <t>separate pathway or outside physical DR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14" customWidth="1" min="3" max="3"/>
    <col width="55" customWidth="1" min="4" max="4"/>
    <col width="29" customWidth="1" min="5" max="5"/>
  </cols>
  <sheetData>
    <row r="1">
      <c r="A1" s="1" t="inlineStr">
        <is>
          <t>Architecture</t>
        </is>
      </c>
      <c r="B1" s="1" t="inlineStr">
        <is>
          <t>Axis</t>
        </is>
      </c>
      <c r="C1" s="1" t="inlineStr">
        <is>
          <t>Range</t>
        </is>
      </c>
      <c r="D1" s="1" t="inlineStr">
        <is>
          <t>Required bridge</t>
        </is>
      </c>
      <c r="E1" s="1" t="inlineStr">
        <is>
          <t>No-default rule</t>
        </is>
      </c>
    </row>
    <row r="2">
      <c r="A2" s="2" t="inlineStr">
        <is>
          <t>perry_ground_nontracking_source_cohort_v1_compat</t>
        </is>
      </c>
      <c r="B2" s="2" t="inlineStr">
        <is>
          <t>perry_event_max_gust_mps</t>
        </is>
      </c>
      <c r="C2" s="2" t="inlineStr">
        <is>
          <t>[17.4, 39.1]</t>
        </is>
      </c>
      <c r="D2" s="2" t="inlineStr">
        <is>
          <t>[{"mode": "source_compatibility", "required_fields": ["perry_event_max_gust_mps", "array_architecture_id", "source_population_match_id", "module_value_distribution_assumption_id", "visible_damage_disposition_assumption_id", "source_wind_product_id", "causal_scope_acknowledgement_id"]}]</t>
        </is>
      </c>
      <c r="E2" s="2" t="inlineStr">
        <is>
          <t>missing or mismatch rejects</t>
        </is>
      </c>
    </row>
    <row r="3">
      <c r="A3" s="2" t="inlineStr">
        <is>
          <t>fixed_tilt_ground_mount_tc_synthetic_t4_v1</t>
        </is>
      </c>
      <c r="B3" s="2" t="inlineStr">
        <is>
          <t>tc_fixed_event_to_design_net_pressure_ratio</t>
        </is>
      </c>
      <c r="C3" s="2" t="inlineStr">
        <is>
          <t>[0.0, 2.0]</t>
        </is>
      </c>
      <c r="D3" s="2" t="inlineStr">
        <is>
          <t>[{"mode": "preferred", "required_fields": ["tc_fixed_event_to_design_net_pressure_ratio", "tc_wind_field_bridge_id", "tc_directional_history_bridge_id", "tc_duration_cycling_bridge_id", "aerodynamic_demand_bridge_id", "array_zone", "array_spatial_object_id"]}, {"mode": "screening_proxy", "required_fields": ["tc_array_height_3s_gust_mps", "qualified_design_array_height_3s_gust_mps", "tc_wind_field_bridge_id", "tc_directional_history_bridge_id", "tc_duration_cycling_bridge_id", "aerodynamic_demand_bridge_id", "array_zone", "array_spatial_object_id"]}]</t>
        </is>
      </c>
      <c r="E3" s="2" t="inlineStr">
        <is>
          <t>missing or mismatch rejects</t>
        </is>
      </c>
    </row>
    <row r="4">
      <c r="A4" s="2" t="inlineStr">
        <is>
          <t>single_axis_tracker_tc_qualified_synthetic_t4_v1</t>
        </is>
      </c>
      <c r="B4" s="2" t="inlineStr">
        <is>
          <t>tracker_instability_speed_ratio</t>
        </is>
      </c>
      <c r="C4" s="2" t="inlineStr">
        <is>
          <t>[0.0, 2.0]</t>
        </is>
      </c>
      <c r="D4" s="2" t="inlineStr">
        <is>
          <t>["exact tracker system, 1P/2P, layout, attained angle and position", "known array zone and drive/lock state", "3-second array-height tracker-normal speed reference", "matching TC wind-field, direction-history, and duration-cycling qualification bases"]</t>
        </is>
      </c>
      <c r="E4" s="2" t="inlineStr">
        <is>
          <t>missing or mismatch rejects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0" customWidth="1" min="2" max="2"/>
    <col width="55" customWidth="1" min="3" max="3"/>
    <col width="32" customWidth="1" min="4" max="4"/>
    <col width="55" customWidth="1" min="5" max="5"/>
    <col width="19" customWidth="1" min="6" max="6"/>
  </cols>
  <sheetData>
    <row r="1">
      <c r="A1" s="1" t="inlineStr">
        <is>
          <t>Curve ID</t>
        </is>
      </c>
      <c r="B1" s="1" t="inlineStr">
        <is>
          <t>Architecture</t>
        </is>
      </c>
      <c r="C1" s="1" t="inlineStr">
        <is>
          <t>Failure unit</t>
        </is>
      </c>
      <c r="D1" s="1" t="inlineStr">
        <is>
          <t>Form</t>
        </is>
      </c>
      <c r="E1" s="1" t="inlineStr">
        <is>
          <t>Axis</t>
        </is>
      </c>
      <c r="F1" s="1" t="inlineStr">
        <is>
          <t>Tier</t>
        </is>
      </c>
    </row>
    <row r="2">
      <c r="A2" s="2" t="inlineStr">
        <is>
          <t>TCWS_PERRY_GROUND_FIXED_VISIBLE_REPLACEMENT_PROXY_V1</t>
        </is>
      </c>
      <c r="B2" s="2" t="inlineStr">
        <is>
          <t>perry_ground_nontracking_source_cohort_v1_compat</t>
        </is>
      </c>
      <c r="C2" s="2" t="inlineStr">
        <is>
          <t>PV_PERRY_GROUND_FIXED_VISIBLE_MODULE_HARDWARE_SOURCE_UNIT</t>
        </is>
      </c>
      <c r="D2" s="2" t="inlineStr">
        <is>
          <t>piecewise_linear</t>
        </is>
      </c>
      <c r="E2" s="2" t="inlineStr">
        <is>
          <t>perry_event_max_gust_mps</t>
        </is>
      </c>
      <c r="F2" s="2" t="inlineStr">
        <is>
          <t>Perry mixed tiers</t>
        </is>
      </c>
    </row>
    <row r="3">
      <c r="A3" s="2" t="inlineStr">
        <is>
          <t>TCWS2_FIXED_MODULE_SYNTHETIC_T4_ORDERED_STATES</t>
        </is>
      </c>
      <c r="B3" s="2" t="inlineStr">
        <is>
          <t>fixed_tilt_ground_mount_tc_synthetic_t4_v1</t>
        </is>
      </c>
      <c r="C3" s="2" t="inlineStr">
        <is>
          <t>PV_FIXED_TILT_MODULE_FIELD</t>
        </is>
      </c>
      <c r="D3" s="2" t="inlineStr">
        <is>
          <t>ordered_damage_state_lognormal</t>
        </is>
      </c>
      <c r="E3" s="2" t="inlineStr">
        <is>
          <t>architecture_specific_tropical_cyclone_wind_demand_index</t>
        </is>
      </c>
      <c r="F3" s="2" t="inlineStr">
        <is>
          <t>T4 synthetic</t>
        </is>
      </c>
    </row>
    <row r="4">
      <c r="A4" s="2" t="inlineStr">
        <is>
          <t>TCWS2_FIXED_STRUCTURE_SYNTHETIC_T4_ORDERED_STATES</t>
        </is>
      </c>
      <c r="B4" s="2" t="inlineStr">
        <is>
          <t>fixed_tilt_ground_mount_tc_synthetic_t4_v1</t>
        </is>
      </c>
      <c r="C4" s="2" t="inlineStr">
        <is>
          <t>PV_FIXED_TILT_SUPPORT_STRUCTURE</t>
        </is>
      </c>
      <c r="D4" s="2" t="inlineStr">
        <is>
          <t>ordered_damage_state_lognormal</t>
        </is>
      </c>
      <c r="E4" s="2" t="inlineStr">
        <is>
          <t>architecture_specific_tropical_cyclone_wind_demand_index</t>
        </is>
      </c>
      <c r="F4" s="2" t="inlineStr">
        <is>
          <t>T4 synthetic</t>
        </is>
      </c>
    </row>
    <row r="5">
      <c r="A5" s="2" t="inlineStr">
        <is>
          <t>TCWS2_TRACKER_MODULE_SYNTHETIC_T4_ORDERED_STATES</t>
        </is>
      </c>
      <c r="B5" s="2" t="inlineStr">
        <is>
          <t>single_axis_tracker_tc_qualified_synthetic_t4_v1</t>
        </is>
      </c>
      <c r="C5" s="2" t="inlineStr">
        <is>
          <t>PV_TRACKER_MODULE_FIELD</t>
        </is>
      </c>
      <c r="D5" s="2" t="inlineStr">
        <is>
          <t>ordered_damage_state_lognormal</t>
        </is>
      </c>
      <c r="E5" s="2" t="inlineStr">
        <is>
          <t>architecture_specific_tropical_cyclone_wind_demand_index</t>
        </is>
      </c>
      <c r="F5" s="2" t="inlineStr">
        <is>
          <t>T4 synthetic</t>
        </is>
      </c>
    </row>
    <row r="6">
      <c r="A6" s="2" t="inlineStr">
        <is>
          <t>TCWS2_TRACKER_SBOS_SYNTHETIC_T4_ORDERED_STATES</t>
        </is>
      </c>
      <c r="B6" s="2" t="inlineStr">
        <is>
          <t>single_axis_tracker_tc_qualified_synthetic_t4_v1</t>
        </is>
      </c>
      <c r="C6" s="2" t="inlineStr">
        <is>
          <t>PV_TRACKER_SBOS_ASSEMBLY</t>
        </is>
      </c>
      <c r="D6" s="2" t="inlineStr">
        <is>
          <t>ordered_damage_state_lognormal</t>
        </is>
      </c>
      <c r="E6" s="2" t="inlineStr">
        <is>
          <t>architecture_specific_tropical_cyclone_wind_demand_index</t>
        </is>
      </c>
      <c r="F6" s="2" t="inlineStr">
        <is>
          <t>T4 synthetic</t>
        </is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24" customWidth="1" min="3" max="3"/>
    <col width="24" customWidth="1" min="4" max="4"/>
    <col width="24" customWidth="1" min="5" max="5"/>
    <col width="47" customWidth="1" min="6" max="6"/>
  </cols>
  <sheetData>
    <row r="1">
      <c r="A1" s="1" t="inlineStr">
        <is>
          <t>Curve ID</t>
        </is>
      </c>
      <c r="B1" s="1" t="inlineStr">
        <is>
          <t>x</t>
        </is>
      </c>
      <c r="C1" s="1" t="inlineStr">
        <is>
          <t>lower_resistance_DR</t>
        </is>
      </c>
      <c r="D1" s="1" t="inlineStr">
        <is>
          <t>central_screening_DR</t>
        </is>
      </c>
      <c r="E1" s="1" t="inlineStr">
        <is>
          <t>upper_resistance_DR</t>
        </is>
      </c>
      <c r="F1" s="1" t="inlineStr">
        <is>
          <t>Scenario_Order_QA</t>
        </is>
      </c>
    </row>
    <row r="2">
      <c r="A2" s="2" t="inlineStr">
        <is>
          <t>TCWS2_FIXED_MODULE_SYNTHETIC_T4_ORDERED_STATES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>
        <f>IF(AND(C2&gt;=D2,D2&gt;=E2),"PASS","FAIL")</f>
        <v/>
      </c>
    </row>
    <row r="3">
      <c r="A3" s="2" t="inlineStr">
        <is>
          <t>TCWS2_FIXED_MODULE_SYNTHETIC_T4_ORDERED_STATES</t>
        </is>
      </c>
      <c r="B3" s="2" t="n">
        <v>0.05</v>
      </c>
      <c r="C3" s="2" t="n">
        <v>6.163433385400396e-19</v>
      </c>
      <c r="D3" s="2" t="n">
        <v>1.793308358253812e-22</v>
      </c>
      <c r="E3" s="2" t="n">
        <v>1.684061709204245e-25</v>
      </c>
      <c r="F3" s="2">
        <f>IF(AND(C3&gt;=D3,D3&gt;=E3),"PASS","FAIL")</f>
        <v/>
      </c>
    </row>
    <row r="4">
      <c r="A4" s="2" t="inlineStr">
        <is>
          <t>TCWS2_FIXED_MODULE_SYNTHETIC_T4_ORDERED_STATES</t>
        </is>
      </c>
      <c r="B4" s="2" t="n">
        <v>0.1</v>
      </c>
      <c r="C4" s="2" t="n">
        <v>2.197101897792823e-11</v>
      </c>
      <c r="D4" s="2" t="n">
        <v>4.89050277459357e-14</v>
      </c>
      <c r="E4" s="2" t="n">
        <v>2.290398764118595e-16</v>
      </c>
      <c r="F4" s="2">
        <f>IF(AND(C4&gt;=D4,D4&gt;=E4),"PASS","FAIL")</f>
        <v/>
      </c>
    </row>
    <row r="5">
      <c r="A5" s="2" t="inlineStr">
        <is>
          <t>TCWS2_FIXED_MODULE_SYNTHETIC_T4_ORDERED_STATES</t>
        </is>
      </c>
      <c r="B5" s="2" t="n">
        <v>0.15</v>
      </c>
      <c r="C5" s="2" t="n">
        <v>5.098892416641174e-08</v>
      </c>
      <c r="D5" s="2" t="n">
        <v>3.690839671530074e-10</v>
      </c>
      <c r="E5" s="2" t="n">
        <v>4.396542225703224e-12</v>
      </c>
      <c r="F5" s="2">
        <f>IF(AND(C5&gt;=D5,D5&gt;=E5),"PASS","FAIL")</f>
        <v/>
      </c>
    </row>
    <row r="6">
      <c r="A6" s="2" t="inlineStr">
        <is>
          <t>TCWS2_FIXED_MODULE_SYNTHETIC_T4_ORDERED_STATES</t>
        </is>
      </c>
      <c r="B6" s="2" t="n">
        <v>0.2</v>
      </c>
      <c r="C6" s="2" t="n">
        <v>4.268704231547329e-06</v>
      </c>
      <c r="D6" s="2" t="n">
        <v>7.068898802190868e-08</v>
      </c>
      <c r="E6" s="2" t="n">
        <v>1.624821874224577e-09</v>
      </c>
      <c r="F6" s="2">
        <f>IF(AND(C6&gt;=D6,D6&gt;=E6),"PASS","FAIL")</f>
        <v/>
      </c>
    </row>
    <row r="7">
      <c r="A7" s="2" t="inlineStr">
        <is>
          <t>TCWS2_FIXED_MODULE_SYNTHETIC_T4_ORDERED_STATES</t>
        </is>
      </c>
      <c r="B7" s="2" t="n">
        <v>0.25</v>
      </c>
      <c r="C7" s="2" t="n">
        <v>7.244427278356193e-05</v>
      </c>
      <c r="D7" s="2" t="n">
        <v>2.25958213128951e-06</v>
      </c>
      <c r="E7" s="2" t="n">
        <v>8.608851216573648e-08</v>
      </c>
      <c r="F7" s="2">
        <f>IF(AND(C7&gt;=D7,D7&gt;=E7),"PASS","FAIL")</f>
        <v/>
      </c>
    </row>
    <row r="8">
      <c r="A8" s="2" t="inlineStr">
        <is>
          <t>TCWS2_FIXED_MODULE_SYNTHETIC_T4_ORDERED_STATES</t>
        </is>
      </c>
      <c r="B8" s="2" t="n">
        <v>0.3</v>
      </c>
      <c r="C8" s="2" t="n">
        <v>0.0004995966533296207</v>
      </c>
      <c r="D8" s="2" t="n">
        <v>2.589651089478274e-05</v>
      </c>
      <c r="E8" s="2" t="n">
        <v>1.48440155161053e-06</v>
      </c>
      <c r="F8" s="2">
        <f>IF(AND(C8&gt;=D8,D8&gt;=E8),"PASS","FAIL")</f>
        <v/>
      </c>
    </row>
    <row r="9">
      <c r="A9" s="2" t="inlineStr">
        <is>
          <t>TCWS2_FIXED_MODULE_SYNTHETIC_T4_ORDERED_STATES</t>
        </is>
      </c>
      <c r="B9" s="2" t="n">
        <v>0.35</v>
      </c>
      <c r="C9" s="2" t="n">
        <v>0.001971454147435396</v>
      </c>
      <c r="D9" s="2" t="n">
        <v>0.000155300008320099</v>
      </c>
      <c r="E9" s="2" t="n">
        <v>1.251533260279757e-05</v>
      </c>
      <c r="F9" s="2">
        <f>IF(AND(C9&gt;=D9,D9&gt;=E9),"PASS","FAIL")</f>
        <v/>
      </c>
    </row>
    <row r="10">
      <c r="A10" s="2" t="inlineStr">
        <is>
          <t>TCWS2_FIXED_MODULE_SYNTHETIC_T4_ORDERED_STATES</t>
        </is>
      </c>
      <c r="B10" s="2" t="n">
        <v>0.4</v>
      </c>
      <c r="C10" s="2" t="n">
        <v>0.005391854693913299</v>
      </c>
      <c r="D10" s="2" t="n">
        <v>0.0006021192881906985</v>
      </c>
      <c r="E10" s="2" t="n">
        <v>6.484168264039908e-05</v>
      </c>
      <c r="F10" s="2">
        <f>IF(AND(C10&gt;=D10,D10&gt;=E10),"PASS","FAIL")</f>
        <v/>
      </c>
    </row>
    <row r="11">
      <c r="A11" s="2" t="inlineStr">
        <is>
          <t>TCWS2_FIXED_MODULE_SYNTHETIC_T4_ORDERED_STATES</t>
        </is>
      </c>
      <c r="B11" s="2" t="n">
        <v>0.45</v>
      </c>
      <c r="C11" s="2" t="n">
        <v>0.01149959054498051</v>
      </c>
      <c r="D11" s="2" t="n">
        <v>0.00171732229408367</v>
      </c>
      <c r="E11" s="2" t="n">
        <v>0.0002373595665275373</v>
      </c>
      <c r="F11" s="2">
        <f>IF(AND(C11&gt;=D11,D11&gt;=E11),"PASS","FAIL")</f>
        <v/>
      </c>
    </row>
    <row r="12">
      <c r="A12" s="2" t="inlineStr">
        <is>
          <t>TCWS2_FIXED_MODULE_SYNTHETIC_T4_ORDERED_STATES</t>
        </is>
      </c>
      <c r="B12" s="2" t="n">
        <v>0.5</v>
      </c>
      <c r="C12" s="2" t="n">
        <v>0.02067512199819247</v>
      </c>
      <c r="D12" s="2" t="n">
        <v>0.003919757601827238</v>
      </c>
      <c r="E12" s="2" t="n">
        <v>0.0006722601202095946</v>
      </c>
      <c r="F12" s="2">
        <f>IF(AND(C12&gt;=D12,D12&gt;=E12),"PASS","FAIL")</f>
        <v/>
      </c>
    </row>
    <row r="13">
      <c r="A13" s="2" t="inlineStr">
        <is>
          <t>TCWS2_FIXED_MODULE_SYNTHETIC_T4_ORDERED_STATES</t>
        </is>
      </c>
      <c r="B13" s="2" t="n">
        <v>0.55</v>
      </c>
      <c r="C13" s="2" t="n">
        <v>0.03307021279139877</v>
      </c>
      <c r="D13" s="2" t="n">
        <v>0.007587038394778005</v>
      </c>
      <c r="E13" s="2" t="n">
        <v>0.001567481917756542</v>
      </c>
      <c r="F13" s="2">
        <f>IF(AND(C13&gt;=D13,D13&gt;=E13),"PASS","FAIL")</f>
        <v/>
      </c>
    </row>
    <row r="14">
      <c r="A14" s="2" t="inlineStr">
        <is>
          <t>TCWS2_FIXED_MODULE_SYNTHETIC_T4_ORDERED_STATES</t>
        </is>
      </c>
      <c r="B14" s="2" t="n">
        <v>0.6</v>
      </c>
      <c r="C14" s="2" t="n">
        <v>0.0488682639483129</v>
      </c>
      <c r="D14" s="2" t="n">
        <v>0.01298287542669684</v>
      </c>
      <c r="E14" s="2" t="n">
        <v>0.003144775074243645</v>
      </c>
      <c r="F14" s="2">
        <f>IF(AND(C14&gt;=D14,D14&gt;=E14),"PASS","FAIL")</f>
        <v/>
      </c>
    </row>
    <row r="15">
      <c r="A15" s="2" t="inlineStr">
        <is>
          <t>TCWS2_FIXED_MODULE_SYNTHETIC_T4_ORDERED_STATES</t>
        </is>
      </c>
      <c r="B15" s="2" t="n">
        <v>0.65</v>
      </c>
      <c r="C15" s="2" t="n">
        <v>0.06844325650320288</v>
      </c>
      <c r="D15" s="2" t="n">
        <v>0.0202568830101653</v>
      </c>
      <c r="E15" s="2" t="n">
        <v>0.005608328140223573</v>
      </c>
      <c r="F15" s="2">
        <f>IF(AND(C15&gt;=D15,D15&gt;=E15),"PASS","FAIL")</f>
        <v/>
      </c>
    </row>
    <row r="16">
      <c r="A16" s="2" t="inlineStr">
        <is>
          <t>TCWS2_FIXED_MODULE_SYNTHETIC_T4_ORDERED_STATES</t>
        </is>
      </c>
      <c r="B16" s="2" t="n">
        <v>0.7</v>
      </c>
      <c r="C16" s="2" t="n">
        <v>0.0923313000907343</v>
      </c>
      <c r="D16" s="2" t="n">
        <v>0.02950019193088753</v>
      </c>
      <c r="E16" s="2" t="n">
        <v>0.009112963852222138</v>
      </c>
      <c r="F16" s="2">
        <f>IF(AND(C16&gt;=D16,D16&gt;=E16),"PASS","FAIL")</f>
        <v/>
      </c>
    </row>
    <row r="17">
      <c r="A17" s="2" t="inlineStr">
        <is>
          <t>TCWS2_FIXED_MODULE_SYNTHETIC_T4_ORDERED_STATES</t>
        </is>
      </c>
      <c r="B17" s="2" t="n">
        <v>0.75</v>
      </c>
      <c r="C17" s="2" t="n">
        <v>0.1210674026633391</v>
      </c>
      <c r="D17" s="2" t="n">
        <v>0.04081448554291224</v>
      </c>
      <c r="E17" s="2" t="n">
        <v>0.01375348515068857</v>
      </c>
      <c r="F17" s="2">
        <f>IF(AND(C17&gt;=D17,D17&gt;=E17),"PASS","FAIL")</f>
        <v/>
      </c>
    </row>
    <row r="18">
      <c r="A18" s="2" t="inlineStr">
        <is>
          <t>TCWS2_FIXED_MODULE_SYNTHETIC_T4_ORDERED_STATES</t>
        </is>
      </c>
      <c r="B18" s="2" t="n">
        <v>0.8</v>
      </c>
      <c r="C18" s="2" t="n">
        <v>0.1549908931629035</v>
      </c>
      <c r="D18" s="2" t="n">
        <v>0.05435766023657303</v>
      </c>
      <c r="E18" s="2" t="n">
        <v>0.01957549182091187</v>
      </c>
      <c r="F18" s="2">
        <f>IF(AND(C18&gt;=D18,D18&gt;=E18),"PASS","FAIL")</f>
        <v/>
      </c>
    </row>
    <row r="19">
      <c r="A19" s="2" t="inlineStr">
        <is>
          <t>TCWS2_FIXED_MODULE_SYNTHETIC_T4_ORDERED_STATES</t>
        </is>
      </c>
      <c r="B19" s="2" t="n">
        <v>0.85</v>
      </c>
      <c r="C19" s="2" t="n">
        <v>0.1941029319996739</v>
      </c>
      <c r="D19" s="2" t="n">
        <v>0.07035009724928953</v>
      </c>
      <c r="E19" s="2" t="n">
        <v>0.02659972484439055</v>
      </c>
      <c r="F19" s="2">
        <f>IF(AND(C19&gt;=D19,D19&gt;=E19),"PASS","FAIL")</f>
        <v/>
      </c>
    </row>
    <row r="20">
      <c r="A20" s="2" t="inlineStr">
        <is>
          <t>TCWS2_FIXED_MODULE_SYNTHETIC_T4_ORDERED_STATES</t>
        </is>
      </c>
      <c r="B20" s="2" t="n">
        <v>0.9</v>
      </c>
      <c r="C20" s="2" t="n">
        <v>0.2380131710621344</v>
      </c>
      <c r="D20" s="2" t="n">
        <v>0.08904544009402739</v>
      </c>
      <c r="E20" s="2" t="n">
        <v>0.03484924855283615</v>
      </c>
      <c r="F20" s="2">
        <f>IF(AND(C20&gt;=D20,D20&gt;=E20),"PASS","FAIL")</f>
        <v/>
      </c>
    </row>
    <row r="21">
      <c r="A21" s="2" t="inlineStr">
        <is>
          <t>TCWS2_FIXED_MODULE_SYNTHETIC_T4_ORDERED_STATES</t>
        </is>
      </c>
      <c r="B21" s="2" t="n">
        <v>0.95</v>
      </c>
      <c r="C21" s="2" t="n">
        <v>0.2859719312944213</v>
      </c>
      <c r="D21" s="2" t="n">
        <v>0.1106810230495516</v>
      </c>
      <c r="E21" s="2" t="n">
        <v>0.04437056784987967</v>
      </c>
      <c r="F21" s="2">
        <f>IF(AND(C21&gt;=D21,D21&gt;=E21),"PASS","FAIL")</f>
        <v/>
      </c>
    </row>
    <row r="22">
      <c r="A22" s="2" t="inlineStr">
        <is>
          <t>TCWS2_FIXED_MODULE_SYNTHETIC_T4_ORDERED_STATES</t>
        </is>
      </c>
      <c r="B22" s="2" t="n">
        <v>1</v>
      </c>
      <c r="C22" s="2" t="n">
        <v>0.3369614817679642</v>
      </c>
      <c r="D22" s="2" t="n">
        <v>0.1354252691814993</v>
      </c>
      <c r="E22" s="2" t="n">
        <v>0.05524376626749503</v>
      </c>
      <c r="F22" s="2">
        <f>IF(AND(C22&gt;=D22,D22&gt;=E22),"PASS","FAIL")</f>
        <v/>
      </c>
    </row>
    <row r="23">
      <c r="A23" s="2" t="inlineStr">
        <is>
          <t>TCWS2_FIXED_MODULE_SYNTHETIC_T4_ORDERED_STATES</t>
        </is>
      </c>
      <c r="B23" s="2" t="n">
        <v>1.05</v>
      </c>
      <c r="C23" s="2" t="n">
        <v>0.3898141285165838</v>
      </c>
      <c r="D23" s="2" t="n">
        <v>0.1633356048354831</v>
      </c>
      <c r="E23" s="2" t="n">
        <v>0.06758085294219661</v>
      </c>
      <c r="F23" s="2">
        <f>IF(AND(C23&gt;=D23,D23&gt;=E23),"PASS","FAIL")</f>
        <v/>
      </c>
    </row>
    <row r="24">
      <c r="A24" s="2" t="inlineStr">
        <is>
          <t>TCWS2_FIXED_MODULE_SYNTHETIC_T4_ORDERED_STATES</t>
        </is>
      </c>
      <c r="B24" s="2" t="n">
        <v>1.1</v>
      </c>
      <c r="C24" s="2" t="n">
        <v>0.4433296720924249</v>
      </c>
      <c r="D24" s="2" t="n">
        <v>0.1943343417644625</v>
      </c>
      <c r="E24" s="2" t="n">
        <v>0.08151451199964982</v>
      </c>
      <c r="F24" s="2">
        <f>IF(AND(C24&gt;=D24,D24&gt;=E24),"PASS","FAIL")</f>
        <v/>
      </c>
    </row>
    <row r="25">
      <c r="A25" s="2" t="inlineStr">
        <is>
          <t>TCWS2_FIXED_MODULE_SYNTHETIC_T4_ORDERED_STATES</t>
        </is>
      </c>
      <c r="B25" s="2" t="n">
        <v>1.15</v>
      </c>
      <c r="C25" s="2" t="n">
        <v>0.4963740932877102</v>
      </c>
      <c r="D25" s="2" t="n">
        <v>0.2282041774990116</v>
      </c>
      <c r="E25" s="2" t="n">
        <v>0.09718099034005331</v>
      </c>
      <c r="F25" s="2">
        <f>IF(AND(C25&gt;=D25,D25&gt;=E25),"PASS","FAIL")</f>
        <v/>
      </c>
    </row>
    <row r="26">
      <c r="A26" s="2" t="inlineStr">
        <is>
          <t>TCWS2_FIXED_MODULE_SYNTHETIC_T4_ORDERED_STATES</t>
        </is>
      </c>
      <c r="B26" s="2" t="n">
        <v>1.2</v>
      </c>
      <c r="C26" s="2" t="n">
        <v>0.5479507492774219</v>
      </c>
      <c r="D26" s="2" t="n">
        <v>0.2646007799014791</v>
      </c>
      <c r="E26" s="2" t="n">
        <v>0.1147011194861353</v>
      </c>
      <c r="F26" s="2">
        <f>IF(AND(C26&gt;=D26,D26&gt;=E26),"PASS","FAIL")</f>
        <v/>
      </c>
    </row>
    <row r="27">
      <c r="A27" s="2" t="inlineStr">
        <is>
          <t>TCWS2_FIXED_MODULE_SYNTHETIC_T4_ORDERED_STATES</t>
        </is>
      </c>
      <c r="B27" s="2" t="n">
        <v>1.25</v>
      </c>
      <c r="C27" s="2" t="n">
        <v>0.597242722984994</v>
      </c>
      <c r="D27" s="2" t="n">
        <v>0.3030776568469989</v>
      </c>
      <c r="E27" s="2" t="n">
        <v>0.1341628607326262</v>
      </c>
      <c r="F27" s="2">
        <f>IF(AND(C27&gt;=D27,D27&gt;=E27),"PASS","FAIL")</f>
        <v/>
      </c>
    </row>
    <row r="28">
      <c r="A28" s="2" t="inlineStr">
        <is>
          <t>TCWS2_FIXED_MODULE_SYNTHETIC_T4_ORDERED_STATES</t>
        </is>
      </c>
      <c r="B28" s="2" t="n">
        <v>1.3</v>
      </c>
      <c r="C28" s="2" t="n">
        <v>0.643629657476995</v>
      </c>
      <c r="D28" s="2" t="n">
        <v>0.3431178809109462</v>
      </c>
      <c r="E28" s="2" t="n">
        <v>0.1556077277508581</v>
      </c>
      <c r="F28" s="2">
        <f>IF(AND(C28&gt;=D28,D28&gt;=E28),"PASS","FAIL")</f>
        <v/>
      </c>
    </row>
    <row r="29">
      <c r="A29" s="2" t="inlineStr">
        <is>
          <t>TCWS2_FIXED_MODULE_SYNTHETIC_T4_ORDERED_STATES</t>
        </is>
      </c>
      <c r="B29" s="2" t="n">
        <v>1.35</v>
      </c>
      <c r="C29" s="2" t="n">
        <v>0.6866847052080773</v>
      </c>
      <c r="D29" s="2" t="n">
        <v>0.3841677257448019</v>
      </c>
      <c r="E29" s="2" t="n">
        <v>0.1790223237519013</v>
      </c>
      <c r="F29" s="2">
        <f>IF(AND(C29&gt;=D29,D29&gt;=E29),"PASS","FAIL")</f>
        <v/>
      </c>
    </row>
    <row r="30">
      <c r="A30" s="2" t="inlineStr">
        <is>
          <t>TCWS2_FIXED_MODULE_SYNTHETIC_T4_ORDERED_STATES</t>
        </is>
      </c>
      <c r="B30" s="2" t="n">
        <v>1.4</v>
      </c>
      <c r="C30" s="2" t="n">
        <v>0.7261577669262451</v>
      </c>
      <c r="D30" s="2" t="n">
        <v>0.4256683577275331</v>
      </c>
      <c r="E30" s="2" t="n">
        <v>0.204335253450651</v>
      </c>
      <c r="F30" s="2">
        <f>IF(AND(C30&gt;=D30,D30&gt;=E30),"PASS","FAIL")</f>
        <v/>
      </c>
    </row>
    <row r="31">
      <c r="A31" s="2" t="inlineStr">
        <is>
          <t>TCWS2_FIXED_MODULE_SYNTHETIC_T4_ORDERED_STATES</t>
        </is>
      </c>
      <c r="B31" s="2" t="n">
        <v>1.45</v>
      </c>
      <c r="C31" s="2" t="n">
        <v>0.7619506579151034</v>
      </c>
      <c r="D31" s="2" t="n">
        <v>0.4670830048536969</v>
      </c>
      <c r="E31" s="2" t="n">
        <v>0.2314189417598012</v>
      </c>
      <c r="F31" s="2">
        <f>IF(AND(C31&gt;=D31,D31&gt;=E31),"PASS","FAIL")</f>
        <v/>
      </c>
    </row>
    <row r="32">
      <c r="A32" s="2" t="inlineStr">
        <is>
          <t>TCWS2_FIXED_MODULE_SYNTHETIC_T4_ORDERED_STATES</t>
        </is>
      </c>
      <c r="B32" s="2" t="n">
        <v>1.5</v>
      </c>
      <c r="C32" s="2" t="n">
        <v>0.7940887694315921</v>
      </c>
      <c r="D32" s="2" t="n">
        <v>0.5079182254178265</v>
      </c>
      <c r="E32" s="2" t="n">
        <v>0.2600954353608739</v>
      </c>
      <c r="F32" s="2">
        <f>IF(AND(C32&gt;=D32,D32&gt;=E32),"PASS","FAIL")</f>
        <v/>
      </c>
    </row>
    <row r="33">
      <c r="A33" s="2" t="inlineStr">
        <is>
          <t>TCWS2_FIXED_MODULE_SYNTHETIC_T4_ORDERED_STATES</t>
        </is>
      </c>
      <c r="B33" s="2" t="n">
        <v>1.55</v>
      </c>
      <c r="C33" s="2" t="n">
        <v>0.8226925739863166</v>
      </c>
      <c r="D33" s="2" t="n">
        <v>0.5477388780834123</v>
      </c>
      <c r="E33" s="2" t="n">
        <v>0.2901450517344224</v>
      </c>
      <c r="F33" s="2">
        <f>IF(AND(C33&gt;=D33,D33&gt;=E33),"PASS","FAIL")</f>
        <v/>
      </c>
    </row>
    <row r="34">
      <c r="A34" s="2" t="inlineStr">
        <is>
          <t>TCWS2_FIXED_MODULE_SYNTHETIC_T4_ORDERED_STATES</t>
        </is>
      </c>
      <c r="B34" s="2" t="n">
        <v>1.6</v>
      </c>
      <c r="C34" s="2" t="n">
        <v>0.8479511847746658</v>
      </c>
      <c r="D34" s="2" t="n">
        <v>0.5861771023365916</v>
      </c>
      <c r="E34" s="2" t="n">
        <v>0.321316719098263</v>
      </c>
      <c r="F34" s="2">
        <f>IF(AND(C34&gt;=D34,D34&gt;=E34),"PASS","FAIL")</f>
        <v/>
      </c>
    </row>
    <row r="35">
      <c r="A35" s="2" t="inlineStr">
        <is>
          <t>TCWS2_FIXED_MODULE_SYNTHETIC_T4_ORDERED_STATES</t>
        </is>
      </c>
      <c r="B35" s="2" t="n">
        <v>1.65</v>
      </c>
      <c r="C35" s="2" t="n">
        <v>0.8700992351464794</v>
      </c>
      <c r="D35" s="2" t="n">
        <v>0.6229360641257069</v>
      </c>
      <c r="E35" s="2" t="n">
        <v>0.3533389597625771</v>
      </c>
      <c r="F35" s="2">
        <f>IF(AND(C35&gt;=D35,D35&gt;=E35),"PASS","FAIL")</f>
        <v/>
      </c>
    </row>
    <row r="36">
      <c r="A36" s="2" t="inlineStr">
        <is>
          <t>TCWS2_FIXED_MODULE_SYNTHETIC_T4_ORDERED_STATES</t>
        </is>
      </c>
      <c r="B36" s="2" t="n">
        <v>1.7</v>
      </c>
      <c r="C36" s="2" t="n">
        <v>0.8893976279924007</v>
      </c>
      <c r="D36" s="2" t="n">
        <v>0.6577894476364179</v>
      </c>
      <c r="E36" s="2" t="n">
        <v>0.3859306535176709</v>
      </c>
      <c r="F36" s="2">
        <f>IF(AND(C36&gt;=D36,D36&gt;=E36),"PASS","FAIL")</f>
        <v/>
      </c>
    </row>
    <row r="37">
      <c r="A37" s="2" t="inlineStr">
        <is>
          <t>TCWS2_FIXED_MODULE_SYNTHETIC_T4_ORDERED_STATES</t>
        </is>
      </c>
      <c r="B37" s="2" t="n">
        <v>1.75</v>
      </c>
      <c r="C37" s="2" t="n">
        <v>0.9061182057292647</v>
      </c>
      <c r="D37" s="2" t="n">
        <v>0.6905777344098031</v>
      </c>
      <c r="E37" s="2" t="n">
        <v>0.4188109324276787</v>
      </c>
      <c r="F37" s="2">
        <f>IF(AND(C37&gt;=D37,D37&gt;=E37),"PASS","FAIL")</f>
        <v/>
      </c>
    </row>
    <row r="38">
      <c r="A38" s="2" t="inlineStr">
        <is>
          <t>TCWS2_FIXED_MODULE_SYNTHETIC_T4_ORDERED_STATES</t>
        </is>
      </c>
      <c r="B38" s="2" t="n">
        <v>1.8</v>
      </c>
      <c r="C38" s="2" t="n">
        <v>0.9205320751042783</v>
      </c>
      <c r="D38" s="2" t="n">
        <v>0.7212022583160002</v>
      </c>
      <c r="E38" s="2" t="n">
        <v>0.4517077717764015</v>
      </c>
      <c r="F38" s="2">
        <f>IF(AND(C38&gt;=D38,D38&gt;=E38),"PASS","FAIL")</f>
        <v/>
      </c>
    </row>
    <row r="39">
      <c r="A39" s="2" t="inlineStr">
        <is>
          <t>TCWS2_FIXED_MODULE_SYNTHETIC_T4_ORDERED_STATES</t>
        </is>
      </c>
      <c r="B39" s="2" t="n">
        <v>1.85</v>
      </c>
      <c r="C39" s="2" t="n">
        <v>0.9329011460473241</v>
      </c>
      <c r="D39" s="2" t="n">
        <v>0.7496179046650453</v>
      </c>
      <c r="E39" s="2" t="n">
        <v>0.4843650334108252</v>
      </c>
      <c r="F39" s="2">
        <f>IF(AND(C39&gt;=D39,D39&gt;=E39),"PASS","FAIL")</f>
        <v/>
      </c>
    </row>
    <row r="40">
      <c r="A40" s="2" t="inlineStr">
        <is>
          <t>TCWS2_FIXED_MODULE_SYNTHETIC_T4_ORDERED_STATES</t>
        </is>
      </c>
      <c r="B40" s="2" t="n">
        <v>1.9</v>
      </c>
      <c r="C40" s="2" t="n">
        <v>0.9434723706348583</v>
      </c>
      <c r="D40" s="2" t="n">
        <v>0.7758251692821729</v>
      </c>
      <c r="E40" s="2" t="n">
        <v>0.5165478763946597</v>
      </c>
      <c r="F40" s="2">
        <f>IF(AND(C40&gt;=D40,D40&gt;=E40),"PASS","FAIL")</f>
        <v/>
      </c>
    </row>
    <row r="41">
      <c r="A41" s="2" t="inlineStr">
        <is>
          <t>TCWS2_FIXED_MODULE_SYNTHETIC_T4_ORDERED_STATES</t>
        </is>
      </c>
      <c r="B41" s="2" t="n">
        <v>1.95</v>
      </c>
      <c r="C41" s="2" t="n">
        <v>0.9524741631075528</v>
      </c>
      <c r="D41" s="2" t="n">
        <v>0.7998621338567028</v>
      </c>
      <c r="E41" s="2" t="n">
        <v>0.5480465718953115</v>
      </c>
      <c r="F41" s="2">
        <f>IF(AND(C41&gt;=D41,D41&gt;=E41),"PASS","FAIL")</f>
        <v/>
      </c>
    </row>
    <row r="42">
      <c r="A42" s="2" t="inlineStr">
        <is>
          <t>TCWS2_FIXED_MODULE_SYNTHETIC_T4_ORDERED_STATES</t>
        </is>
      </c>
      <c r="B42" s="2" t="n">
        <v>2</v>
      </c>
      <c r="C42" s="2" t="n">
        <v>0.9601145182864417</v>
      </c>
      <c r="D42" s="2" t="n">
        <v>0.821796763590911</v>
      </c>
      <c r="E42" s="2" t="n">
        <v>0.5786788456145704</v>
      </c>
      <c r="F42" s="2">
        <f>IF(AND(C42&gt;=D42,D42&gt;=E42),"PASS","FAIL")</f>
        <v/>
      </c>
    </row>
    <row r="43">
      <c r="A43" s="2" t="inlineStr">
        <is>
          <t>TCWS2_FIXED_STRUCTURE_SYNTHETIC_T4_ORDERED_STATES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>
        <f>IF(AND(C43&gt;=D43,D43&gt;=E43),"PASS","FAIL")</f>
        <v/>
      </c>
    </row>
    <row r="44">
      <c r="A44" s="2" t="inlineStr">
        <is>
          <t>TCWS2_FIXED_STRUCTURE_SYNTHETIC_T4_ORDERED_STATES</t>
        </is>
      </c>
      <c r="B44" s="2" t="n">
        <v>0.05</v>
      </c>
      <c r="C44" s="2" t="n">
        <v>4.286053537000013e-23</v>
      </c>
      <c r="D44" s="2" t="n">
        <v>1.080117846333034e-26</v>
      </c>
      <c r="E44" s="2" t="n">
        <v>2.323329941484595e-30</v>
      </c>
      <c r="F44" s="2">
        <f>IF(AND(C44&gt;=D44,D44&gt;=E44),"PASS","FAIL")</f>
        <v/>
      </c>
    </row>
    <row r="45">
      <c r="A45" s="2" t="inlineStr">
        <is>
          <t>TCWS2_FIXED_STRUCTURE_SYNTHETIC_T4_ORDERED_STATES</t>
        </is>
      </c>
      <c r="B45" s="2" t="n">
        <v>0.1</v>
      </c>
      <c r="C45" s="2" t="n">
        <v>1.809151600066805e-14</v>
      </c>
      <c r="D45" s="2" t="n">
        <v>2.939143347547974e-17</v>
      </c>
      <c r="E45" s="2" t="n">
        <v>3.699238236118768e-20</v>
      </c>
      <c r="F45" s="2">
        <f>IF(AND(C45&gt;=D45,D45&gt;=E45),"PASS","FAIL")</f>
        <v/>
      </c>
    </row>
    <row r="46">
      <c r="A46" s="2" t="inlineStr">
        <is>
          <t>TCWS2_FIXED_STRUCTURE_SYNTHETIC_T4_ORDERED_STATES</t>
        </is>
      </c>
      <c r="B46" s="2" t="n">
        <v>0.15</v>
      </c>
      <c r="C46" s="2" t="n">
        <v>1.769700070299485e-10</v>
      </c>
      <c r="D46" s="2" t="n">
        <v>8.46271560264148e-13</v>
      </c>
      <c r="E46" s="2" t="n">
        <v>2.975758690631008e-15</v>
      </c>
      <c r="F46" s="2">
        <f>IF(AND(C46&gt;=D46,D46&gt;=E46),"PASS","FAIL")</f>
        <v/>
      </c>
    </row>
    <row r="47">
      <c r="A47" s="2" t="inlineStr">
        <is>
          <t>TCWS2_FIXED_STRUCTURE_SYNTHETIC_T4_ORDERED_STATES</t>
        </is>
      </c>
      <c r="B47" s="2" t="n">
        <v>0.2</v>
      </c>
      <c r="C47" s="2" t="n">
        <v>4.106034502303714e-08</v>
      </c>
      <c r="D47" s="2" t="n">
        <v>4.177690856247925e-10</v>
      </c>
      <c r="E47" s="2" t="n">
        <v>3.028509791761562e-12</v>
      </c>
      <c r="F47" s="2">
        <f>IF(AND(C47&gt;=D47,D47&gt;=E47),"PASS","FAIL")</f>
        <v/>
      </c>
    </row>
    <row r="48">
      <c r="A48" s="2" t="inlineStr">
        <is>
          <t>TCWS2_FIXED_STRUCTURE_SYNTHETIC_T4_ORDERED_STATES</t>
        </is>
      </c>
      <c r="B48" s="2" t="n">
        <v>0.25</v>
      </c>
      <c r="C48" s="2" t="n">
        <v>1.540039784447521e-06</v>
      </c>
      <c r="D48" s="2" t="n">
        <v>2.78088161178309e-08</v>
      </c>
      <c r="E48" s="2" t="n">
        <v>3.513451891307268e-10</v>
      </c>
      <c r="F48" s="2">
        <f>IF(AND(C48&gt;=D48,D48&gt;=E48),"PASS","FAIL")</f>
        <v/>
      </c>
    </row>
    <row r="49">
      <c r="A49" s="2" t="inlineStr">
        <is>
          <t>TCWS2_FIXED_STRUCTURE_SYNTHETIC_T4_ORDERED_STATES</t>
        </is>
      </c>
      <c r="B49" s="2" t="n">
        <v>0.3</v>
      </c>
      <c r="C49" s="2" t="n">
        <v>2.038923773379422e-05</v>
      </c>
      <c r="D49" s="2" t="n">
        <v>5.808362129099162e-07</v>
      </c>
      <c r="E49" s="2" t="n">
        <v>1.148399453633363e-08</v>
      </c>
      <c r="F49" s="2">
        <f>IF(AND(C49&gt;=D49,D49&gt;=E49),"PASS","FAIL")</f>
        <v/>
      </c>
    </row>
    <row r="50">
      <c r="A50" s="2" t="inlineStr">
        <is>
          <t>TCWS2_FIXED_STRUCTURE_SYNTHETIC_T4_ORDERED_STATES</t>
        </is>
      </c>
      <c r="B50" s="2" t="n">
        <v>0.35</v>
      </c>
      <c r="C50" s="2" t="n">
        <v>0.0001402317746112815</v>
      </c>
      <c r="D50" s="2" t="n">
        <v>5.797433031357862e-06</v>
      </c>
      <c r="E50" s="2" t="n">
        <v>1.662993588623443e-07</v>
      </c>
      <c r="F50" s="2">
        <f>IF(AND(C50&gt;=D50,D50&gt;=E50),"PASS","FAIL")</f>
        <v/>
      </c>
    </row>
    <row r="51">
      <c r="A51" s="2" t="inlineStr">
        <is>
          <t>TCWS2_FIXED_STRUCTURE_SYNTHETIC_T4_ORDERED_STATES</t>
        </is>
      </c>
      <c r="B51" s="2" t="n">
        <v>0.4</v>
      </c>
      <c r="C51" s="2" t="n">
        <v>0.0006215603304590085</v>
      </c>
      <c r="D51" s="2" t="n">
        <v>3.503362116851149e-05</v>
      </c>
      <c r="E51" s="2" t="n">
        <v>1.377753805688505e-06</v>
      </c>
      <c r="F51" s="2">
        <f>IF(AND(C51&gt;=D51,D51&gt;=E51),"PASS","FAIL")</f>
        <v/>
      </c>
    </row>
    <row r="52">
      <c r="A52" s="2" t="inlineStr">
        <is>
          <t>TCWS2_FIXED_STRUCTURE_SYNTHETIC_T4_ORDERED_STATES</t>
        </is>
      </c>
      <c r="B52" s="2" t="n">
        <v>0.45</v>
      </c>
      <c r="C52" s="2" t="n">
        <v>0.002022572943305496</v>
      </c>
      <c r="D52" s="2" t="n">
        <v>0.0001481207723799643</v>
      </c>
      <c r="E52" s="2" t="n">
        <v>7.640767439992756e-06</v>
      </c>
      <c r="F52" s="2">
        <f>IF(AND(C52&gt;=D52,D52&gt;=E52),"PASS","FAIL")</f>
        <v/>
      </c>
    </row>
    <row r="53">
      <c r="A53" s="2" t="inlineStr">
        <is>
          <t>TCWS2_FIXED_STRUCTURE_SYNTHETIC_T4_ORDERED_STATES</t>
        </is>
      </c>
      <c r="B53" s="2" t="n">
        <v>0.5</v>
      </c>
      <c r="C53" s="2" t="n">
        <v>0.005252031075627779</v>
      </c>
      <c r="D53" s="2" t="n">
        <v>0.0004812885622976887</v>
      </c>
      <c r="E53" s="2" t="n">
        <v>3.142812819254983e-05</v>
      </c>
      <c r="F53" s="2">
        <f>IF(AND(C53&gt;=D53,D53&gt;=E53),"PASS","FAIL")</f>
        <v/>
      </c>
    </row>
    <row r="54">
      <c r="A54" s="2" t="inlineStr">
        <is>
          <t>TCWS2_FIXED_STRUCTURE_SYNTHETIC_T4_ORDERED_STATES</t>
        </is>
      </c>
      <c r="B54" s="2" t="n">
        <v>0.55</v>
      </c>
      <c r="C54" s="2" t="n">
        <v>0.01150656371605699</v>
      </c>
      <c r="D54" s="2" t="n">
        <v>0.001280972625663739</v>
      </c>
      <c r="E54" s="2" t="n">
        <v>0.0001028442043879718</v>
      </c>
      <c r="F54" s="2">
        <f>IF(AND(C54&gt;=D54,D54&gt;=E54),"PASS","FAIL")</f>
        <v/>
      </c>
    </row>
    <row r="55">
      <c r="A55" s="2" t="inlineStr">
        <is>
          <t>TCWS2_FIXED_STRUCTURE_SYNTHETIC_T4_ORDERED_STATES</t>
        </is>
      </c>
      <c r="B55" s="2" t="n">
        <v>0.6</v>
      </c>
      <c r="C55" s="2" t="n">
        <v>0.02210486844972434</v>
      </c>
      <c r="D55" s="2" t="n">
        <v>0.00292061288353405</v>
      </c>
      <c r="E55" s="2" t="n">
        <v>0.0002814055829753327</v>
      </c>
      <c r="F55" s="2">
        <f>IF(AND(C55&gt;=D55,D55&gt;=E55),"PASS","FAIL")</f>
        <v/>
      </c>
    </row>
    <row r="56">
      <c r="A56" s="2" t="inlineStr">
        <is>
          <t>TCWS2_FIXED_STRUCTURE_SYNTHETIC_T4_ORDERED_STATES</t>
        </is>
      </c>
      <c r="B56" s="2" t="n">
        <v>0.65</v>
      </c>
      <c r="C56" s="2" t="n">
        <v>0.0382713487683269</v>
      </c>
      <c r="D56" s="2" t="n">
        <v>0.005891883297123116</v>
      </c>
      <c r="E56" s="2" t="n">
        <v>0.0006676663866744555</v>
      </c>
      <c r="F56" s="2">
        <f>IF(AND(C56&gt;=D56,D56&gt;=E56),"PASS","FAIL")</f>
        <v/>
      </c>
    </row>
    <row r="57">
      <c r="A57" s="2" t="inlineStr">
        <is>
          <t>TCWS2_FIXED_STRUCTURE_SYNTHETIC_T4_ORDERED_STATES</t>
        </is>
      </c>
      <c r="B57" s="2" t="n">
        <v>0.7</v>
      </c>
      <c r="C57" s="2" t="n">
        <v>0.06093024193194276</v>
      </c>
      <c r="D57" s="2" t="n">
        <v>0.0107708063167623</v>
      </c>
      <c r="E57" s="2" t="n">
        <v>0.001411426244032948</v>
      </c>
      <c r="F57" s="2">
        <f>IF(AND(C57&gt;=D57,D57&gt;=E57),"PASS","FAIL")</f>
        <v/>
      </c>
    </row>
    <row r="58">
      <c r="A58" s="2" t="inlineStr">
        <is>
          <t>TCWS2_FIXED_STRUCTURE_SYNTHETIC_T4_ORDERED_STATES</t>
        </is>
      </c>
      <c r="B58" s="2" t="n">
        <v>0.75</v>
      </c>
      <c r="C58" s="2" t="n">
        <v>0.09055773187676869</v>
      </c>
      <c r="D58" s="2" t="n">
        <v>0.01816586205770423</v>
      </c>
      <c r="E58" s="2" t="n">
        <v>0.00271405813361653</v>
      </c>
      <c r="F58" s="2">
        <f>IF(AND(C58&gt;=D58,D58&gt;=E58),"PASS","FAIL")</f>
        <v/>
      </c>
    </row>
    <row r="59">
      <c r="A59" s="2" t="inlineStr">
        <is>
          <t>TCWS2_FIXED_STRUCTURE_SYNTHETIC_T4_ORDERED_STATES</t>
        </is>
      </c>
      <c r="B59" s="2" t="n">
        <v>0.8</v>
      </c>
      <c r="C59" s="2" t="n">
        <v>0.1271162195279195</v>
      </c>
      <c r="D59" s="2" t="n">
        <v>0.02865807056900645</v>
      </c>
      <c r="E59" s="2" t="n">
        <v>0.004823968007864887</v>
      </c>
      <c r="F59" s="2">
        <f>IF(AND(C59&gt;=D59,D59&gt;=E59),"PASS","FAIL")</f>
        <v/>
      </c>
    </row>
    <row r="60">
      <c r="A60" s="2" t="inlineStr">
        <is>
          <t>TCWS2_FIXED_STRUCTURE_SYNTHETIC_T4_ORDERED_STATES</t>
        </is>
      </c>
      <c r="B60" s="2" t="n">
        <v>0.85</v>
      </c>
      <c r="C60" s="2" t="n">
        <v>0.1700714003833886</v>
      </c>
      <c r="D60" s="2" t="n">
        <v>0.0427429212798181</v>
      </c>
      <c r="E60" s="2" t="n">
        <v>0.008025652693973486</v>
      </c>
      <c r="F60" s="2">
        <f>IF(AND(C60&gt;=D60,D60&gt;=E60),"PASS","FAIL")</f>
        <v/>
      </c>
    </row>
    <row r="61">
      <c r="A61" s="2" t="inlineStr">
        <is>
          <t>TCWS2_FIXED_STRUCTURE_SYNTHETIC_T4_ORDERED_STATES</t>
        </is>
      </c>
      <c r="B61" s="2" t="n">
        <v>0.9</v>
      </c>
      <c r="C61" s="2" t="n">
        <v>0.2184752615456833</v>
      </c>
      <c r="D61" s="2" t="n">
        <v>0.06078217612368342</v>
      </c>
      <c r="E61" s="2" t="n">
        <v>0.01262385269078979</v>
      </c>
      <c r="F61" s="2">
        <f>IF(AND(C61&gt;=D61,D61&gt;=E61),"PASS","FAIL")</f>
        <v/>
      </c>
    </row>
    <row r="62">
      <c r="A62" s="2" t="inlineStr">
        <is>
          <t>TCWS2_FIXED_STRUCTURE_SYNTHETIC_T4_ORDERED_STATES</t>
        </is>
      </c>
      <c r="B62" s="2" t="n">
        <v>0.95</v>
      </c>
      <c r="C62" s="2" t="n">
        <v>0.2710891948994127</v>
      </c>
      <c r="D62" s="2" t="n">
        <v>0.08297088826897042</v>
      </c>
      <c r="E62" s="2" t="n">
        <v>0.01892481601634929</v>
      </c>
      <c r="F62" s="2">
        <f>IF(AND(C62&gt;=D62,D62&gt;=E62),"PASS","FAIL")</f>
        <v/>
      </c>
    </row>
    <row r="63">
      <c r="A63" s="2" t="inlineStr">
        <is>
          <t>TCWS2_FIXED_STRUCTURE_SYNTHETIC_T4_ORDERED_STATES</t>
        </is>
      </c>
      <c r="B63" s="2" t="n">
        <v>1</v>
      </c>
      <c r="C63" s="2" t="n">
        <v>0.3265206097954518</v>
      </c>
      <c r="D63" s="2" t="n">
        <v>0.1093220594751285</v>
      </c>
      <c r="E63" s="2" t="n">
        <v>0.02721678851657101</v>
      </c>
      <c r="F63" s="2">
        <f>IF(AND(C63&gt;=D63,D63&gt;=E63),"PASS","FAIL")</f>
        <v/>
      </c>
    </row>
    <row r="64">
      <c r="A64" s="2" t="inlineStr">
        <is>
          <t>TCWS2_FIXED_STRUCTURE_SYNTHETIC_T4_ORDERED_STATES</t>
        </is>
      </c>
      <c r="B64" s="2" t="n">
        <v>1.05</v>
      </c>
      <c r="C64" s="2" t="n">
        <v>0.3833512368532183</v>
      </c>
      <c r="D64" s="2" t="n">
        <v>0.1396686576633912</v>
      </c>
      <c r="E64" s="2" t="n">
        <v>0.037751658215125</v>
      </c>
      <c r="F64" s="2">
        <f>IF(AND(C64&gt;=D64,D64&gt;=E64),"PASS","FAIL")</f>
        <v/>
      </c>
    </row>
    <row r="65">
      <c r="A65" s="2" t="inlineStr">
        <is>
          <t>TCWS2_FIXED_STRUCTURE_SYNTHETIC_T4_ORDERED_STATES</t>
        </is>
      </c>
      <c r="B65" s="2" t="n">
        <v>1.1</v>
      </c>
      <c r="C65" s="2" t="n">
        <v>0.4402427364166265</v>
      </c>
      <c r="D65" s="2" t="n">
        <v>0.1736805764549707</v>
      </c>
      <c r="E65" s="2" t="n">
        <v>0.05072931873947692</v>
      </c>
      <c r="F65" s="2">
        <f>IF(AND(C65&gt;=D65,D65&gt;=E65),"PASS","FAIL")</f>
        <v/>
      </c>
    </row>
    <row r="66">
      <c r="A66" s="2" t="inlineStr">
        <is>
          <t>TCWS2_FIXED_STRUCTURE_SYNTHETIC_T4_ORDERED_STATES</t>
        </is>
      </c>
      <c r="B66" s="2" t="n">
        <v>1.15</v>
      </c>
      <c r="C66" s="2" t="n">
        <v>0.4960127705648158</v>
      </c>
      <c r="D66" s="2" t="n">
        <v>0.2108927433716585</v>
      </c>
      <c r="E66" s="2" t="n">
        <v>0.06628586132433323</v>
      </c>
      <c r="F66" s="2">
        <f>IF(AND(C66&gt;=D66,D66&gt;=E66),"PASS","FAIL")</f>
        <v/>
      </c>
    </row>
    <row r="67">
      <c r="A67" s="2" t="inlineStr">
        <is>
          <t>TCWS2_FIXED_STRUCTURE_SYNTHETIC_T4_ORDERED_STATES</t>
        </is>
      </c>
      <c r="B67" s="2" t="n">
        <v>1.2</v>
      </c>
      <c r="C67" s="2" t="n">
        <v>0.5496808361978206</v>
      </c>
      <c r="D67" s="2" t="n">
        <v>0.2507400108764023</v>
      </c>
      <c r="E67" s="2" t="n">
        <v>0.08448621781405238</v>
      </c>
      <c r="F67" s="2">
        <f>IF(AND(C67&gt;=D67,D67&gt;=E67),"PASS","FAIL")</f>
        <v/>
      </c>
    </row>
    <row r="68">
      <c r="A68" s="2" t="inlineStr">
        <is>
          <t>TCWS2_FIXED_STRUCTURE_SYNTHETIC_T4_ORDERED_STATES</t>
        </is>
      </c>
      <c r="B68" s="2" t="n">
        <v>1.25</v>
      </c>
      <c r="C68" s="2" t="n">
        <v>0.6004872855163433</v>
      </c>
      <c r="D68" s="2" t="n">
        <v>0.2925945876118983</v>
      </c>
      <c r="E68" s="2" t="n">
        <v>0.1053214087730929</v>
      </c>
      <c r="F68" s="2">
        <f>IF(AND(C68&gt;=D68,D68&gt;=E68),"PASS","FAIL")</f>
        <v/>
      </c>
    </row>
    <row r="69">
      <c r="A69" s="2" t="inlineStr">
        <is>
          <t>TCWS2_FIXED_STRUCTURE_SYNTHETIC_T4_ORDERED_STATES</t>
        </is>
      </c>
      <c r="B69" s="2" t="n">
        <v>1.3</v>
      </c>
      <c r="C69" s="2" t="n">
        <v>0.6478911347045326</v>
      </c>
      <c r="D69" s="2" t="n">
        <v>0.3358023899752522</v>
      </c>
      <c r="E69" s="2" t="n">
        <v>0.128710142555561</v>
      </c>
      <c r="F69" s="2">
        <f>IF(AND(C69&gt;=D69,D69&gt;=E69),"PASS","FAIL")</f>
        <v/>
      </c>
    </row>
    <row r="70">
      <c r="A70" s="2" t="inlineStr">
        <is>
          <t>TCWS2_FIXED_STRUCTURE_SYNTHETIC_T4_ORDERED_STATES</t>
        </is>
      </c>
      <c r="B70" s="2" t="n">
        <v>1.35</v>
      </c>
      <c r="C70" s="2" t="n">
        <v>0.6915528875441721</v>
      </c>
      <c r="D70" s="2" t="n">
        <v>0.3797155941167161</v>
      </c>
      <c r="E70" s="2" t="n">
        <v>0.1545041928726501</v>
      </c>
      <c r="F70" s="2">
        <f>IF(AND(C70&gt;=D70,D70&gt;=E70),"PASS","FAIL")</f>
        <v/>
      </c>
    </row>
    <row r="71">
      <c r="A71" s="2" t="inlineStr">
        <is>
          <t>TCWS2_FIXED_STRUCTURE_SYNTHETIC_T4_ORDERED_STATES</t>
        </is>
      </c>
      <c r="B71" s="2" t="n">
        <v>1.4</v>
      </c>
      <c r="C71" s="2" t="n">
        <v>0.7313081904374645</v>
      </c>
      <c r="D71" s="2" t="n">
        <v>0.4237196462997609</v>
      </c>
      <c r="E71" s="2" t="n">
        <v>0.1824967698592375</v>
      </c>
      <c r="F71" s="2">
        <f>IF(AND(C71&gt;=D71,D71&gt;=E71),"PASS","FAIL")</f>
        <v/>
      </c>
    </row>
    <row r="72">
      <c r="A72" s="2" t="inlineStr">
        <is>
          <t>TCWS2_FIXED_STRUCTURE_SYNTHETIC_T4_ORDERED_STATES</t>
        </is>
      </c>
      <c r="B72" s="2" t="n">
        <v>1.45</v>
      </c>
      <c r="C72" s="2" t="n">
        <v>0.7671371585980459</v>
      </c>
      <c r="D72" s="2" t="n">
        <v>0.4672538968769043</v>
      </c>
      <c r="E72" s="2" t="n">
        <v>0.212432994200169</v>
      </c>
      <c r="F72" s="2">
        <f>IF(AND(C72&gt;=D72,D72&gt;=E72),"PASS","FAIL")</f>
        <v/>
      </c>
    </row>
    <row r="73">
      <c r="A73" s="2" t="inlineStr">
        <is>
          <t>TCWS2_FIXED_STRUCTURE_SYNTHETIC_T4_ORDERED_STATES</t>
        </is>
      </c>
      <c r="B73" s="2" t="n">
        <v>1.5</v>
      </c>
      <c r="C73" s="2" t="n">
        <v>0.7991330294747448</v>
      </c>
      <c r="D73" s="2" t="n">
        <v>0.5098257698142953</v>
      </c>
      <c r="E73" s="2" t="n">
        <v>0.2440215745400904</v>
      </c>
      <c r="F73" s="2">
        <f>IF(AND(C73&gt;=D73,D73&gt;=E73),"PASS","FAIL")</f>
        <v/>
      </c>
    </row>
    <row r="74">
      <c r="A74" s="2" t="inlineStr">
        <is>
          <t>TCWS2_FIXED_STRUCTURE_SYNTHETIC_T4_ORDERED_STATES</t>
        </is>
      </c>
      <c r="B74" s="2" t="n">
        <v>1.55</v>
      </c>
      <c r="C74" s="2" t="n">
        <v>0.8274726455903331</v>
      </c>
      <c r="D74" s="2" t="n">
        <v>0.5510189276402956</v>
      </c>
      <c r="E74" s="2" t="n">
        <v>0.2769468558048342</v>
      </c>
      <c r="F74" s="2">
        <f>IF(AND(C74&gt;=D74,D74&gt;=E74),"PASS","FAIL")</f>
        <v/>
      </c>
    </row>
    <row r="75">
      <c r="A75" s="2" t="inlineStr">
        <is>
          <t>TCWS2_FIXED_STRUCTURE_SYNTHETIC_T4_ORDERED_STATES</t>
        </is>
      </c>
      <c r="B75" s="2" t="n">
        <v>1.6</v>
      </c>
      <c r="C75" s="2" t="n">
        <v>0.8523902758917138</v>
      </c>
      <c r="D75" s="2" t="n">
        <v>0.5904962416959095</v>
      </c>
      <c r="E75" s="2" t="n">
        <v>0.310880526917227</v>
      </c>
      <c r="F75" s="2">
        <f>IF(AND(C75&gt;=D75,D75&gt;=E75),"PASS","FAIL")</f>
        <v/>
      </c>
    </row>
    <row r="76">
      <c r="A76" s="2" t="inlineStr">
        <is>
          <t>TCWS2_FIXED_STRUCTURE_SYNTHETIC_T4_ORDERED_STATES</t>
        </is>
      </c>
      <c r="B76" s="2" t="n">
        <v>1.65</v>
      </c>
      <c r="C76" s="2" t="n">
        <v>0.8741555053230488</v>
      </c>
      <c r="D76" s="2" t="n">
        <v>0.6279985548335431</v>
      </c>
      <c r="E76" s="2" t="n">
        <v>0.3454924274002139</v>
      </c>
      <c r="F76" s="2">
        <f>IF(AND(C76&gt;=D76,D76&gt;=E76),"PASS","FAIL")</f>
        <v/>
      </c>
    </row>
    <row r="77">
      <c r="A77" s="2" t="inlineStr">
        <is>
          <t>TCWS2_FIXED_STRUCTURE_SYNTHETIC_T4_ORDERED_STATES</t>
        </is>
      </c>
      <c r="B77" s="2" t="n">
        <v>1.7</v>
      </c>
      <c r="C77" s="2" t="n">
        <v>0.8930553591265825</v>
      </c>
      <c r="D77" s="2" t="n">
        <v>0.6633402652628178</v>
      </c>
      <c r="E77" s="2" t="n">
        <v>0.3804600530563331</v>
      </c>
      <c r="F77" s="2">
        <f>IF(AND(C77&gt;=D77,D77&gt;=E77),"PASS","FAIL")</f>
        <v/>
      </c>
    </row>
    <row r="78">
      <c r="A78" s="2" t="inlineStr">
        <is>
          <t>TCWS2_FIXED_STRUCTURE_SYNTHETIC_T4_ORDERED_STATES</t>
        </is>
      </c>
      <c r="B78" s="2" t="n">
        <v>1.75</v>
      </c>
      <c r="C78" s="2" t="n">
        <v>0.9093804559274955</v>
      </c>
      <c r="D78" s="2" t="n">
        <v>0.6964027055903425</v>
      </c>
      <c r="E78" s="2" t="n">
        <v>0.4154765152537057</v>
      </c>
      <c r="F78" s="2">
        <f>IF(AND(C78&gt;=D78,D78&gt;=E78),"PASS","FAIL")</f>
        <v/>
      </c>
    </row>
    <row r="79">
      <c r="A79" s="2" t="inlineStr">
        <is>
          <t>TCWS2_FIXED_STRUCTURE_SYNTHETIC_T4_ORDERED_STATES</t>
        </is>
      </c>
      <c r="B79" s="2" t="n">
        <v>1.8</v>
      </c>
      <c r="C79" s="2" t="n">
        <v>0.9234147647084517</v>
      </c>
      <c r="D79" s="2" t="n">
        <v>0.7271261763436249</v>
      </c>
      <c r="E79" s="2" t="n">
        <v>0.4502568452420845</v>
      </c>
      <c r="F79" s="2">
        <f>IF(AND(C79&gt;=D79,D79&gt;=E79),"PASS","FAIL")</f>
        <v/>
      </c>
    </row>
    <row r="80">
      <c r="A80" s="2" t="inlineStr">
        <is>
          <t>TCWS2_FIXED_STRUCTURE_SYNTHETIC_T4_ORDERED_STATES</t>
        </is>
      </c>
      <c r="B80" s="2" t="n">
        <v>1.85</v>
      </c>
      <c r="C80" s="2" t="n">
        <v>0.9354284363848354</v>
      </c>
      <c r="D80" s="2" t="n">
        <v>0.7555013480529911</v>
      </c>
      <c r="E80" s="2" t="n">
        <v>0.4845426479519317</v>
      </c>
      <c r="F80" s="2">
        <f>IF(AND(C80&gt;=D80,D80&gt;=E80),"PASS","FAIL")</f>
        <v/>
      </c>
    </row>
    <row r="81">
      <c r="A81" s="2" t="inlineStr">
        <is>
          <t>TCWS2_FIXED_STRUCTURE_SYNTHETIC_T4_ORDERED_STATES</t>
        </is>
      </c>
      <c r="B81" s="2" t="n">
        <v>1.9</v>
      </c>
      <c r="C81" s="2" t="n">
        <v>0.9456731558195741</v>
      </c>
      <c r="D81" s="2" t="n">
        <v>0.7815605925239479</v>
      </c>
      <c r="E81" s="2" t="n">
        <v>0.5181051964054444</v>
      </c>
      <c r="F81" s="2">
        <f>IF(AND(C81&gt;=D81,D81&gt;=E81),"PASS","FAIL")</f>
        <v/>
      </c>
    </row>
    <row r="82">
      <c r="A82" s="2" t="inlineStr">
        <is>
          <t>TCWS2_FIXED_STRUCTURE_SYNTHETIC_T4_ORDERED_STATES</t>
        </is>
      </c>
      <c r="B82" s="2" t="n">
        <v>1.95</v>
      </c>
      <c r="C82" s="2" t="n">
        <v>0.9543794860761531</v>
      </c>
      <c r="D82" s="2" t="n">
        <v>0.805369657453771</v>
      </c>
      <c r="E82" s="2" t="n">
        <v>0.5507471186705584</v>
      </c>
      <c r="F82" s="2">
        <f>IF(AND(C82&gt;=D82,D82&gt;=E82),"PASS","FAIL")</f>
        <v/>
      </c>
    </row>
    <row r="83">
      <c r="A83" s="2" t="inlineStr">
        <is>
          <t>TCWS2_FIXED_STRUCTURE_SYNTHETIC_T4_ORDERED_STATES</t>
        </is>
      </c>
      <c r="B83" s="2" t="n">
        <v>2</v>
      </c>
      <c r="C83" s="2" t="n">
        <v>0.9617557316290826</v>
      </c>
      <c r="D83" s="2" t="n">
        <v>0.8270199682377997</v>
      </c>
      <c r="E83" s="2" t="n">
        <v>0.5823028666981629</v>
      </c>
      <c r="F83" s="2">
        <f>IF(AND(C83&gt;=D83,D83&gt;=E83),"PASS","FAIL")</f>
        <v/>
      </c>
    </row>
    <row r="84">
      <c r="A84" s="2" t="inlineStr">
        <is>
          <t>TCWS2_TRACKER_MODULE_SYNTHETIC_T4_ORDERED_STATES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>
        <f>IF(AND(C84&gt;=D84,D84&gt;=E84),"PASS","FAIL")</f>
        <v/>
      </c>
    </row>
    <row r="85">
      <c r="A85" s="2" t="inlineStr">
        <is>
          <t>TCWS2_TRACKER_MODULE_SYNTHETIC_T4_ORDERED_STATES</t>
        </is>
      </c>
      <c r="B85" s="2" t="n">
        <v>0.05</v>
      </c>
      <c r="C85" s="2" t="n">
        <v>3.313335047354122e-25</v>
      </c>
      <c r="D85" s="2" t="n">
        <v>4.715939542999739e-28</v>
      </c>
      <c r="E85" s="2" t="n">
        <v>1.294645842086541e-30</v>
      </c>
      <c r="F85" s="2">
        <f>IF(AND(C85&gt;=D85,D85&gt;=E85),"PASS","FAIL")</f>
        <v/>
      </c>
    </row>
    <row r="86">
      <c r="A86" s="2" t="inlineStr">
        <is>
          <t>TCWS2_TRACKER_MODULE_SYNTHETIC_T4_ORDERED_STATES</t>
        </is>
      </c>
      <c r="B86" s="2" t="n">
        <v>0.1</v>
      </c>
      <c r="C86" s="2" t="n">
        <v>1.990917407339301e-15</v>
      </c>
      <c r="D86" s="2" t="n">
        <v>1.344525968838655e-17</v>
      </c>
      <c r="E86" s="2" t="n">
        <v>1.395698329587397e-19</v>
      </c>
      <c r="F86" s="2">
        <f>IF(AND(C86&gt;=D86,D86&gt;=E86),"PASS","FAIL")</f>
        <v/>
      </c>
    </row>
    <row r="87">
      <c r="A87" s="2" t="inlineStr">
        <is>
          <t>TCWS2_TRACKER_MODULE_SYNTHETIC_T4_ORDERED_STATES</t>
        </is>
      </c>
      <c r="B87" s="2" t="n">
        <v>0.15</v>
      </c>
      <c r="C87" s="2" t="n">
        <v>5.751405652302467e-11</v>
      </c>
      <c r="D87" s="2" t="n">
        <v>9.594411510686524e-13</v>
      </c>
      <c r="E87" s="2" t="n">
        <v>2.159046051190595e-14</v>
      </c>
      <c r="F87" s="2">
        <f>IF(AND(C87&gt;=D87,D87&gt;=E87),"PASS","FAIL")</f>
        <v/>
      </c>
    </row>
    <row r="88">
      <c r="A88" s="2" t="inlineStr">
        <is>
          <t>TCWS2_TRACKER_MODULE_SYNTHETIC_T4_ORDERED_STATES</t>
        </is>
      </c>
      <c r="B88" s="2" t="n">
        <v>0.2</v>
      </c>
      <c r="C88" s="2" t="n">
        <v>2.32371156444089e-08</v>
      </c>
      <c r="D88" s="2" t="n">
        <v>7.315985641450965e-10</v>
      </c>
      <c r="E88" s="2" t="n">
        <v>2.839957442237676e-11</v>
      </c>
      <c r="F88" s="2">
        <f>IF(AND(C88&gt;=D88,D88&gt;=E88),"PASS","FAIL")</f>
        <v/>
      </c>
    </row>
    <row r="89">
      <c r="A89" s="2" t="inlineStr">
        <is>
          <t>TCWS2_TRACKER_MODULE_SYNTHETIC_T4_ORDERED_STATES</t>
        </is>
      </c>
      <c r="B89" s="2" t="n">
        <v>0.25</v>
      </c>
      <c r="C89" s="2" t="n">
        <v>1.183238508506429e-06</v>
      </c>
      <c r="D89" s="2" t="n">
        <v>6.049861128848062e-08</v>
      </c>
      <c r="E89" s="2" t="n">
        <v>3.570607414340837e-09</v>
      </c>
      <c r="F89" s="2">
        <f>IF(AND(C89&gt;=D89,D89&gt;=E89),"PASS","FAIL")</f>
        <v/>
      </c>
    </row>
    <row r="90">
      <c r="A90" s="2" t="inlineStr">
        <is>
          <t>TCWS2_TRACKER_MODULE_SYNTHETIC_T4_ORDERED_STATES</t>
        </is>
      </c>
      <c r="B90" s="2" t="n">
        <v>0.3</v>
      </c>
      <c r="C90" s="2" t="n">
        <v>1.854091748613893e-05</v>
      </c>
      <c r="D90" s="2" t="n">
        <v>1.394759352906728e-06</v>
      </c>
      <c r="E90" s="2" t="n">
        <v>1.153747718079883e-07</v>
      </c>
      <c r="F90" s="2">
        <f>IF(AND(C90&gt;=D90,D90&gt;=E90),"PASS","FAIL")</f>
        <v/>
      </c>
    </row>
    <row r="91">
      <c r="A91" s="2" t="inlineStr">
        <is>
          <t>TCWS2_TRACKER_MODULE_SYNTHETIC_T4_ORDERED_STATES</t>
        </is>
      </c>
      <c r="B91" s="2" t="n">
        <v>0.35</v>
      </c>
      <c r="C91" s="2" t="n">
        <v>0.0001391495811453871</v>
      </c>
      <c r="D91" s="2" t="n">
        <v>1.432381816531204e-05</v>
      </c>
      <c r="E91" s="2" t="n">
        <v>1.566881460965336e-06</v>
      </c>
      <c r="F91" s="2">
        <f>IF(AND(C91&gt;=D91,D91&gt;=E91),"PASS","FAIL")</f>
        <v/>
      </c>
    </row>
    <row r="92">
      <c r="A92" s="2" t="inlineStr">
        <is>
          <t>TCWS2_TRACKER_MODULE_SYNTHETIC_T4_ORDERED_STATES</t>
        </is>
      </c>
      <c r="B92" s="2" t="n">
        <v>0.4</v>
      </c>
      <c r="C92" s="2" t="n">
        <v>0.000641204844481956</v>
      </c>
      <c r="D92" s="2" t="n">
        <v>8.526885322031574e-05</v>
      </c>
      <c r="E92" s="2" t="n">
        <v>1.17925320559593e-05</v>
      </c>
      <c r="F92" s="2">
        <f>IF(AND(C92&gt;=D92,D92&gt;=E92),"PASS","FAIL")</f>
        <v/>
      </c>
    </row>
    <row r="93">
      <c r="A93" s="2" t="inlineStr">
        <is>
          <t>TCWS2_TRACKER_MODULE_SYNTHETIC_T4_ORDERED_STATES</t>
        </is>
      </c>
      <c r="B93" s="2" t="n">
        <v>0.45</v>
      </c>
      <c r="C93" s="2" t="n">
        <v>0.002111196822921638</v>
      </c>
      <c r="D93" s="2" t="n">
        <v>0.0003457648078311169</v>
      </c>
      <c r="E93" s="2" t="n">
        <v>5.825697785462423e-05</v>
      </c>
      <c r="F93" s="2">
        <f>IF(AND(C93&gt;=D93,D93&gt;=E93),"PASS","FAIL")</f>
        <v/>
      </c>
    </row>
    <row r="94">
      <c r="A94" s="2" t="inlineStr">
        <is>
          <t>TCWS2_TRACKER_MODULE_SYNTHETIC_T4_ORDERED_STATES</t>
        </is>
      </c>
      <c r="B94" s="2" t="n">
        <v>0.5</v>
      </c>
      <c r="C94" s="2" t="n">
        <v>0.005476600258925059</v>
      </c>
      <c r="D94" s="2" t="n">
        <v>0.001061227329290644</v>
      </c>
      <c r="E94" s="2" t="n">
        <v>0.0002109769801874359</v>
      </c>
      <c r="F94" s="2">
        <f>IF(AND(C94&gt;=D94,D94&gt;=E94),"PASS","FAIL")</f>
        <v/>
      </c>
    </row>
    <row r="95">
      <c r="A95" s="2" t="inlineStr">
        <is>
          <t>TCWS2_TRACKER_MODULE_SYNTHETIC_T4_ORDERED_STATES</t>
        </is>
      </c>
      <c r="B95" s="2" t="n">
        <v>0.55</v>
      </c>
      <c r="C95" s="2" t="n">
        <v>0.01194317013258752</v>
      </c>
      <c r="D95" s="2" t="n">
        <v>0.002649763024627531</v>
      </c>
      <c r="E95" s="2" t="n">
        <v>0.0006041943837320012</v>
      </c>
      <c r="F95" s="2">
        <f>IF(AND(C95&gt;=D95,D95&gt;=E95),"PASS","FAIL")</f>
        <v/>
      </c>
    </row>
    <row r="96">
      <c r="A96" s="2" t="inlineStr">
        <is>
          <t>TCWS2_TRACKER_MODULE_SYNTHETIC_T4_ORDERED_STATES</t>
        </is>
      </c>
      <c r="B96" s="2" t="n">
        <v>0.6</v>
      </c>
      <c r="C96" s="2" t="n">
        <v>0.02287197282151515</v>
      </c>
      <c r="D96" s="2" t="n">
        <v>0.005663941439337086</v>
      </c>
      <c r="E96" s="2" t="n">
        <v>0.001444345176830638</v>
      </c>
      <c r="F96" s="2">
        <f>IF(AND(C96&gt;=D96,D96&gt;=E96),"PASS","FAIL")</f>
        <v/>
      </c>
    </row>
    <row r="97">
      <c r="A97" s="2" t="inlineStr">
        <is>
          <t>TCWS2_TRACKER_MODULE_SYNTHETIC_T4_ORDERED_STATES</t>
        </is>
      </c>
      <c r="B97" s="2" t="n">
        <v>0.65</v>
      </c>
      <c r="C97" s="2" t="n">
        <v>0.03961698046722754</v>
      </c>
      <c r="D97" s="2" t="n">
        <v>0.01075163785462099</v>
      </c>
      <c r="E97" s="2" t="n">
        <v>0.002999479019287573</v>
      </c>
      <c r="F97" s="2">
        <f>IF(AND(C97&gt;=D97,D97&gt;=E97),"PASS","FAIL")</f>
        <v/>
      </c>
    </row>
    <row r="98">
      <c r="A98" s="2" t="inlineStr">
        <is>
          <t>TCWS2_TRACKER_MODULE_SYNTHETIC_T4_ORDERED_STATES</t>
        </is>
      </c>
      <c r="B98" s="2" t="n">
        <v>0.7</v>
      </c>
      <c r="C98" s="2" t="n">
        <v>0.06333141289524231</v>
      </c>
      <c r="D98" s="2" t="n">
        <v>0.01861258280191032</v>
      </c>
      <c r="E98" s="2" t="n">
        <v>0.005576927546969815</v>
      </c>
      <c r="F98" s="2">
        <f>IF(AND(C98&gt;=D98,D98&gt;=E98),"PASS","FAIL")</f>
        <v/>
      </c>
    </row>
    <row r="99">
      <c r="A99" s="2" t="inlineStr">
        <is>
          <t>TCWS2_TRACKER_MODULE_SYNTHETIC_T4_ORDERED_STATES</t>
        </is>
      </c>
      <c r="B99" s="2" t="n">
        <v>0.75</v>
      </c>
      <c r="C99" s="2" t="n">
        <v>0.09476894171413572</v>
      </c>
      <c r="D99" s="2" t="n">
        <v>0.02995351801943043</v>
      </c>
      <c r="E99" s="2" t="n">
        <v>0.009501095004545455</v>
      </c>
      <c r="F99" s="2">
        <f>IF(AND(C99&gt;=D99,D99&gt;=E99),"PASS","FAIL")</f>
        <v/>
      </c>
    </row>
    <row r="100">
      <c r="A100" s="2" t="inlineStr">
        <is>
          <t>TCWS2_TRACKER_MODULE_SYNTHETIC_T4_ORDERED_STATES</t>
        </is>
      </c>
      <c r="B100" s="2" t="n">
        <v>0.8</v>
      </c>
      <c r="C100" s="2" t="n">
        <v>0.1341274023278461</v>
      </c>
      <c r="D100" s="2" t="n">
        <v>0.04543591527831609</v>
      </c>
      <c r="E100" s="2" t="n">
        <v>0.01509938536579265</v>
      </c>
      <c r="F100" s="2">
        <f>IF(AND(C100&gt;=D100,D100&gt;=E100),"PASS","FAIL")</f>
        <v/>
      </c>
    </row>
    <row r="101">
      <c r="A101" s="2" t="inlineStr">
        <is>
          <t>TCWS2_TRACKER_MODULE_SYNTHETIC_T4_ORDERED_STATES</t>
        </is>
      </c>
      <c r="B101" s="2" t="n">
        <v>0.85</v>
      </c>
      <c r="C101" s="2" t="n">
        <v>0.1809798432765239</v>
      </c>
      <c r="D101" s="2" t="n">
        <v>0.0656132694218689</v>
      </c>
      <c r="E101" s="2" t="n">
        <v>0.02269646184273571</v>
      </c>
      <c r="F101" s="2">
        <f>IF(AND(C101&gt;=D101,D101&gt;=E101),"PASS","FAIL")</f>
        <v/>
      </c>
    </row>
    <row r="102">
      <c r="A102" s="2" t="inlineStr">
        <is>
          <t>TCWS2_TRACKER_MODULE_SYNTHETIC_T4_ORDERED_STATES</t>
        </is>
      </c>
      <c r="B102" s="2" t="n">
        <v>0.9</v>
      </c>
      <c r="C102" s="2" t="n">
        <v>0.2343110194615461</v>
      </c>
      <c r="D102" s="2" t="n">
        <v>0.0908643004394096</v>
      </c>
      <c r="E102" s="2" t="n">
        <v>0.03261127252314469</v>
      </c>
      <c r="F102" s="2">
        <f>IF(AND(C102&gt;=D102,D102&gt;=E102),"PASS","FAIL")</f>
        <v/>
      </c>
    </row>
    <row r="103">
      <c r="A103" s="2" t="inlineStr">
        <is>
          <t>TCWS2_TRACKER_MODULE_SYNTHETIC_T4_ORDERED_STATES</t>
        </is>
      </c>
      <c r="B103" s="2" t="n">
        <v>0.95</v>
      </c>
      <c r="C103" s="2" t="n">
        <v>0.2926449280495993</v>
      </c>
      <c r="D103" s="2" t="n">
        <v>0.1213353533253464</v>
      </c>
      <c r="E103" s="2" t="n">
        <v>0.04515026047521244</v>
      </c>
      <c r="F103" s="2">
        <f>IF(AND(C103&gt;=D103,D103&gt;=E103),"PASS","FAIL")</f>
        <v/>
      </c>
    </row>
    <row r="104">
      <c r="A104" s="2" t="inlineStr">
        <is>
          <t>TCWS2_TRACKER_MODULE_SYNTHETIC_T4_ORDERED_STATES</t>
        </is>
      </c>
      <c r="B104" s="2" t="n">
        <v>1</v>
      </c>
      <c r="C104" s="2" t="n">
        <v>0.3542270174528783</v>
      </c>
      <c r="D104" s="2" t="n">
        <v>0.1569055850888735</v>
      </c>
      <c r="E104" s="2" t="n">
        <v>0.06059302334515636</v>
      </c>
      <c r="F104" s="2">
        <f>IF(AND(C104&gt;=D104,D104&gt;=E104),"PASS","FAIL")</f>
        <v/>
      </c>
    </row>
    <row r="105">
      <c r="A105" s="2" t="inlineStr">
        <is>
          <t>TCWS2_TRACKER_MODULE_SYNTHETIC_T4_ORDERED_STATES</t>
        </is>
      </c>
      <c r="B105" s="2" t="n">
        <v>1.05</v>
      </c>
      <c r="C105" s="2" t="n">
        <v>0.4172189744286418</v>
      </c>
      <c r="D105" s="2" t="n">
        <v>0.1971830889146675</v>
      </c>
      <c r="E105" s="2" t="n">
        <v>0.07917089250238138</v>
      </c>
      <c r="F105" s="2">
        <f>IF(AND(C105&gt;=D105,D105&gt;=E105),"PASS","FAIL")</f>
        <v/>
      </c>
    </row>
    <row r="106">
      <c r="A106" s="2" t="inlineStr">
        <is>
          <t>TCWS2_TRACKER_MODULE_SYNTHETIC_T4_ORDERED_STATES</t>
        </is>
      </c>
      <c r="B106" s="2" t="n">
        <v>1.1</v>
      </c>
      <c r="C106" s="2" t="n">
        <v>0.4798713025282524</v>
      </c>
      <c r="D106" s="2" t="n">
        <v>0.2415323959655126</v>
      </c>
      <c r="E106" s="2" t="n">
        <v>0.1010422432344045</v>
      </c>
      <c r="F106" s="2">
        <f>IF(AND(C106&gt;=D106,D106&gt;=E106),"PASS","FAIL")</f>
        <v/>
      </c>
    </row>
    <row r="107">
      <c r="A107" s="2" t="inlineStr">
        <is>
          <t>TCWS2_TRACKER_MODULE_SYNTHETIC_T4_ORDERED_STATES</t>
        </is>
      </c>
      <c r="B107" s="2" t="n">
        <v>1.15</v>
      </c>
      <c r="C107" s="2" t="n">
        <v>0.5406525108524616</v>
      </c>
      <c r="D107" s="2" t="n">
        <v>0.289127120262495</v>
      </c>
      <c r="E107" s="2" t="n">
        <v>0.1262697564297492</v>
      </c>
      <c r="F107" s="2">
        <f>IF(AND(C107&gt;=D107,D107&gt;=E107),"PASS","FAIL")</f>
        <v/>
      </c>
    </row>
    <row r="108">
      <c r="A108" s="2" t="inlineStr">
        <is>
          <t>TCWS2_TRACKER_MODULE_SYNTHETIC_T4_ORDERED_STATES</t>
        </is>
      </c>
      <c r="B108" s="2" t="n">
        <v>1.2</v>
      </c>
      <c r="C108" s="2" t="n">
        <v>0.598327609381424</v>
      </c>
      <c r="D108" s="2" t="n">
        <v>0.339017672765316</v>
      </c>
      <c r="E108" s="2" t="n">
        <v>0.1548043650695187</v>
      </c>
      <c r="F108" s="2">
        <f>IF(AND(C108&gt;=D108,D108&gt;=E108),"PASS","FAIL")</f>
        <v/>
      </c>
    </row>
    <row r="109">
      <c r="A109" s="2" t="inlineStr">
        <is>
          <t>TCWS2_TRACKER_MODULE_SYNTHETIC_T4_ORDERED_STATES</t>
        </is>
      </c>
      <c r="B109" s="2" t="n">
        <v>1.25</v>
      </c>
      <c r="C109" s="2" t="n">
        <v>0.6519892108735116</v>
      </c>
      <c r="D109" s="2" t="n">
        <v>0.3902032086081965</v>
      </c>
      <c r="E109" s="2" t="n">
        <v>0.1864789045599251</v>
      </c>
      <c r="F109" s="2">
        <f>IF(AND(C109&gt;=D109,D109&gt;=E109),"PASS","FAIL")</f>
        <v/>
      </c>
    </row>
    <row r="110">
      <c r="A110" s="2" t="inlineStr">
        <is>
          <t>TCWS2_TRACKER_MODULE_SYNTHETIC_T4_ORDERED_STATES</t>
        </is>
      </c>
      <c r="B110" s="2" t="n">
        <v>1.3</v>
      </c>
      <c r="C110" s="2" t="n">
        <v>0.7010507492603396</v>
      </c>
      <c r="D110" s="2" t="n">
        <v>0.4416985407254805</v>
      </c>
      <c r="E110" s="2" t="n">
        <v>0.2210123574445153</v>
      </c>
      <c r="F110" s="2">
        <f>IF(AND(C110&gt;=D110,D110&gt;=E110),"PASS","FAIL")</f>
        <v/>
      </c>
    </row>
    <row r="111">
      <c r="A111" s="2" t="inlineStr">
        <is>
          <t>TCWS2_TRACKER_MODULE_SYNTHETIC_T4_ORDERED_STATES</t>
        </is>
      </c>
      <c r="B111" s="2" t="n">
        <v>1.35</v>
      </c>
      <c r="C111" s="2" t="n">
        <v>0.7452136062825333</v>
      </c>
      <c r="D111" s="2" t="n">
        <v>0.4925895679811608</v>
      </c>
      <c r="E111" s="2" t="n">
        <v>0.2580236850373044</v>
      </c>
      <c r="F111" s="2">
        <f>IF(AND(C111&gt;=D111,D111&gt;=E111),"PASS","FAIL")</f>
        <v/>
      </c>
    </row>
    <row r="112">
      <c r="A112" s="2" t="inlineStr">
        <is>
          <t>TCWS2_TRACKER_MODULE_SYNTHETIC_T4_ORDERED_STATES</t>
        </is>
      </c>
      <c r="B112" s="2" t="n">
        <v>1.4</v>
      </c>
      <c r="C112" s="2" t="n">
        <v>0.7844194527010699</v>
      </c>
      <c r="D112" s="2" t="n">
        <v>0.5420738496305171</v>
      </c>
      <c r="E112" s="2" t="n">
        <v>0.2970529313356113</v>
      </c>
      <c r="F112" s="2">
        <f>IF(AND(C112&gt;=D112,D112&gt;=E112),"PASS","FAIL")</f>
        <v/>
      </c>
    </row>
    <row r="113">
      <c r="A113" s="2" t="inlineStr">
        <is>
          <t>TCWS2_TRACKER_MODULE_SYNTHETIC_T4_ORDERED_STATES</t>
        </is>
      </c>
      <c r="B113" s="2" t="n">
        <v>1.45</v>
      </c>
      <c r="C113" s="2" t="n">
        <v>0.8187970889028529</v>
      </c>
      <c r="D113" s="2" t="n">
        <v>0.5894856473700906</v>
      </c>
      <c r="E113" s="2" t="n">
        <v>0.3375866640743392</v>
      </c>
      <c r="F113" s="2">
        <f>IF(AND(C113&gt;=D113,D113&gt;=E113),"PASS","FAIL")</f>
        <v/>
      </c>
    </row>
    <row r="114">
      <c r="A114" s="2" t="inlineStr">
        <is>
          <t>TCWS2_TRACKER_MODULE_SYNTHETIC_T4_ORDERED_STATES</t>
        </is>
      </c>
      <c r="B114" s="2" t="n">
        <v>1.5</v>
      </c>
      <c r="C114" s="2" t="n">
        <v>0.8486104948190899</v>
      </c>
      <c r="D114" s="2" t="n">
        <v>0.6343067246840441</v>
      </c>
      <c r="E114" s="2" t="n">
        <v>0.3790847983283239</v>
      </c>
      <c r="F114" s="2">
        <f>IF(AND(C114&gt;=D114,D114&gt;=E114),"PASS","FAIL")</f>
        <v/>
      </c>
    </row>
    <row r="115">
      <c r="A115" s="2" t="inlineStr">
        <is>
          <t>TCWS2_TRACKER_MODULE_SYNTHETIC_T4_ORDERED_STATES</t>
        </is>
      </c>
      <c r="B115" s="2" t="n">
        <v>1.55</v>
      </c>
      <c r="C115" s="2" t="n">
        <v>0.8742123131647955</v>
      </c>
      <c r="D115" s="2" t="n">
        <v>0.6761653776621599</v>
      </c>
      <c r="E115" s="2" t="n">
        <v>0.4210062544367959</v>
      </c>
      <c r="F115" s="2">
        <f>IF(AND(C115&gt;=D115,D115&gt;=E115),"PASS","FAIL")</f>
        <v/>
      </c>
    </row>
    <row r="116">
      <c r="A116" s="2" t="inlineStr">
        <is>
          <t>TCWS2_TRACKER_MODULE_SYNTHETIC_T4_ORDERED_STATES</t>
        </is>
      </c>
      <c r="B116" s="2" t="n">
        <v>1.6</v>
      </c>
      <c r="C116" s="2" t="n">
        <v>0.8960049295856283</v>
      </c>
      <c r="D116" s="2" t="n">
        <v>0.7148266720730025</v>
      </c>
      <c r="E116" s="2" t="n">
        <v>0.4628315418960151</v>
      </c>
      <c r="F116" s="2">
        <f>IF(AND(C116&gt;=D116,D116&gt;=E116),"PASS","FAIL")</f>
        <v/>
      </c>
    </row>
    <row r="117">
      <c r="A117" s="2" t="inlineStr">
        <is>
          <t>TCWS2_TRACKER_MODULE_SYNTHETIC_T4_ORDERED_STATES</t>
        </is>
      </c>
      <c r="B117" s="2" t="n">
        <v>1.65</v>
      </c>
      <c r="C117" s="2" t="n">
        <v>0.914409792423366</v>
      </c>
      <c r="D117" s="2" t="n">
        <v>0.7501768520896273</v>
      </c>
      <c r="E117" s="2" t="n">
        <v>0.5040810693264802</v>
      </c>
      <c r="F117" s="2">
        <f>IF(AND(C117&gt;=D117,D117&gt;=E117),"PASS","FAIL")</f>
        <v/>
      </c>
    </row>
    <row r="118">
      <c r="A118" s="2" t="inlineStr">
        <is>
          <t>TCWS2_TRACKER_MODULE_SYNTHETIC_T4_ORDERED_STATES</t>
        </is>
      </c>
      <c r="B118" s="2" t="n">
        <v>1.7</v>
      </c>
      <c r="C118" s="2" t="n">
        <v>0.9298446115820236</v>
      </c>
      <c r="D118" s="2" t="n">
        <v>0.7822045512820859</v>
      </c>
      <c r="E118" s="2" t="n">
        <v>0.5443286396406217</v>
      </c>
      <c r="F118" s="2">
        <f>IF(AND(C118&gt;=D118,D118&gt;=E118),"PASS","FAIL")</f>
        <v/>
      </c>
    </row>
    <row r="119">
      <c r="A119" s="2" t="inlineStr">
        <is>
          <t>TCWS2_TRACKER_MODULE_SYNTHETIC_T4_ORDERED_STATES</t>
        </is>
      </c>
      <c r="B119" s="2" t="n">
        <v>1.75</v>
      </c>
      <c r="C119" s="2" t="n">
        <v>0.9427075014357538</v>
      </c>
      <c r="D119" s="2" t="n">
        <v>0.8109809357221824</v>
      </c>
      <c r="E119" s="2" t="n">
        <v>0.5832101299303961</v>
      </c>
      <c r="F119" s="2">
        <f>IF(AND(C119&gt;=D119,D119&gt;=E119),"PASS","FAIL")</f>
        <v/>
      </c>
    </row>
    <row r="120">
      <c r="A120" s="2" t="inlineStr">
        <is>
          <t>TCWS2_TRACKER_MODULE_SYNTHETIC_T4_ORDERED_STATES</t>
        </is>
      </c>
      <c r="B120" s="2" t="n">
        <v>1.8</v>
      </c>
      <c r="C120" s="2" t="n">
        <v>0.9533668772589965</v>
      </c>
      <c r="D120" s="2" t="n">
        <v>0.8366403617493962</v>
      </c>
      <c r="E120" s="2" t="n">
        <v>0.6204277491826378</v>
      </c>
      <c r="F120" s="2">
        <f>IF(AND(C120&gt;=D120,D120&gt;=E120),"PASS","FAIL")</f>
        <v/>
      </c>
    </row>
    <row r="121">
      <c r="A121" s="2" t="inlineStr">
        <is>
          <t>TCWS2_TRACKER_MODULE_SYNTHETIC_T4_ORDERED_STATES</t>
        </is>
      </c>
      <c r="B121" s="2" t="n">
        <v>1.85</v>
      </c>
      <c r="C121" s="2" t="n">
        <v>0.9621558747103629</v>
      </c>
      <c r="D121" s="2" t="n">
        <v>0.8593626155414514</v>
      </c>
      <c r="E121" s="2" t="n">
        <v>0.6557505149308558</v>
      </c>
      <c r="F121" s="2">
        <f>IF(AND(C121&gt;=D121,D121&gt;=E121),"PASS","FAIL")</f>
        <v/>
      </c>
    </row>
    <row r="122">
      <c r="A122" s="2" t="inlineStr">
        <is>
          <t>TCWS2_TRACKER_MODULE_SYNTHETIC_T4_ORDERED_STATES</t>
        </is>
      </c>
      <c r="B122" s="2" t="n">
        <v>1.9</v>
      </c>
      <c r="C122" s="2" t="n">
        <v>0.9693701522891676</v>
      </c>
      <c r="D122" s="2" t="n">
        <v>0.8793573616439909</v>
      </c>
      <c r="E122" s="2" t="n">
        <v>0.6890117114475153</v>
      </c>
      <c r="F122" s="2">
        <f>IF(AND(C122&gt;=D122,D122&gt;=E122),"PASS","FAIL")</f>
        <v/>
      </c>
    </row>
    <row r="123">
      <c r="A123" s="2" t="inlineStr">
        <is>
          <t>TCWS2_TRACKER_MODULE_SYNTHETIC_T4_ORDERED_STATES</t>
        </is>
      </c>
      <c r="B123" s="2" t="n">
        <v>1.95</v>
      </c>
      <c r="C123" s="2" t="n">
        <v>0.9752680939278566</v>
      </c>
      <c r="D123" s="2" t="n">
        <v>0.8968510804781687</v>
      </c>
      <c r="E123" s="2" t="n">
        <v>0.7201041145367376</v>
      </c>
      <c r="F123" s="2">
        <f>IF(AND(C123&gt;=D123,D123&gt;=E123),"PASS","FAIL")</f>
        <v/>
      </c>
    </row>
    <row r="124">
      <c r="A124" s="2" t="inlineStr">
        <is>
          <t>TCWS2_TRACKER_MODULE_SYNTHETIC_T4_ORDERED_STATES</t>
        </is>
      </c>
      <c r="B124" s="2" t="n">
        <v>2</v>
      </c>
      <c r="C124" s="2" t="n">
        <v>0.9800726095843247</v>
      </c>
      <c r="D124" s="2" t="n">
        <v>0.9120765206271386</v>
      </c>
      <c r="E124" s="2" t="n">
        <v>0.7489737204751042</v>
      </c>
      <c r="F124" s="2">
        <f>IF(AND(C124&gt;=D124,D124&gt;=E124),"PASS","FAIL")</f>
        <v/>
      </c>
    </row>
    <row r="125">
      <c r="A125" s="2" t="inlineStr">
        <is>
          <t>TCWS2_TRACKER_SBOS_SYNTHETIC_T4_ORDERED_STATES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>
        <f>IF(AND(C125&gt;=D125,D125&gt;=E125),"PASS","FAIL")</f>
        <v/>
      </c>
    </row>
    <row r="126">
      <c r="A126" s="2" t="inlineStr">
        <is>
          <t>TCWS2_TRACKER_SBOS_SYNTHETIC_T4_ORDERED_STATES</t>
        </is>
      </c>
      <c r="B126" s="2" t="n">
        <v>0.05</v>
      </c>
      <c r="C126" s="2" t="n">
        <v>7.091310497112831e-28</v>
      </c>
      <c r="D126" s="2" t="n">
        <v>3.075461756870949e-31</v>
      </c>
      <c r="E126" s="2" t="n">
        <v>3.199698666183249e-34</v>
      </c>
      <c r="F126" s="2">
        <f>IF(AND(C126&gt;=D126,D126&gt;=E126),"PASS","FAIL")</f>
        <v/>
      </c>
    </row>
    <row r="127">
      <c r="A127" s="2" t="inlineStr">
        <is>
          <t>TCWS2_TRACKER_SBOS_SYNTHETIC_T4_ORDERED_STATES</t>
        </is>
      </c>
      <c r="B127" s="2" t="n">
        <v>0.1</v>
      </c>
      <c r="C127" s="2" t="n">
        <v>2.044828249873064e-17</v>
      </c>
      <c r="D127" s="2" t="n">
        <v>4.993081075861535e-20</v>
      </c>
      <c r="E127" s="2" t="n">
        <v>2.218864595313459e-22</v>
      </c>
      <c r="F127" s="2">
        <f>IF(AND(C127&gt;=D127,D127&gt;=E127),"PASS","FAIL")</f>
        <v/>
      </c>
    </row>
    <row r="128">
      <c r="A128" s="2" t="inlineStr">
        <is>
          <t>TCWS2_TRACKER_SBOS_SYNTHETIC_T4_ORDERED_STATES</t>
        </is>
      </c>
      <c r="B128" s="2" t="n">
        <v>0.15</v>
      </c>
      <c r="C128" s="2" t="n">
        <v>1.493822541783472e-12</v>
      </c>
      <c r="D128" s="2" t="n">
        <v>9.895223081132752e-15</v>
      </c>
      <c r="E128" s="2" t="n">
        <v>1.01732171675648e-16</v>
      </c>
      <c r="F128" s="2">
        <f>IF(AND(C128&gt;=D128,D128&gt;=E128),"PASS","FAIL")</f>
        <v/>
      </c>
    </row>
    <row r="129">
      <c r="A129" s="2" t="inlineStr">
        <is>
          <t>TCWS2_TRACKER_SBOS_SYNTHETIC_T4_ORDERED_STATES</t>
        </is>
      </c>
      <c r="B129" s="2" t="n">
        <v>0.2</v>
      </c>
      <c r="C129" s="2" t="n">
        <v>1.181737174347115e-09</v>
      </c>
      <c r="D129" s="2" t="n">
        <v>1.569052978956357e-11</v>
      </c>
      <c r="E129" s="2" t="n">
        <v>2.893190138179855e-13</v>
      </c>
      <c r="F129" s="2">
        <f>IF(AND(C129&gt;=D129,D129&gt;=E129),"PASS","FAIL")</f>
        <v/>
      </c>
    </row>
    <row r="130">
      <c r="A130" s="2" t="inlineStr">
        <is>
          <t>TCWS2_TRACKER_SBOS_SYNTHETIC_T4_ORDERED_STATES</t>
        </is>
      </c>
      <c r="B130" s="2" t="n">
        <v>0.25</v>
      </c>
      <c r="C130" s="2" t="n">
        <v>1.026855908167235e-07</v>
      </c>
      <c r="D130" s="2" t="n">
        <v>2.31002301933274e-09</v>
      </c>
      <c r="E130" s="2" t="n">
        <v>6.627974299986601e-11</v>
      </c>
      <c r="F130" s="2">
        <f>IF(AND(C130&gt;=D130,D130&gt;=E130),"PASS","FAIL")</f>
        <v/>
      </c>
    </row>
    <row r="131">
      <c r="A131" s="2" t="inlineStr">
        <is>
          <t>TCWS2_TRACKER_SBOS_SYNTHETIC_T4_ORDERED_STATES</t>
        </is>
      </c>
      <c r="B131" s="2" t="n">
        <v>0.3</v>
      </c>
      <c r="C131" s="2" t="n">
        <v>2.514468182069054e-06</v>
      </c>
      <c r="D131" s="2" t="n">
        <v>8.608354229109726e-08</v>
      </c>
      <c r="E131" s="2" t="n">
        <v>3.507652183013806e-09</v>
      </c>
      <c r="F131" s="2">
        <f>IF(AND(C131&gt;=D131,D131&gt;=E131),"PASS","FAIL")</f>
        <v/>
      </c>
    </row>
    <row r="132">
      <c r="A132" s="2" t="inlineStr">
        <is>
          <t>TCWS2_TRACKER_SBOS_SYNTHETIC_T4_ORDERED_STATES</t>
        </is>
      </c>
      <c r="B132" s="2" t="n">
        <v>0.35</v>
      </c>
      <c r="C132" s="2" t="n">
        <v>2.76335302748953e-05</v>
      </c>
      <c r="D132" s="2" t="n">
        <v>1.336797574062042e-06</v>
      </c>
      <c r="E132" s="2" t="n">
        <v>7.257659503466967e-08</v>
      </c>
      <c r="F132" s="2">
        <f>IF(AND(C132&gt;=D132,D132&gt;=E132),"PASS","FAIL")</f>
        <v/>
      </c>
    </row>
    <row r="133">
      <c r="A133" s="2" t="inlineStr">
        <is>
          <t>TCWS2_TRACKER_SBOS_SYNTHETIC_T4_ORDERED_STATES</t>
        </is>
      </c>
      <c r="B133" s="2" t="n">
        <v>0.4</v>
      </c>
      <c r="C133" s="2" t="n">
        <v>0.000176624483017022</v>
      </c>
      <c r="D133" s="2" t="n">
        <v>1.14414558647432e-05</v>
      </c>
      <c r="E133" s="2" t="n">
        <v>7.899023938833843e-07</v>
      </c>
      <c r="F133" s="2">
        <f>IF(AND(C133&gt;=D133,D133&gt;=E133),"PASS","FAIL")</f>
        <v/>
      </c>
    </row>
    <row r="134">
      <c r="A134" s="2" t="inlineStr">
        <is>
          <t>TCWS2_TRACKER_SBOS_SYNTHETIC_T4_ORDERED_STATES</t>
        </is>
      </c>
      <c r="B134" s="2" t="n">
        <v>0.45</v>
      </c>
      <c r="C134" s="2" t="n">
        <v>0.0007680462201246021</v>
      </c>
      <c r="D134" s="2" t="n">
        <v>6.399199242806348e-05</v>
      </c>
      <c r="E134" s="2" t="n">
        <v>5.423965309344845e-06</v>
      </c>
      <c r="F134" s="2">
        <f>IF(AND(C134&gt;=D134,D134&gt;=E134),"PASS","FAIL")</f>
        <v/>
      </c>
    </row>
    <row r="135">
      <c r="A135" s="2" t="inlineStr">
        <is>
          <t>TCWS2_TRACKER_SBOS_SYNTHETIC_T4_ORDERED_STATES</t>
        </is>
      </c>
      <c r="B135" s="2" t="n">
        <v>0.5</v>
      </c>
      <c r="C135" s="2" t="n">
        <v>0.002513250724335972</v>
      </c>
      <c r="D135" s="2" t="n">
        <v>0.0002611211463212911</v>
      </c>
      <c r="E135" s="2" t="n">
        <v>2.645167827873657e-05</v>
      </c>
      <c r="F135" s="2">
        <f>IF(AND(C135&gt;=D135,D135&gt;=E135),"PASS","FAIL")</f>
        <v/>
      </c>
    </row>
    <row r="136">
      <c r="A136" s="2" t="inlineStr">
        <is>
          <t>TCWS2_TRACKER_SBOS_SYNTHETIC_T4_ORDERED_STATES</t>
        </is>
      </c>
      <c r="B136" s="2" t="n">
        <v>0.55</v>
      </c>
      <c r="C136" s="2" t="n">
        <v>0.006624236392249672</v>
      </c>
      <c r="D136" s="2" t="n">
        <v>0.000837616042421124</v>
      </c>
      <c r="E136" s="2" t="n">
        <v>9.93223734501013e-05</v>
      </c>
      <c r="F136" s="2">
        <f>IF(AND(C136&gt;=D136,D136&gt;=E136),"PASS","FAIL")</f>
        <v/>
      </c>
    </row>
    <row r="137">
      <c r="A137" s="2" t="inlineStr">
        <is>
          <t>TCWS2_TRACKER_SBOS_SYNTHETIC_T4_ORDERED_STATES</t>
        </is>
      </c>
      <c r="B137" s="2" t="n">
        <v>0.6</v>
      </c>
      <c r="C137" s="2" t="n">
        <v>0.01475053251253989</v>
      </c>
      <c r="D137" s="2" t="n">
        <v>0.002225994055461883</v>
      </c>
      <c r="E137" s="2" t="n">
        <v>0.0003040044050521301</v>
      </c>
      <c r="F137" s="2">
        <f>IF(AND(C137&gt;=D137,D137&gt;=E137),"PASS","FAIL")</f>
        <v/>
      </c>
    </row>
    <row r="138">
      <c r="A138" s="2" t="inlineStr">
        <is>
          <t>TCWS2_TRACKER_SBOS_SYNTHETIC_T4_ORDERED_STATES</t>
        </is>
      </c>
      <c r="B138" s="2" t="n">
        <v>0.65</v>
      </c>
      <c r="C138" s="2" t="n">
        <v>0.02872562949370506</v>
      </c>
      <c r="D138" s="2" t="n">
        <v>0.005090978534731172</v>
      </c>
      <c r="E138" s="2" t="n">
        <v>0.0007906339844209622</v>
      </c>
      <c r="F138" s="2">
        <f>IF(AND(C138&gt;=D138,D138&gt;=E138),"PASS","FAIL")</f>
        <v/>
      </c>
    </row>
    <row r="139">
      <c r="A139" s="2" t="inlineStr">
        <is>
          <t>TCWS2_TRACKER_SBOS_SYNTHETIC_T4_ORDERED_STATES</t>
        </is>
      </c>
      <c r="B139" s="2" t="n">
        <v>0.7</v>
      </c>
      <c r="C139" s="2" t="n">
        <v>0.05020123571491654</v>
      </c>
      <c r="D139" s="2" t="n">
        <v>0.01030796252368474</v>
      </c>
      <c r="E139" s="2" t="n">
        <v>0.001802005390488706</v>
      </c>
      <c r="F139" s="2">
        <f>IF(AND(C139&gt;=D139,D139&gt;=E139),"PASS","FAIL")</f>
        <v/>
      </c>
    </row>
    <row r="140">
      <c r="A140" s="2" t="inlineStr">
        <is>
          <t>TCWS2_TRACKER_SBOS_SYNTHETIC_T4_ORDERED_STATES</t>
        </is>
      </c>
      <c r="B140" s="2" t="n">
        <v>0.75</v>
      </c>
      <c r="C140" s="2" t="n">
        <v>0.08029463042038334</v>
      </c>
      <c r="D140" s="2" t="n">
        <v>0.01887991595887421</v>
      </c>
      <c r="E140" s="2" t="n">
        <v>0.003684842017868921</v>
      </c>
      <c r="F140" s="2">
        <f>IF(AND(C140&gt;=D140,D140&gt;=E140),"PASS","FAIL")</f>
        <v/>
      </c>
    </row>
    <row r="141">
      <c r="A141" s="2" t="inlineStr">
        <is>
          <t>TCWS2_TRACKER_SBOS_SYNTHETIC_T4_ORDERED_STATES</t>
        </is>
      </c>
      <c r="B141" s="2" t="n">
        <v>0.8</v>
      </c>
      <c r="C141" s="2" t="n">
        <v>0.1193559161691322</v>
      </c>
      <c r="D141" s="2" t="n">
        <v>0.03180928729690472</v>
      </c>
      <c r="E141" s="2" t="n">
        <v>0.006884100387442143</v>
      </c>
      <c r="F141" s="2">
        <f>IF(AND(C141&gt;=D141,D141&gt;=E141),"PASS","FAIL")</f>
        <v/>
      </c>
    </row>
    <row r="142">
      <c r="A142" s="2" t="inlineStr">
        <is>
          <t>TCWS2_TRACKER_SBOS_SYNTHETIC_T4_ORDERED_STATES</t>
        </is>
      </c>
      <c r="B142" s="2" t="n">
        <v>0.85</v>
      </c>
      <c r="C142" s="2" t="n">
        <v>0.1669045287756234</v>
      </c>
      <c r="D142" s="2" t="n">
        <v>0.04995542039111568</v>
      </c>
      <c r="E142" s="2" t="n">
        <v>0.01191877764161023</v>
      </c>
      <c r="F142" s="2">
        <f>IF(AND(C142&gt;=D142,D142&gt;=E142),"PASS","FAIL")</f>
        <v/>
      </c>
    </row>
    <row r="143">
      <c r="A143" s="2" t="inlineStr">
        <is>
          <t>TCWS2_TRACKER_SBOS_SYNTHETIC_T4_ORDERED_STATES</t>
        </is>
      </c>
      <c r="B143" s="2" t="n">
        <v>0.9</v>
      </c>
      <c r="C143" s="2" t="n">
        <v>0.2217241762821586</v>
      </c>
      <c r="D143" s="2" t="n">
        <v>0.07390981939995696</v>
      </c>
      <c r="E143" s="2" t="n">
        <v>0.01934212099780693</v>
      </c>
      <c r="F143" s="2">
        <f>IF(AND(C143&gt;=D143,D143&gt;=E143),"PASS","FAIL")</f>
        <v/>
      </c>
    </row>
    <row r="144">
      <c r="A144" s="2" t="inlineStr">
        <is>
          <t>TCWS2_TRACKER_SBOS_SYNTHETIC_T4_ORDERED_STATES</t>
        </is>
      </c>
      <c r="B144" s="2" t="n">
        <v>0.95</v>
      </c>
      <c r="C144" s="2" t="n">
        <v>0.2820660762341008</v>
      </c>
      <c r="D144" s="2" t="n">
        <v>0.103913350417211</v>
      </c>
      <c r="E144" s="2" t="n">
        <v>0.02969243041499276</v>
      </c>
      <c r="F144" s="2">
        <f>IF(AND(C144&gt;=D144,D144&gt;=E144),"PASS","FAIL")</f>
        <v/>
      </c>
    </row>
    <row r="145">
      <c r="A145" s="2" t="inlineStr">
        <is>
          <t>TCWS2_TRACKER_SBOS_SYNTHETIC_T4_ORDERED_STATES</t>
        </is>
      </c>
      <c r="B145" s="2" t="n">
        <v>1</v>
      </c>
      <c r="C145" s="2" t="n">
        <v>0.3458978283600551</v>
      </c>
      <c r="D145" s="2" t="n">
        <v>0.1398263585783975</v>
      </c>
      <c r="E145" s="2" t="n">
        <v>0.04344214577128501</v>
      </c>
      <c r="F145" s="2">
        <f>IF(AND(C145&gt;=D145,D145&gt;=E145),"PASS","FAIL")</f>
        <v/>
      </c>
    </row>
    <row r="146">
      <c r="A146" s="2" t="inlineStr">
        <is>
          <t>TCWS2_TRACKER_SBOS_SYNTHETIC_T4_ORDERED_STATES</t>
        </is>
      </c>
      <c r="B146" s="2" t="n">
        <v>1.05</v>
      </c>
      <c r="C146" s="2" t="n">
        <v>0.4111433179251038</v>
      </c>
      <c r="D146" s="2" t="n">
        <v>0.181149856239508</v>
      </c>
      <c r="E146" s="2" t="n">
        <v>0.06095260963851221</v>
      </c>
      <c r="F146" s="2">
        <f>IF(AND(C146&gt;=D146,D146&gt;=E146),"PASS","FAIL")</f>
        <v/>
      </c>
    </row>
    <row r="147">
      <c r="A147" s="2" t="inlineStr">
        <is>
          <t>TCWS2_TRACKER_SBOS_SYNTHETIC_T4_ORDERED_STATES</t>
        </is>
      </c>
      <c r="B147" s="2" t="n">
        <v>1.1</v>
      </c>
      <c r="C147" s="2" t="n">
        <v>0.475877405181924</v>
      </c>
      <c r="D147" s="2" t="n">
        <v>0.2270867241592573</v>
      </c>
      <c r="E147" s="2" t="n">
        <v>0.08244023008158047</v>
      </c>
      <c r="F147" s="2">
        <f>IF(AND(C147&gt;=D147,D147&gt;=E147),"PASS","FAIL")</f>
        <v/>
      </c>
    </row>
    <row r="148">
      <c r="A148" s="2" t="inlineStr">
        <is>
          <t>TCWS2_TRACKER_SBOS_SYNTHETIC_T4_ORDERED_STATES</t>
        </is>
      </c>
      <c r="B148" s="2" t="n">
        <v>1.15</v>
      </c>
      <c r="C148" s="2" t="n">
        <v>0.538458927723394</v>
      </c>
      <c r="D148" s="2" t="n">
        <v>0.2766273998294787</v>
      </c>
      <c r="E148" s="2" t="n">
        <v>0.107957365749062</v>
      </c>
      <c r="F148" s="2">
        <f>IF(AND(C148&gt;=D148,D148&gt;=E148),"PASS","FAIL")</f>
        <v/>
      </c>
    </row>
    <row r="149">
      <c r="A149" s="2" t="inlineStr">
        <is>
          <t>TCWS2_TRACKER_SBOS_SYNTHETIC_T4_ORDERED_STATES</t>
        </is>
      </c>
      <c r="B149" s="2" t="n">
        <v>1.2</v>
      </c>
      <c r="C149" s="2" t="n">
        <v>0.5976013967124038</v>
      </c>
      <c r="D149" s="2" t="n">
        <v>0.3286442901481691</v>
      </c>
      <c r="E149" s="2" t="n">
        <v>0.1373887395452366</v>
      </c>
      <c r="F149" s="2">
        <f>IF(AND(C149&gt;=D149,D149&gt;=E149),"PASS","FAIL")</f>
        <v/>
      </c>
    </row>
    <row r="150">
      <c r="A150" s="2" t="inlineStr">
        <is>
          <t>TCWS2_TRACKER_SBOS_SYNTHETIC_T4_ORDERED_STATES</t>
        </is>
      </c>
      <c r="B150" s="2" t="n">
        <v>1.25</v>
      </c>
      <c r="C150" s="2" t="n">
        <v>0.6523907874419236</v>
      </c>
      <c r="D150" s="2" t="n">
        <v>0.38198178778894</v>
      </c>
      <c r="E150" s="2" t="n">
        <v>0.1704620348995934</v>
      </c>
      <c r="F150" s="2">
        <f>IF(AND(C150&gt;=D150,D150&gt;=E150),"PASS","FAIL")</f>
        <v/>
      </c>
    </row>
    <row r="151">
      <c r="A151" s="2" t="inlineStr">
        <is>
          <t>TCWS2_TRACKER_SBOS_SYNTHETIC_T4_ORDERED_STATES</t>
        </is>
      </c>
      <c r="B151" s="2" t="n">
        <v>1.3</v>
      </c>
      <c r="C151" s="2" t="n">
        <v>0.7022643667530659</v>
      </c>
      <c r="D151" s="2" t="n">
        <v>0.4355327980596059</v>
      </c>
      <c r="E151" s="2" t="n">
        <v>0.2067698161067293</v>
      </c>
      <c r="F151" s="2">
        <f>IF(AND(C151&gt;=D151,D151&gt;=E151),"PASS","FAIL")</f>
        <v/>
      </c>
    </row>
    <row r="152">
      <c r="A152" s="2" t="inlineStr">
        <is>
          <t>TCWS2_TRACKER_SBOS_SYNTHETIC_T4_ORDERED_STATES</t>
        </is>
      </c>
      <c r="B152" s="2" t="n">
        <v>1.35</v>
      </c>
      <c r="C152" s="2" t="n">
        <v>0.7469649908703</v>
      </c>
      <c r="D152" s="2" t="n">
        <v>0.4882968801212234</v>
      </c>
      <c r="E152" s="2" t="n">
        <v>0.24579912251511</v>
      </c>
      <c r="F152" s="2">
        <f>IF(AND(C152&gt;=D152,D152&gt;=E152),"PASS","FAIL")</f>
        <v/>
      </c>
    </row>
    <row r="153">
      <c r="A153" s="2" t="inlineStr">
        <is>
          <t>TCWS2_TRACKER_SBOS_SYNTHETIC_T4_ORDERED_STATES</t>
        </is>
      </c>
      <c r="B153" s="2" t="n">
        <v>1.4</v>
      </c>
      <c r="C153" s="2" t="n">
        <v>0.7864833746162969</v>
      </c>
      <c r="D153" s="2" t="n">
        <v>0.539418694147739</v>
      </c>
      <c r="E153" s="2" t="n">
        <v>0.2869649479683929</v>
      </c>
      <c r="F153" s="2">
        <f>IF(AND(C153&gt;=D153,D153&gt;=E153),"PASS","FAIL")</f>
        <v/>
      </c>
    </row>
    <row r="154">
      <c r="A154" s="2" t="inlineStr">
        <is>
          <t>TCWS2_TRACKER_SBOS_SYNTHETIC_T4_ORDERED_STATES</t>
        </is>
      </c>
      <c r="B154" s="2" t="n">
        <v>1.45</v>
      </c>
      <c r="C154" s="2" t="n">
        <v>0.8209978381844726</v>
      </c>
      <c r="D154" s="2" t="n">
        <v>0.5882080630718074</v>
      </c>
      <c r="E154" s="2" t="n">
        <v>0.3296441766642878</v>
      </c>
      <c r="F154" s="2">
        <f>IF(AND(C154&gt;=D154,D154&gt;=E154),"PASS","FAIL")</f>
        <v/>
      </c>
    </row>
    <row r="155">
      <c r="A155" s="2" t="inlineStr">
        <is>
          <t>TCWS2_TRACKER_SBOS_SYNTHETIC_T4_ORDERED_STATES</t>
        </is>
      </c>
      <c r="B155" s="2" t="n">
        <v>1.5</v>
      </c>
      <c r="C155" s="2" t="n">
        <v>0.8508179161353188</v>
      </c>
      <c r="D155" s="2" t="n">
        <v>0.6341445553236073</v>
      </c>
      <c r="E155" s="2" t="n">
        <v>0.3732072184207754</v>
      </c>
      <c r="F155" s="2">
        <f>IF(AND(C155&gt;=D155,D155&gt;=E155),"PASS","FAIL")</f>
        <v/>
      </c>
    </row>
    <row r="156">
      <c r="A156" s="2" t="inlineStr">
        <is>
          <t>TCWS2_TRACKER_SBOS_SYNTHETIC_T4_ORDERED_STATES</t>
        </is>
      </c>
      <c r="B156" s="2" t="n">
        <v>1.55</v>
      </c>
      <c r="C156" s="2" t="n">
        <v>0.8763354944022935</v>
      </c>
      <c r="D156" s="2" t="n">
        <v>0.6768702132631685</v>
      </c>
      <c r="E156" s="2" t="n">
        <v>0.4170453953525173</v>
      </c>
      <c r="F156" s="2">
        <f>IF(AND(C156&gt;=D156,D156&gt;=E156),"PASS","FAIL")</f>
        <v/>
      </c>
    </row>
    <row r="157">
      <c r="A157" s="2" t="inlineStr">
        <is>
          <t>TCWS2_TRACKER_SBOS_SYNTHETIC_T4_ORDERED_STATES</t>
        </is>
      </c>
      <c r="B157" s="2" t="n">
        <v>1.6</v>
      </c>
      <c r="C157" s="2" t="n">
        <v>0.8979850451266335</v>
      </c>
      <c r="D157" s="2" t="n">
        <v>0.7161741135312216</v>
      </c>
      <c r="E157" s="2" t="n">
        <v>0.4605929390159945</v>
      </c>
      <c r="F157" s="2">
        <f>IF(AND(C157&gt;=D157,D157&gt;=E157),"PASS","FAIL")</f>
        <v/>
      </c>
    </row>
    <row r="158">
      <c r="A158" s="2" t="inlineStr">
        <is>
          <t>TCWS2_TRACKER_SBOS_SYNTHETIC_T4_ORDERED_STATES</t>
        </is>
      </c>
      <c r="B158" s="2" t="n">
        <v>1.65</v>
      </c>
      <c r="C158" s="2" t="n">
        <v>0.9162130775068952</v>
      </c>
      <c r="D158" s="2" t="n">
        <v>0.7519720825251854</v>
      </c>
      <c r="E158" s="2" t="n">
        <v>0.5033431678911592</v>
      </c>
      <c r="F158" s="2">
        <f>IF(AND(C158&gt;=D158,D158&gt;=E158),"PASS","FAIL")</f>
        <v/>
      </c>
    </row>
    <row r="159">
      <c r="A159" s="2" t="inlineStr">
        <is>
          <t>TCWS2_TRACKER_SBOS_SYNTHETIC_T4_ORDERED_STATES</t>
        </is>
      </c>
      <c r="B159" s="2" t="n">
        <v>1.7</v>
      </c>
      <c r="C159" s="2" t="n">
        <v>0.9314560304947099</v>
      </c>
      <c r="D159" s="2" t="n">
        <v>0.7842843027603802</v>
      </c>
      <c r="E159" s="2" t="n">
        <v>0.5448589783796864</v>
      </c>
      <c r="F159" s="2">
        <f>IF(AND(C159&gt;=D159,D159&gt;=E159),"PASS","FAIL")</f>
        <v/>
      </c>
    </row>
    <row r="160">
      <c r="A160" s="2" t="inlineStr">
        <is>
          <t>TCWS2_TRACKER_SBOS_SYNTHETIC_T4_ORDERED_STATES</t>
        </is>
      </c>
      <c r="B160" s="2" t="n">
        <v>1.75</v>
      </c>
      <c r="C160" s="2" t="n">
        <v>0.9441253736121052</v>
      </c>
      <c r="D160" s="2" t="n">
        <v>0.813212884889789</v>
      </c>
      <c r="E160" s="2" t="n">
        <v>0.5847781820939026</v>
      </c>
      <c r="F160" s="2">
        <f>IF(AND(C160&gt;=D160,D160&gt;=E160),"PASS","FAIL")</f>
        <v/>
      </c>
    </row>
    <row r="161">
      <c r="A161" s="2" t="inlineStr">
        <is>
          <t>TCWS2_TRACKER_SBOS_SYNTHETIC_T4_ORDERED_STATES</t>
        </is>
      </c>
      <c r="B161" s="2" t="n">
        <v>1.8</v>
      </c>
      <c r="C161" s="2" t="n">
        <v>0.954598526954984</v>
      </c>
      <c r="D161" s="2" t="n">
        <v>0.8389208460944241</v>
      </c>
      <c r="E161" s="2" t="n">
        <v>0.6228144665887887</v>
      </c>
      <c r="F161" s="2">
        <f>IF(AND(C161&gt;=D161,D161&gt;=E161),"PASS","FAIL")</f>
        <v/>
      </c>
    </row>
    <row r="162">
      <c r="A162" s="2" t="inlineStr">
        <is>
          <t>TCWS2_TRACKER_SBOS_SYNTHETIC_T4_ORDERED_STATES</t>
        </is>
      </c>
      <c r="B162" s="2" t="n">
        <v>1.85</v>
      </c>
      <c r="C162" s="2" t="n">
        <v>0.9632142501381238</v>
      </c>
      <c r="D162" s="2" t="n">
        <v>0.8616133857861692</v>
      </c>
      <c r="E162" s="2" t="n">
        <v>0.6587548691126115</v>
      </c>
      <c r="F162" s="2">
        <f>IF(AND(C162&gt;=D162,D162&gt;=E162),"PASS","FAIL")</f>
        <v/>
      </c>
    </row>
    <row r="163">
      <c r="A163" s="2" t="inlineStr">
        <is>
          <t>TCWS2_TRACKER_SBOS_SYNTHETIC_T4_ORDERED_STATES</t>
        </is>
      </c>
      <c r="B163" s="2" t="n">
        <v>1.9</v>
      </c>
      <c r="C163" s="2" t="n">
        <v>0.9702712972319739</v>
      </c>
      <c r="D163" s="2" t="n">
        <v>0.8815219088966435</v>
      </c>
      <c r="E163" s="2" t="n">
        <v>0.692454663242601</v>
      </c>
      <c r="F163" s="2">
        <f>IF(AND(C163&gt;=D163,D163&gt;=E163),"PASS","FAIL")</f>
        <v/>
      </c>
    </row>
    <row r="164">
      <c r="A164" s="2" t="inlineStr">
        <is>
          <t>TCWS2_TRACKER_SBOS_SYNTHETIC_T4_ORDERED_STATES</t>
        </is>
      </c>
      <c r="B164" s="2" t="n">
        <v>1.95</v>
      </c>
      <c r="C164" s="2" t="n">
        <v>0.9760293302447334</v>
      </c>
      <c r="D164" s="2" t="n">
        <v>0.8988909182491616</v>
      </c>
      <c r="E164" s="2" t="n">
        <v>0.723830496902655</v>
      </c>
      <c r="F164" s="2">
        <f>IF(AND(C164&gt;=D164,D164&gt;=E164),"PASS","FAIL")</f>
        <v/>
      </c>
    </row>
    <row r="165">
      <c r="A165" s="2" t="inlineStr">
        <is>
          <t>TCWS2_TRACKER_SBOS_SYNTHETIC_T4_ORDERED_STATES</t>
        </is>
      </c>
      <c r="B165" s="2" t="n">
        <v>2</v>
      </c>
      <c r="C165" s="2" t="n">
        <v>0.9807112881466664</v>
      </c>
      <c r="D165" s="2" t="n">
        <v>0.9139676702889865</v>
      </c>
      <c r="E165" s="2" t="n">
        <v>0.7528525146395476</v>
      </c>
      <c r="F165" s="2">
        <f>IF(AND(C165&gt;=D165,D165&gt;=E165),"PASS","FAIL")</f>
        <v/>
      </c>
    </row>
  </sheetData>
  <autoFilter ref="A1:F1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  <col width="12" customWidth="1" min="3" max="3"/>
    <col width="35" customWidth="1" min="4" max="4"/>
    <col width="55" customWidth="1" min="5" max="5"/>
  </cols>
  <sheetData>
    <row r="1">
      <c r="A1" s="1" t="inlineStr">
        <is>
          <t>Curve ID</t>
        </is>
      </c>
      <c r="B1" s="1" t="inlineStr">
        <is>
          <t>State ID</t>
        </is>
      </c>
      <c r="C1" s="1" t="inlineStr">
        <is>
          <t>Cost ratio</t>
        </is>
      </c>
      <c r="D1" s="1" t="inlineStr">
        <is>
          <t>Tier</t>
        </is>
      </c>
      <c r="E1" s="1" t="inlineStr">
        <is>
          <t>Meaning</t>
        </is>
      </c>
    </row>
    <row r="2">
      <c r="A2" s="2" t="inlineStr">
        <is>
          <t>TCWS2_FIXED_MODULE_SYNTHETIC_T4_ORDERED_STATES</t>
        </is>
      </c>
      <c r="B2" s="2" t="inlineStr">
        <is>
          <t>MODULE_DS0_NO_DIRECT_DAMAGE</t>
        </is>
      </c>
      <c r="C2" s="2" t="n">
        <v>0</v>
      </c>
      <c r="D2" s="2" t="inlineStr">
        <is>
          <t>T4_placeholder_or_expert_judgment</t>
        </is>
      </c>
      <c r="E2" s="2" t="inlineStr">
        <is>
          <t>no direct physical module-field repair; synthetic coverage state cost, not an observed or calibrated hazard consequence</t>
        </is>
      </c>
    </row>
    <row r="3">
      <c r="A3" s="2" t="inlineStr">
        <is>
          <t>TCWS2_FIXED_MODULE_SYNTHETIC_T4_ORDERED_STATES</t>
        </is>
      </c>
      <c r="B3" s="2" t="inlineStr">
        <is>
          <t>MODULE_DS1_LOCALIZED_REPLACEMENT</t>
        </is>
      </c>
      <c r="C3" s="2" t="n">
        <v>0.1</v>
      </c>
      <c r="D3" s="2" t="inlineStr">
        <is>
          <t>T4_placeholder_or_expert_judgment</t>
        </is>
      </c>
      <c r="E3" s="2" t="inlineStr">
        <is>
          <t>localized module, frame, or retention replacement; synthetic coverage state cost, not an observed or calibrated hazard consequence</t>
        </is>
      </c>
    </row>
    <row r="4">
      <c r="A4" s="2" t="inlineStr">
        <is>
          <t>TCWS2_FIXED_MODULE_SYNTHETIC_T4_ORDERED_STATES</t>
        </is>
      </c>
      <c r="B4" s="2" t="inlineStr">
        <is>
          <t>MODULE_DS2_FIELD_REPLACEMENT</t>
        </is>
      </c>
      <c r="C4" s="2" t="n">
        <v>1</v>
      </c>
      <c r="D4" s="2" t="inlineStr">
        <is>
          <t>T4_placeholder_or_expert_judgment</t>
        </is>
      </c>
      <c r="E4" s="2" t="inlineStr">
        <is>
          <t>replace the exposed module-field failure unit; synthetic coverage state cost, not an observed or calibrated hazard consequence</t>
        </is>
      </c>
    </row>
    <row r="5">
      <c r="A5" s="2" t="inlineStr">
        <is>
          <t>TCWS2_FIXED_STRUCTURE_SYNTHETIC_T4_ORDERED_STATES</t>
        </is>
      </c>
      <c r="B5" s="2" t="inlineStr">
        <is>
          <t>STRUCT_DS0_NO_DIRECT_DAMAGE</t>
        </is>
      </c>
      <c r="C5" s="2" t="n">
        <v>0</v>
      </c>
      <c r="D5" s="2" t="inlineStr">
        <is>
          <t>T4_placeholder_or_expert_judgment</t>
        </is>
      </c>
      <c r="E5" s="2" t="inlineStr">
        <is>
          <t>no direct structural repair; synthetic coverage state cost, not an observed or calibrated hazard consequence</t>
        </is>
      </c>
    </row>
    <row r="6">
      <c r="A6" s="2" t="inlineStr">
        <is>
          <t>TCWS2_FIXED_STRUCTURE_SYNTHETIC_T4_ORDERED_STATES</t>
        </is>
      </c>
      <c r="B6" s="2" t="inlineStr">
        <is>
          <t>STRUCT_DS1_LOCALIZED_REPAIR</t>
        </is>
      </c>
      <c r="C6" s="2" t="n">
        <v>0.15</v>
      </c>
      <c r="D6" s="2" t="inlineStr">
        <is>
          <t>T4_placeholder_or_expert_judgment</t>
        </is>
      </c>
      <c r="E6" s="2" t="inlineStr">
        <is>
          <t>localized connection, rail, brace, or post repair; synthetic coverage state cost, not an observed or calibrated hazard consequence</t>
        </is>
      </c>
    </row>
    <row r="7">
      <c r="A7" s="2" t="inlineStr">
        <is>
          <t>TCWS2_FIXED_STRUCTURE_SYNTHETIC_T4_ORDERED_STATES</t>
        </is>
      </c>
      <c r="B7" s="2" t="inlineStr">
        <is>
          <t>STRUCT_DS2_FULL_UNIT_REPLACEMENT</t>
        </is>
      </c>
      <c r="C7" s="2" t="n">
        <v>1</v>
      </c>
      <c r="D7" s="2" t="inlineStr">
        <is>
          <t>T4_placeholder_or_expert_judgment</t>
        </is>
      </c>
      <c r="E7" s="2" t="inlineStr">
        <is>
          <t>full replacement of the support/SBOS failure unit; module disposition is outside this unit and excluded pending a governed joint-state model; synthetic coverage state cost, not an observed or calibrated hazard consequence</t>
        </is>
      </c>
    </row>
    <row r="8">
      <c r="A8" s="2" t="inlineStr">
        <is>
          <t>TCWS2_FIXED_STRUCTURE_SYNTHETIC_T4_ORDERED_STATES</t>
        </is>
      </c>
      <c r="B8" s="2" t="inlineStr">
        <is>
          <t>STRUCT_DS3_TERMINAL_UNIT_FAILURE</t>
        </is>
      </c>
      <c r="C8" s="2" t="n">
        <v>1</v>
      </c>
      <c r="D8" s="2" t="inlineStr">
        <is>
          <t>T4_placeholder_or_expert_judgment</t>
        </is>
      </c>
      <c r="E8" s="2" t="inlineStr">
        <is>
          <t>terminal destructive failure of the support/SBOS failure unit only; module disposition and any cascade are excluded pending a governed joint-state model; synthetic coverage state cost, not an observed or calibrated hazard consequence</t>
        </is>
      </c>
    </row>
    <row r="9">
      <c r="A9" s="2" t="inlineStr">
        <is>
          <t>TCWS2_TRACKER_MODULE_SYNTHETIC_T4_ORDERED_STATES</t>
        </is>
      </c>
      <c r="B9" s="2" t="inlineStr">
        <is>
          <t>MODULE_DS0_NO_DIRECT_DAMAGE</t>
        </is>
      </c>
      <c r="C9" s="2" t="n">
        <v>0</v>
      </c>
      <c r="D9" s="2" t="inlineStr">
        <is>
          <t>T4_placeholder_or_expert_judgment</t>
        </is>
      </c>
      <c r="E9" s="2" t="inlineStr">
        <is>
          <t>no direct physical module-field repair; synthetic coverage state cost, not an observed or calibrated hazard consequence</t>
        </is>
      </c>
    </row>
    <row r="10">
      <c r="A10" s="2" t="inlineStr">
        <is>
          <t>TCWS2_TRACKER_MODULE_SYNTHETIC_T4_ORDERED_STATES</t>
        </is>
      </c>
      <c r="B10" s="2" t="inlineStr">
        <is>
          <t>MODULE_DS1_LOCALIZED_REPLACEMENT</t>
        </is>
      </c>
      <c r="C10" s="2" t="n">
        <v>0.1</v>
      </c>
      <c r="D10" s="2" t="inlineStr">
        <is>
          <t>T4_placeholder_or_expert_judgment</t>
        </is>
      </c>
      <c r="E10" s="2" t="inlineStr">
        <is>
          <t>localized module, frame, or retention replacement; synthetic coverage state cost, not an observed or calibrated hazard consequence</t>
        </is>
      </c>
    </row>
    <row r="11">
      <c r="A11" s="2" t="inlineStr">
        <is>
          <t>TCWS2_TRACKER_MODULE_SYNTHETIC_T4_ORDERED_STATES</t>
        </is>
      </c>
      <c r="B11" s="2" t="inlineStr">
        <is>
          <t>MODULE_DS2_FIELD_REPLACEMENT</t>
        </is>
      </c>
      <c r="C11" s="2" t="n">
        <v>1</v>
      </c>
      <c r="D11" s="2" t="inlineStr">
        <is>
          <t>T4_placeholder_or_expert_judgment</t>
        </is>
      </c>
      <c r="E11" s="2" t="inlineStr">
        <is>
          <t>replace the exposed tracker module-field failure unit; synthetic coverage state cost, not an observed or calibrated hazard consequence</t>
        </is>
      </c>
    </row>
    <row r="12">
      <c r="A12" s="2" t="inlineStr">
        <is>
          <t>TCWS2_TRACKER_SBOS_SYNTHETIC_T4_ORDERED_STATES</t>
        </is>
      </c>
      <c r="B12" s="2" t="inlineStr">
        <is>
          <t>STRUCT_DS0_NO_DIRECT_DAMAGE</t>
        </is>
      </c>
      <c r="C12" s="2" t="n">
        <v>0</v>
      </c>
      <c r="D12" s="2" t="inlineStr">
        <is>
          <t>T4_placeholder_or_expert_judgment</t>
        </is>
      </c>
      <c r="E12" s="2" t="inlineStr">
        <is>
          <t>no direct tracker structural repair; synthetic coverage state cost, not an observed or calibrated hazard consequence</t>
        </is>
      </c>
    </row>
    <row r="13">
      <c r="A13" s="2" t="inlineStr">
        <is>
          <t>TCWS2_TRACKER_SBOS_SYNTHETIC_T4_ORDERED_STATES</t>
        </is>
      </c>
      <c r="B13" s="2" t="inlineStr">
        <is>
          <t>STRUCT_DS1_LOCALIZED_REPAIR</t>
        </is>
      </c>
      <c r="C13" s="2" t="n">
        <v>0.15</v>
      </c>
      <c r="D13" s="2" t="inlineStr">
        <is>
          <t>T4_placeholder_or_expert_judgment</t>
        </is>
      </c>
      <c r="E13" s="2" t="inlineStr">
        <is>
          <t>localized tracker structural or drive-row repair; synthetic coverage state cost, not an observed or calibrated hazard consequence</t>
        </is>
      </c>
    </row>
    <row r="14">
      <c r="A14" s="2" t="inlineStr">
        <is>
          <t>TCWS2_TRACKER_SBOS_SYNTHETIC_T4_ORDERED_STATES</t>
        </is>
      </c>
      <c r="B14" s="2" t="inlineStr">
        <is>
          <t>STRUCT_DS2_FULL_UNIT_REPLACEMENT</t>
        </is>
      </c>
      <c r="C14" s="2" t="n">
        <v>1</v>
      </c>
      <c r="D14" s="2" t="inlineStr">
        <is>
          <t>T4_placeholder_or_expert_judgment</t>
        </is>
      </c>
      <c r="E14" s="2" t="inlineStr">
        <is>
          <t>full replacement of the support/SBOS failure unit; module disposition is outside this unit and excluded pending a governed joint-state model; synthetic coverage state cost, not an observed or calibrated hazard consequence</t>
        </is>
      </c>
    </row>
    <row r="15">
      <c r="A15" s="2" t="inlineStr">
        <is>
          <t>TCWS2_TRACKER_SBOS_SYNTHETIC_T4_ORDERED_STATES</t>
        </is>
      </c>
      <c r="B15" s="2" t="inlineStr">
        <is>
          <t>STRUCT_DS3_TERMINAL_UNIT_FAILURE</t>
        </is>
      </c>
      <c r="C15" s="2" t="n">
        <v>1</v>
      </c>
      <c r="D15" s="2" t="inlineStr">
        <is>
          <t>T4_placeholder_or_expert_judgment</t>
        </is>
      </c>
      <c r="E15" s="2" t="inlineStr">
        <is>
          <t>terminal destructive failure of the support/SBOS failure unit only; module disposition and any cascade are excluded pending a governed joint-state model; synthetic coverage state cost, not an observed or calibrated hazard consequence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35" customWidth="1" min="5" max="5"/>
  </cols>
  <sheetData>
    <row r="1">
      <c r="A1" s="1" t="inlineStr">
        <is>
          <t>x_mps</t>
        </is>
      </c>
      <c r="B1" s="1" t="inlineStr">
        <is>
          <t>v1_proxy_DR</t>
        </is>
      </c>
      <c r="C1" s="1" t="inlineStr">
        <is>
          <t>v2_proxy_DR</t>
        </is>
      </c>
      <c r="D1" s="1" t="inlineStr">
        <is>
          <t>Delta</t>
        </is>
      </c>
      <c r="E1" s="1" t="inlineStr">
        <is>
          <t>QA</t>
        </is>
      </c>
    </row>
    <row r="2">
      <c r="A2" s="2" t="n">
        <v>17.4</v>
      </c>
      <c r="B2" s="2" t="n">
        <v>0</v>
      </c>
      <c r="C2" s="2" t="n">
        <v>0</v>
      </c>
      <c r="D2" s="2">
        <f>C2-B2</f>
        <v/>
      </c>
      <c r="E2" s="2">
        <f>IF(ABS(D2)&lt;1E-15,"PASS","FAIL")</f>
        <v/>
      </c>
    </row>
    <row r="3">
      <c r="A3" s="2" t="n">
        <v>18.3</v>
      </c>
      <c r="B3" s="2" t="n">
        <v>0</v>
      </c>
      <c r="C3" s="2" t="n">
        <v>0</v>
      </c>
      <c r="D3" s="2">
        <f>C3-B3</f>
        <v/>
      </c>
      <c r="E3" s="2">
        <f>IF(ABS(D3)&lt;1E-15,"PASS","FAIL")</f>
        <v/>
      </c>
    </row>
    <row r="4">
      <c r="A4" s="2" t="n">
        <v>20.7</v>
      </c>
      <c r="B4" s="2" t="n">
        <v>0.00027276656</v>
      </c>
      <c r="C4" s="2" t="n">
        <v>0.00027276656</v>
      </c>
      <c r="D4" s="2">
        <f>C4-B4</f>
        <v/>
      </c>
      <c r="E4" s="2">
        <f>IF(ABS(D4)&lt;1E-15,"PASS","FAIL")</f>
        <v/>
      </c>
    </row>
    <row r="5">
      <c r="A5" s="2" t="n">
        <v>24.6</v>
      </c>
      <c r="B5" s="2" t="n">
        <v>0.00027276656</v>
      </c>
      <c r="C5" s="2" t="n">
        <v>0.00027276656</v>
      </c>
      <c r="D5" s="2">
        <f>C5-B5</f>
        <v/>
      </c>
      <c r="E5" s="2">
        <f>IF(ABS(D5)&lt;1E-15,"PASS","FAIL")</f>
        <v/>
      </c>
    </row>
    <row r="6">
      <c r="A6" s="2" t="n">
        <v>24.8</v>
      </c>
      <c r="B6" s="2" t="n">
        <v>0.000955175835</v>
      </c>
      <c r="C6" s="2" t="n">
        <v>0.000955175835</v>
      </c>
      <c r="D6" s="2">
        <f>C6-B6</f>
        <v/>
      </c>
      <c r="E6" s="2">
        <f>IF(ABS(D6)&lt;1E-15,"PASS","FAIL")</f>
        <v/>
      </c>
    </row>
    <row r="7">
      <c r="A7" s="2" t="n">
        <v>25.1</v>
      </c>
      <c r="B7" s="2" t="n">
        <v>0.000955175835</v>
      </c>
      <c r="C7" s="2" t="n">
        <v>0.000955175835</v>
      </c>
      <c r="D7" s="2">
        <f>C7-B7</f>
        <v/>
      </c>
      <c r="E7" s="2">
        <f>IF(ABS(D7)&lt;1E-15,"PASS","FAIL")</f>
        <v/>
      </c>
    </row>
    <row r="8">
      <c r="A8" s="2" t="n">
        <v>25.9</v>
      </c>
      <c r="B8" s="2" t="n">
        <v>0.001853190692857</v>
      </c>
      <c r="C8" s="2" t="n">
        <v>0.001853190692857</v>
      </c>
      <c r="D8" s="2">
        <f>C8-B8</f>
        <v/>
      </c>
      <c r="E8" s="2">
        <f>IF(ABS(D8)&lt;1E-15,"PASS","FAIL")</f>
        <v/>
      </c>
    </row>
    <row r="9">
      <c r="A9" s="2" t="n">
        <v>29.5</v>
      </c>
      <c r="B9" s="2" t="n">
        <v>0.001853190692857</v>
      </c>
      <c r="C9" s="2" t="n">
        <v>0.001853190692857</v>
      </c>
      <c r="D9" s="2">
        <f>C9-B9</f>
        <v/>
      </c>
      <c r="E9" s="2">
        <f>IF(ABS(D9)&lt;1E-15,"PASS","FAIL")</f>
        <v/>
      </c>
    </row>
    <row r="10">
      <c r="A10" s="2" t="n">
        <v>29.8</v>
      </c>
      <c r="B10" s="2" t="n">
        <v>0.004054775905</v>
      </c>
      <c r="C10" s="2" t="n">
        <v>0.004054775905</v>
      </c>
      <c r="D10" s="2">
        <f>C10-B10</f>
        <v/>
      </c>
      <c r="E10" s="2">
        <f>IF(ABS(D10)&lt;1E-15,"PASS","FAIL")</f>
        <v/>
      </c>
    </row>
    <row r="11">
      <c r="A11" s="2" t="n">
        <v>31.7</v>
      </c>
      <c r="B11" s="2" t="n">
        <v>0.00441454805</v>
      </c>
      <c r="C11" s="2" t="n">
        <v>0.00441454805</v>
      </c>
      <c r="D11" s="2">
        <f>C11-B11</f>
        <v/>
      </c>
      <c r="E11" s="2">
        <f>IF(ABS(D11)&lt;1E-15,"PASS","FAIL")</f>
        <v/>
      </c>
    </row>
    <row r="12">
      <c r="A12" s="2" t="n">
        <v>37.9</v>
      </c>
      <c r="B12" s="2" t="n">
        <v>0.00441454805</v>
      </c>
      <c r="C12" s="2" t="n">
        <v>0.00441454805</v>
      </c>
      <c r="D12" s="2">
        <f>C12-B12</f>
        <v/>
      </c>
      <c r="E12" s="2">
        <f>IF(ABS(D12)&lt;1E-15,"PASS","FAIL")</f>
        <v/>
      </c>
    </row>
    <row r="13">
      <c r="A13" s="2" t="n">
        <v>38.9</v>
      </c>
      <c r="B13" s="2" t="n">
        <v>0.0182729376325</v>
      </c>
      <c r="C13" s="2" t="n">
        <v>0.0182729376325</v>
      </c>
      <c r="D13" s="2">
        <f>C13-B13</f>
        <v/>
      </c>
      <c r="E13" s="2">
        <f>IF(ABS(D13)&lt;1E-15,"PASS","FAIL")</f>
        <v/>
      </c>
    </row>
    <row r="14">
      <c r="A14" s="2" t="n">
        <v>39.1</v>
      </c>
      <c r="B14" s="2" t="n">
        <v>0.0182729376325</v>
      </c>
      <c r="C14" s="2" t="n">
        <v>0.0182729376325</v>
      </c>
      <c r="D14" s="2">
        <f>C14-B14</f>
        <v/>
      </c>
      <c r="E14" s="2">
        <f>IF(ABS(D14)&lt;1E-15,"PASS","FAIL")</f>
        <v/>
      </c>
    </row>
  </sheetData>
  <autoFilter ref="A1:E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6" customWidth="1" min="3" max="3"/>
    <col width="33" customWidth="1" min="4" max="4"/>
  </cols>
  <sheetData>
    <row r="1">
      <c r="A1" s="1" t="inlineStr">
        <is>
          <t>Fields/control</t>
        </is>
      </c>
      <c r="B1" s="1" t="inlineStr">
        <is>
          <t>Single treatment</t>
        </is>
      </c>
      <c r="C1" s="1" t="inlineStr">
        <is>
          <t>Prohibited double count</t>
        </is>
      </c>
      <c r="D1" s="1" t="inlineStr">
        <is>
          <t>Missing behavior</t>
        </is>
      </c>
    </row>
    <row r="2">
      <c r="A2" s="2" t="inlineStr">
        <is>
          <t>TC wind field + delivered demand</t>
        </is>
      </c>
      <c r="B2" s="2" t="inlineStr">
        <is>
          <t>one named bridge feeds the normalized axis</t>
        </is>
      </c>
      <c r="C2" s="2" t="inlineStr">
        <is>
          <t>reapply profile/terrain multiplier</t>
        </is>
      </c>
      <c r="D2" s="2" t="inlineStr">
        <is>
          <t>reject</t>
        </is>
      </c>
    </row>
    <row r="3">
      <c r="A3" s="2" t="inlineStr">
        <is>
          <t>direction/duration/cycling</t>
        </is>
      </c>
      <c r="B3" s="2" t="inlineStr">
        <is>
          <t>bridge input or metadata only</t>
        </is>
      </c>
      <c r="C3" s="2" t="inlineStr">
        <is>
          <t>curve multiplier after bridge</t>
        </is>
      </c>
      <c r="D3" s="2" t="inlineStr">
        <is>
          <t>unknown flag; no credit</t>
        </is>
      </c>
    </row>
    <row r="4">
      <c r="A4" s="2" t="inlineStr">
        <is>
          <t>tracker stow/angle/lock</t>
        </is>
      </c>
      <c r="B4" s="2" t="inlineStr">
        <is>
          <t>attained state exactly matches Ucrit basis</t>
        </is>
      </c>
      <c r="C4" s="2" t="inlineStr">
        <is>
          <t>generic stow discount</t>
        </is>
      </c>
      <c r="D4" s="2" t="inlineStr">
        <is>
          <t>reject</t>
        </is>
      </c>
    </row>
    <row r="5">
      <c r="A5" s="2" t="inlineStr">
        <is>
          <t>rain/debris/flood/tornado</t>
        </is>
      </c>
      <c r="B5" s="2" t="inlineStr">
        <is>
          <t>separate pathway under event_family_id</t>
        </is>
      </c>
      <c r="C5" s="2" t="inlineStr">
        <is>
          <t>add to source-composite/PV wind DR</t>
        </is>
      </c>
      <c r="D5" s="2" t="inlineStr">
        <is>
          <t>unknown flag or acknowledgement</t>
        </is>
      </c>
    </row>
    <row r="6">
      <c r="A6" s="2" t="inlineStr">
        <is>
          <t>array vs GSU exposure</t>
        </is>
      </c>
      <c r="B6" s="2" t="inlineStr">
        <is>
          <t>separate row/yard spatial subjects</t>
        </is>
      </c>
      <c r="C6" s="2" t="inlineStr">
        <is>
          <t>copy array exposed fraction</t>
        </is>
      </c>
      <c r="D6" s="2" t="inlineStr">
        <is>
          <t>GSU withheld</t>
        </is>
      </c>
    </row>
    <row r="7">
      <c r="A7" s="2" t="inlineStr">
        <is>
          <t>direct damage vs support</t>
        </is>
      </c>
      <c r="B7" s="2" t="inlineStr">
        <is>
          <t>direct DR first; support once later</t>
        </is>
      </c>
      <c r="C7" s="2" t="inlineStr">
        <is>
          <t>support curve plus allocation</t>
        </is>
      </c>
      <c r="D7" s="2" t="inlineStr">
        <is>
          <t>support withheld</t>
        </is>
      </c>
    </row>
  </sheetData>
  <autoFilter ref="A1:D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6" customWidth="1" min="3" max="3"/>
    <col width="16" customWidth="1" min="4" max="4"/>
  </cols>
  <sheetData>
    <row r="1">
      <c r="A1" s="1" t="inlineStr">
        <is>
          <t>Test ID</t>
        </is>
      </c>
      <c r="B1" s="1" t="inlineStr">
        <is>
          <t>Type</t>
        </is>
      </c>
      <c r="C1" s="1" t="inlineStr">
        <is>
          <t>Expected status/error</t>
        </is>
      </c>
      <c r="D1" s="1" t="inlineStr">
        <is>
          <t>Axis</t>
        </is>
      </c>
    </row>
    <row r="2">
      <c r="A2" s="2" t="inlineStr">
        <is>
          <t>FIXED_DIRECT_0_0</t>
        </is>
      </c>
      <c r="B2" s="2" t="inlineStr">
        <is>
          <t>runtime</t>
        </is>
      </c>
      <c r="C2" s="2" t="inlineStr">
        <is>
          <t>conditional;withheld</t>
        </is>
      </c>
      <c r="D2" s="2" t="n">
        <v>0</v>
      </c>
    </row>
    <row r="3">
      <c r="A3" s="2" t="inlineStr">
        <is>
          <t>FIXED_DIRECT_0_5</t>
        </is>
      </c>
      <c r="B3" s="2" t="inlineStr">
        <is>
          <t>runtime</t>
        </is>
      </c>
      <c r="C3" s="2" t="inlineStr">
        <is>
          <t>conditional;withheld</t>
        </is>
      </c>
      <c r="D3" s="2" t="n">
        <v>0.5</v>
      </c>
    </row>
    <row r="4">
      <c r="A4" s="2" t="inlineStr">
        <is>
          <t>FIXED_DIRECT_1_0</t>
        </is>
      </c>
      <c r="B4" s="2" t="inlineStr">
        <is>
          <t>runtime</t>
        </is>
      </c>
      <c r="C4" s="2" t="inlineStr">
        <is>
          <t>conditional;withheld</t>
        </is>
      </c>
      <c r="D4" s="2" t="n">
        <v>1</v>
      </c>
    </row>
    <row r="5">
      <c r="A5" s="2" t="inlineStr">
        <is>
          <t>FIXED_DIRECT_1_5</t>
        </is>
      </c>
      <c r="B5" s="2" t="inlineStr">
        <is>
          <t>runtime</t>
        </is>
      </c>
      <c r="C5" s="2" t="inlineStr">
        <is>
          <t>conditional;withheld</t>
        </is>
      </c>
      <c r="D5" s="2" t="n">
        <v>1.5</v>
      </c>
    </row>
    <row r="6">
      <c r="A6" s="2" t="inlineStr">
        <is>
          <t>FIXED_DIRECT_2_0</t>
        </is>
      </c>
      <c r="B6" s="2" t="inlineStr">
        <is>
          <t>runtime</t>
        </is>
      </c>
      <c r="C6" s="2" t="inlineStr">
        <is>
          <t>conditional;withheld</t>
        </is>
      </c>
      <c r="D6" s="2" t="n">
        <v>2</v>
      </c>
    </row>
    <row r="7">
      <c r="A7" s="2" t="inlineStr">
        <is>
          <t>FIXED_SPEED_PROXY_0_81</t>
        </is>
      </c>
      <c r="B7" s="2" t="inlineStr">
        <is>
          <t>runtime</t>
        </is>
      </c>
      <c r="C7" s="2" t="inlineStr">
        <is>
          <t>conditional;withheld</t>
        </is>
      </c>
      <c r="D7" s="2" t="n">
        <v>0.8100000000000001</v>
      </c>
    </row>
    <row r="8">
      <c r="A8" s="2" t="inlineStr">
        <is>
          <t>TRACKER_0_0</t>
        </is>
      </c>
      <c r="B8" s="2" t="inlineStr">
        <is>
          <t>runtime</t>
        </is>
      </c>
      <c r="C8" s="2" t="inlineStr">
        <is>
          <t>conditional;withheld</t>
        </is>
      </c>
      <c r="D8" s="2" t="n">
        <v>0</v>
      </c>
    </row>
    <row r="9">
      <c r="A9" s="2" t="inlineStr">
        <is>
          <t>TRACKER_0_75</t>
        </is>
      </c>
      <c r="B9" s="2" t="inlineStr">
        <is>
          <t>runtime</t>
        </is>
      </c>
      <c r="C9" s="2" t="inlineStr">
        <is>
          <t>conditional;withheld</t>
        </is>
      </c>
      <c r="D9" s="2" t="n">
        <v>0.75</v>
      </c>
    </row>
    <row r="10">
      <c r="A10" s="2" t="inlineStr">
        <is>
          <t>TRACKER_1_0</t>
        </is>
      </c>
      <c r="B10" s="2" t="inlineStr">
        <is>
          <t>runtime</t>
        </is>
      </c>
      <c r="C10" s="2" t="inlineStr">
        <is>
          <t>conditional;withheld</t>
        </is>
      </c>
      <c r="D10" s="2" t="n">
        <v>1</v>
      </c>
    </row>
    <row r="11">
      <c r="A11" s="2" t="inlineStr">
        <is>
          <t>TRACKER_1_5</t>
        </is>
      </c>
      <c r="B11" s="2" t="inlineStr">
        <is>
          <t>runtime</t>
        </is>
      </c>
      <c r="C11" s="2" t="inlineStr">
        <is>
          <t>conditional;withheld</t>
        </is>
      </c>
      <c r="D11" s="2" t="n">
        <v>1.5</v>
      </c>
    </row>
    <row r="12">
      <c r="A12" s="2" t="inlineStr">
        <is>
          <t>TRACKER_2_0</t>
        </is>
      </c>
      <c r="B12" s="2" t="inlineStr">
        <is>
          <t>runtime</t>
        </is>
      </c>
      <c r="C12" s="2" t="inlineStr">
        <is>
          <t>conditional;withheld</t>
        </is>
      </c>
      <c r="D12" s="2" t="n">
        <v>2</v>
      </c>
    </row>
    <row r="13">
      <c r="A13" s="2" t="inlineStr">
        <is>
          <t>PERRY_COMPAT_LOW</t>
        </is>
      </c>
      <c r="B13" s="2" t="inlineStr">
        <is>
          <t>runtime</t>
        </is>
      </c>
      <c r="C13" s="2" t="inlineStr">
        <is>
          <t>conditional</t>
        </is>
      </c>
      <c r="D13" s="2" t="n">
        <v>17.4</v>
      </c>
    </row>
    <row r="14">
      <c r="A14" s="2" t="inlineStr">
        <is>
          <t>PERRY_COMPAT_INTERIOR</t>
        </is>
      </c>
      <c r="B14" s="2" t="inlineStr">
        <is>
          <t>runtime</t>
        </is>
      </c>
      <c r="C14" s="2" t="inlineStr">
        <is>
          <t>conditional</t>
        </is>
      </c>
      <c r="D14" s="2" t="n">
        <v>30</v>
      </c>
    </row>
    <row r="15">
      <c r="A15" s="2" t="inlineStr">
        <is>
          <t>PERRY_COMPAT_HIGH</t>
        </is>
      </c>
      <c r="B15" s="2" t="inlineStr">
        <is>
          <t>runtime</t>
        </is>
      </c>
      <c r="C15" s="2" t="inlineStr">
        <is>
          <t>conditional</t>
        </is>
      </c>
      <c r="D15" s="2" t="n">
        <v>39.1</v>
      </c>
    </row>
    <row r="16">
      <c r="A16" s="2" t="inlineStr">
        <is>
          <t>GSU_WITHHELD</t>
        </is>
      </c>
      <c r="B16" s="2" t="inlineStr">
        <is>
          <t>runtime</t>
        </is>
      </c>
      <c r="C16" s="2" t="inlineStr">
        <is>
          <t>withheld</t>
        </is>
      </c>
      <c r="D16" s="2" t="inlineStr">
        <is>
          <t>not_applicable</t>
        </is>
      </c>
    </row>
    <row r="17">
      <c r="A17" s="2" t="inlineStr">
        <is>
          <t>REJECT_WRONG_PATHWAY</t>
        </is>
      </c>
      <c r="B17" s="2" t="inlineStr">
        <is>
          <t>rejection</t>
        </is>
      </c>
      <c r="C17" s="2" t="inlineStr">
        <is>
          <t>PATHWAY_ID_UNKNOWN</t>
        </is>
      </c>
      <c r="D17" s="2" t="inlineStr"/>
    </row>
    <row r="18">
      <c r="A18" s="2" t="inlineStr">
        <is>
          <t>REJECT_MISSING_ARCH</t>
        </is>
      </c>
      <c r="B18" s="2" t="inlineStr">
        <is>
          <t>rejection</t>
        </is>
      </c>
      <c r="C18" s="2" t="inlineStr">
        <is>
          <t>ARRAY_ARCHITECTURE_REQUIRED</t>
        </is>
      </c>
      <c r="D18" s="2" t="inlineStr"/>
    </row>
    <row r="19">
      <c r="A19" s="2" t="inlineStr">
        <is>
          <t>REJECT_UNBRIDGED_10M</t>
        </is>
      </c>
      <c r="B19" s="2" t="inlineStr">
        <is>
          <t>rejection</t>
        </is>
      </c>
      <c r="C19" s="2" t="inlineStr">
        <is>
          <t>TC_WIND_BRIDGE_REQUIRED</t>
        </is>
      </c>
      <c r="D19" s="2" t="inlineStr"/>
    </row>
    <row r="20">
      <c r="A20" s="2" t="inlineStr">
        <is>
          <t>REJECT_FIXED_MISSING_DURATION_BRIDGE</t>
        </is>
      </c>
      <c r="B20" s="2" t="inlineStr">
        <is>
          <t>rejection</t>
        </is>
      </c>
      <c r="C20" s="2" t="inlineStr">
        <is>
          <t>TC_WIND_BRIDGE_REQUIRED</t>
        </is>
      </c>
      <c r="D20" s="2" t="inlineStr"/>
    </row>
    <row r="21">
      <c r="A21" s="2" t="inlineStr">
        <is>
          <t>REJECT_TRACKER_ANGLE_MISMATCH</t>
        </is>
      </c>
      <c r="B21" s="2" t="inlineStr">
        <is>
          <t>rejection</t>
        </is>
      </c>
      <c r="C21" s="2" t="inlineStr">
        <is>
          <t>TRACKER_QUALIFICATION_BASIS_MISMATCH</t>
        </is>
      </c>
      <c r="D21" s="2" t="inlineStr"/>
    </row>
    <row r="22">
      <c r="A22" s="2" t="inlineStr">
        <is>
          <t>REJECT_TRACKER_COMMAND_ONLY</t>
        </is>
      </c>
      <c r="B22" s="2" t="inlineStr">
        <is>
          <t>rejection</t>
        </is>
      </c>
      <c r="C22" s="2" t="inlineStr">
        <is>
          <t>TRACKER_QUALIFICATION_BASIS_MISMATCH</t>
        </is>
      </c>
      <c r="D22" s="2" t="inlineStr"/>
    </row>
    <row r="23">
      <c r="A23" s="2" t="inlineStr">
        <is>
          <t>REJECT_CROSS_ARCH_UNIT</t>
        </is>
      </c>
      <c r="B23" s="2" t="inlineStr">
        <is>
          <t>rejection</t>
        </is>
      </c>
      <c r="C23" s="2" t="inlineStr">
        <is>
          <t>FAILURE_UNIT_NOT_APPLICABLE_TO_ARCHITECTURE</t>
        </is>
      </c>
      <c r="D23" s="2" t="inlineStr"/>
    </row>
    <row r="24">
      <c r="A24" s="2" t="inlineStr">
        <is>
          <t>REJECT_AXIS_ABOVE_2</t>
        </is>
      </c>
      <c r="B24" s="2" t="inlineStr">
        <is>
          <t>rejection</t>
        </is>
      </c>
      <c r="C24" s="2" t="inlineStr">
        <is>
          <t>AXIS_OUTSIDE_VALID_RANGE</t>
        </is>
      </c>
      <c r="D24" s="2" t="inlineStr"/>
    </row>
    <row r="25">
      <c r="A25" s="2" t="inlineStr">
        <is>
          <t>REJECT_COMPOUND_WITHOUT_ACK</t>
        </is>
      </c>
      <c r="B25" s="2" t="inlineStr">
        <is>
          <t>rejection</t>
        </is>
      </c>
      <c r="C25" s="2" t="inlineStr">
        <is>
          <t>COMPOUND_RECONCILIATION_REQUIRED</t>
        </is>
      </c>
      <c r="D25" s="2" t="inlineStr"/>
    </row>
    <row r="26">
      <c r="A26" s="2" t="inlineStr">
        <is>
          <t>REJECT_VALUE_PAYLOAD</t>
        </is>
      </c>
      <c r="B26" s="2" t="inlineStr">
        <is>
          <t>rejection</t>
        </is>
      </c>
      <c r="C26" s="2" t="inlineStr">
        <is>
          <t>SCENARIO_LOSS_WITHHELD_SYNTHETIC_T4_PROPOSAL</t>
        </is>
      </c>
      <c r="D26" s="2" t="inlineStr"/>
    </row>
    <row r="27">
      <c r="A27" s="2" t="inlineStr">
        <is>
          <t>REJECT_PERRY_TAIL</t>
        </is>
      </c>
      <c r="B27" s="2" t="inlineStr">
        <is>
          <t>rejection</t>
        </is>
      </c>
      <c r="C27" s="2" t="inlineStr">
        <is>
          <t>AXIS_OUTSIDE_VALID_RANGE</t>
        </is>
      </c>
      <c r="D27" s="2" t="inlineStr"/>
    </row>
    <row r="28">
      <c r="A28" s="2" t="inlineStr">
        <is>
          <t>REJECT_UNKNOWN_FIELD</t>
        </is>
      </c>
      <c r="B28" s="2" t="inlineStr">
        <is>
          <t>rejection</t>
        </is>
      </c>
      <c r="C28" s="2" t="inlineStr">
        <is>
          <t>REQUEST_FIELD_UNSUPPORTED</t>
        </is>
      </c>
      <c r="D28" s="2" t="inlineStr"/>
    </row>
    <row r="29">
      <c r="A29" s="2" t="inlineStr">
        <is>
          <t>REJECT_EXPOSURE_ALIAS</t>
        </is>
      </c>
      <c r="B29" s="2" t="inlineStr">
        <is>
          <t>rejection</t>
        </is>
      </c>
      <c r="C29" s="2" t="inlineStr">
        <is>
          <t>SCENARIO_LOSS_WITHHELD_SYNTHETIC_T4_PROPOSAL</t>
        </is>
      </c>
      <c r="D29" s="2" t="inlineStr"/>
    </row>
    <row r="30">
      <c r="A30" s="2" t="inlineStr">
        <is>
          <t>REJECT_NUMERIC_COMPOUND_BOOL</t>
        </is>
      </c>
      <c r="B30" s="2" t="inlineStr">
        <is>
          <t>rejection</t>
        </is>
      </c>
      <c r="C30" s="2" t="inlineStr">
        <is>
          <t>CONDITIONER_VALUE_UNSUPPORTED</t>
        </is>
      </c>
      <c r="D30" s="2" t="inlineStr"/>
    </row>
    <row r="31">
      <c r="A31" s="2" t="inlineStr">
        <is>
          <t>REJECT_PERRY_COMPOSITE_OVERLAP</t>
        </is>
      </c>
      <c r="B31" s="2" t="inlineStr">
        <is>
          <t>rejection</t>
        </is>
      </c>
      <c r="C31" s="2" t="inlineStr">
        <is>
          <t>PERRY_COMPOSITE_PATHWAY_OVERLAP_UNRESOLVED</t>
        </is>
      </c>
      <c r="D31" s="2" t="inlineStr"/>
    </row>
    <row r="32">
      <c r="A32" s="2" t="inlineStr">
        <is>
          <t>REJECT_TRACKER_MISSING_QUALIFICATION_SHA</t>
        </is>
      </c>
      <c r="B32" s="2" t="inlineStr">
        <is>
          <t>rejection</t>
        </is>
      </c>
      <c r="C32" s="2" t="inlineStr">
        <is>
          <t>TRACKER_QUALIFICATION_BASIS_MISMATCH</t>
        </is>
      </c>
      <c r="D32" s="2" t="inlineStr"/>
    </row>
    <row r="33">
      <c r="A33" s="2" t="inlineStr">
        <is>
          <t>REJECT_FOREIGN_ROUTE_FIELD</t>
        </is>
      </c>
      <c r="B33" s="2" t="inlineStr">
        <is>
          <t>rejection</t>
        </is>
      </c>
      <c r="C33" s="2" t="inlineStr">
        <is>
          <t>REQUEST_FIELD_UNSUPPORTED</t>
        </is>
      </c>
      <c r="D33" s="2" t="inlineStr"/>
    </row>
    <row r="34">
      <c r="A34" s="2" t="inlineStr">
        <is>
          <t>REJECT_FIXED_DIRECT_WITH_PROXY_COMPANION</t>
        </is>
      </c>
      <c r="B34" s="2" t="inlineStr">
        <is>
          <t>rejection</t>
        </is>
      </c>
      <c r="C34" s="2" t="inlineStr">
        <is>
          <t>PRESSURE_INDEX_REQUIRED</t>
        </is>
      </c>
      <c r="D34" s="2" t="inlineStr"/>
    </row>
  </sheetData>
  <autoFilter ref="A1:D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33" customWidth="1" min="3" max="3"/>
    <col width="50" customWidth="1" min="4" max="4"/>
    <col width="20" customWidth="1" min="5" max="5"/>
    <col width="19" customWidth="1" min="6" max="6"/>
    <col width="32" customWidth="1" min="7" max="7"/>
    <col width="55" customWidth="1" min="8" max="8"/>
    <col width="24" customWidth="1" min="9" max="9"/>
    <col width="31" customWidth="1" min="10" max="10"/>
    <col width="31" customWidth="1" min="11" max="11"/>
    <col width="55" customWidth="1" min="12" max="12"/>
    <col width="55" customWidth="1" min="13" max="13"/>
    <col width="46" customWidth="1" min="14" max="14"/>
    <col width="55" customWidth="1" min="15" max="15"/>
  </cols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s="2" t="inlineStr">
        <is>
          <t>NLR_Q1_2025_UPV_PV_ONLY_2024_USD</t>
        </is>
      </c>
      <c r="B2" s="2" t="inlineStr">
        <is>
          <t>docs/method/value_basis/solar_wind_value_breakdown.xlsx::Solar_Map!2</t>
        </is>
      </c>
      <c r="C2" s="2" t="inlineStr">
        <is>
          <t>SOLAR_VALUE_002_MODULE</t>
        </is>
      </c>
      <c r="D2" s="2" t="inlineStr">
        <is>
          <t>Module hardware + manufacturing allocation</t>
        </is>
      </c>
      <c r="E2" s="2" t="inlineStr">
        <is>
          <t>291.21485143992487</t>
        </is>
      </c>
      <c r="F2" s="2" t="inlineStr">
        <is>
          <t>2024_USD_per_kWdc</t>
        </is>
      </c>
      <c r="G2" s="2" t="inlineStr">
        <is>
          <t>direct_hardware</t>
        </is>
      </c>
      <c r="H2" s="2" t="inlineStr">
        <is>
          <t>PV_FIXED_TILT_MODULE_FIELD|PV_TRACKER_MODULE_FIELD</t>
        </is>
      </c>
      <c r="I2" s="2" t="inlineStr">
        <is>
          <t>tropical_cyclone_wind</t>
        </is>
      </c>
      <c r="J2" s="2" t="inlineStr">
        <is>
          <t>reference_reconciliation_only</t>
        </is>
      </c>
      <c r="K2" s="2" t="inlineStr">
        <is>
          <t>false</t>
        </is>
      </c>
      <c r="L2" s="2" t="inlineStr">
        <is>
          <t>No runtime value binding in model v2; use only to audit same-unit boundaries.</t>
        </is>
      </c>
      <c r="M2" s="2" t="inlineStr">
        <is>
          <t>Never charge both architectures, reuse a neighboring-pathway DR, or charge module replacement again through a future terminal-structure rule.</t>
        </is>
      </c>
      <c r="N2" s="2" t="inlineStr">
        <is>
          <t>mapped_reference_only_scenario_loss_withheld</t>
        </is>
      </c>
      <c r="O2" s="2" t="inlineStr">
        <is>
          <t>Exact Q1-2025 reference row reused from strong_wind_solar; TCWS-S013 is the cell source-register cross-reference. Benchmark is not an implicit site default or cap.</t>
        </is>
      </c>
    </row>
    <row r="3">
      <c r="A3" s="2" t="inlineStr">
        <is>
          <t>NLR_Q1_2025_UPV_PV_ONLY_2024_USD</t>
        </is>
      </c>
      <c r="B3" s="2" t="inlineStr">
        <is>
          <t>docs/method/value_basis/solar_wind_value_breakdown.xlsx::Solar_Map!3</t>
        </is>
      </c>
      <c r="C3" s="2" t="inlineStr">
        <is>
          <t>SOLAR_VALUE_003_MOUNTING</t>
        </is>
      </c>
      <c r="D3" s="2" t="inlineStr">
        <is>
          <t>Tracker/racking hardware</t>
        </is>
      </c>
      <c r="E3" s="2" t="inlineStr">
        <is>
          <t>109.98972602739727</t>
        </is>
      </c>
      <c r="F3" s="2" t="inlineStr">
        <is>
          <t>2024_USD_per_kWdc</t>
        </is>
      </c>
      <c r="G3" s="2" t="inlineStr">
        <is>
          <t>direct_hardware</t>
        </is>
      </c>
      <c r="H3" s="2" t="inlineStr">
        <is>
          <t>PV_FIXED_TILT_SUPPORT_STRUCTURE|PV_TRACKER_SBOS_ASSEMBLY</t>
        </is>
      </c>
      <c r="I3" s="2" t="inlineStr">
        <is>
          <t>tropical_cyclone_wind</t>
        </is>
      </c>
      <c r="J3" s="2" t="inlineStr">
        <is>
          <t>reference_reconciliation_only</t>
        </is>
      </c>
      <c r="K3" s="2" t="inlineStr">
        <is>
          <t>false</t>
        </is>
      </c>
      <c r="L3" s="2" t="inlineStr">
        <is>
          <t>No runtime value binding in model v2; use only to audit same-unit boundaries.</t>
        </is>
      </c>
      <c r="M3" s="2" t="inlineStr">
        <is>
          <t>Do not split torque tube, drive, rails, piles, and foundations beyond source support; do not sum fixed and tracker units or inherit strong-wind curves.</t>
        </is>
      </c>
      <c r="N3" s="2" t="inlineStr">
        <is>
          <t>mapped_reference_only_scenario_loss_withheld</t>
        </is>
      </c>
      <c r="O3" s="2" t="inlineStr">
        <is>
          <t>Architecture-generic reference row; v2 synthetic DR records exist, but this benchmark is not a runtime value binding or composition proof.</t>
        </is>
      </c>
    </row>
    <row r="4">
      <c r="A4" s="2" t="inlineStr">
        <is>
          <t>NLR_Q1_2025_UPV_PV_ONLY_2024_USD</t>
        </is>
      </c>
      <c r="B4" s="2" t="inlineStr">
        <is>
          <t>docs/method/value_basis/solar_wind_value_breakdown.xlsx::Solar_Map!4</t>
        </is>
      </c>
      <c r="C4" s="2" t="inlineStr">
        <is>
          <t>SOLAR_VALUE_004_FOUNDATION</t>
        </is>
      </c>
      <c r="D4" s="2" t="inlineStr">
        <is>
          <t>Driven piers + inverter pad</t>
        </is>
      </c>
      <c r="E4" s="2" t="inlineStr">
        <is>
          <t>31.12448715327472</t>
        </is>
      </c>
      <c r="F4" s="2" t="inlineStr">
        <is>
          <t>2024_USD_per_kWdc</t>
        </is>
      </c>
      <c r="G4" s="2" t="inlineStr">
        <is>
          <t>direct_hardware</t>
        </is>
      </c>
      <c r="H4" s="2" t="inlineStr">
        <is>
          <t>PV_FOUNDATION</t>
        </is>
      </c>
      <c r="I4" s="2" t="inlineStr">
        <is>
          <t>tropical_cyclone_wind</t>
        </is>
      </c>
      <c r="J4" s="2" t="inlineStr">
        <is>
          <t>withheld</t>
        </is>
      </c>
      <c r="K4" s="2" t="inlineStr">
        <is>
          <t>false</t>
        </is>
      </c>
      <c r="L4" s="2" t="inlineStr">
        <is>
          <t>Retain for reconciliation; require architecture/geotechnical split and separate TC-wind fragility before loss.</t>
        </is>
      </c>
      <c r="M4" s="2" t="inlineStr">
        <is>
          <t>Never inherit module/support DR or include surge, flood, or scour in this pathway.</t>
        </is>
      </c>
      <c r="N4" s="2" t="inlineStr">
        <is>
          <t>withheld</t>
        </is>
      </c>
      <c r="O4" s="2" t="inlineStr">
        <is>
          <t>Mixed foundation bucket; absence of a curve is not zero damage.</t>
        </is>
      </c>
    </row>
    <row r="5">
      <c r="A5" s="2" t="inlineStr">
        <is>
          <t>NLR_Q1_2025_UPV_PV_ONLY_2024_USD</t>
        </is>
      </c>
      <c r="B5" s="2" t="inlineStr">
        <is>
          <t>docs/method/value_basis/solar_wind_value_breakdown.xlsx::Solar_Map!5</t>
        </is>
      </c>
      <c r="C5" s="2" t="inlineStr">
        <is>
          <t>SOLAR_VALUE_005_INVERTER</t>
        </is>
      </c>
      <c r="D5" s="2" t="inlineStr">
        <is>
          <t>Central inverter hardware</t>
        </is>
      </c>
      <c r="E5" s="2" t="inlineStr">
        <is>
          <t>32.306366410372384</t>
        </is>
      </c>
      <c r="F5" s="2" t="inlineStr">
        <is>
          <t>2024_USD_per_kWdc</t>
        </is>
      </c>
      <c r="G5" s="2" t="inlineStr">
        <is>
          <t>direct_hardware</t>
        </is>
      </c>
      <c r="H5" s="2" t="inlineStr">
        <is>
          <t>PV_POWER_CONVERSION_AND_COLLECTION</t>
        </is>
      </c>
      <c r="I5" s="2" t="inlineStr">
        <is>
          <t>tropical_cyclone_wind</t>
        </is>
      </c>
      <c r="J5" s="2" t="inlineStr">
        <is>
          <t>withheld</t>
        </is>
      </c>
      <c r="K5" s="2" t="inlineStr">
        <is>
          <t>false</t>
        </is>
      </c>
      <c r="L5" s="2" t="inlineStr">
        <is>
          <t>Separate point-asset exposure, enclosure state, and direct TC-wind mechanism required.</t>
        </is>
      </c>
      <c r="M5" s="2" t="inlineStr">
        <is>
          <t>Do not apply array pressure DR or array exposed fraction.</t>
        </is>
      </c>
      <c r="N5" s="2" t="inlineStr">
        <is>
          <t>withheld</t>
        </is>
      </c>
      <c r="O5" s="2" t="inlineStr">
        <is>
          <t>No qualified direct TC-wind inverter curve.</t>
        </is>
      </c>
    </row>
    <row r="6">
      <c r="A6" s="2" t="inlineStr">
        <is>
          <t>NLR_Q1_2025_UPV_PV_ONLY_2024_USD</t>
        </is>
      </c>
      <c r="B6" s="2" t="inlineStr">
        <is>
          <t>docs/method/value_basis/solar_wind_value_breakdown.xlsx::Solar_Map!6</t>
        </is>
      </c>
      <c r="C6" s="2" t="inlineStr">
        <is>
          <t>SOLAR_VALUE_006_COMBINER</t>
        </is>
      </c>
      <c r="D6" s="2" t="inlineStr">
        <is>
          <t>Combiner boxes</t>
        </is>
      </c>
      <c r="E6" s="2" t="inlineStr">
        <is>
          <t>6.82625</t>
        </is>
      </c>
      <c r="F6" s="2" t="inlineStr">
        <is>
          <t>2024_USD_per_kWdc</t>
        </is>
      </c>
      <c r="G6" s="2" t="inlineStr">
        <is>
          <t>direct_hardware</t>
        </is>
      </c>
      <c r="H6" s="2" t="inlineStr">
        <is>
          <t>PV_POWER_CONVERSION_AND_COLLECTION</t>
        </is>
      </c>
      <c r="I6" s="2" t="inlineStr">
        <is>
          <t>tropical_cyclone_wind</t>
        </is>
      </c>
      <c r="J6" s="2" t="inlineStr">
        <is>
          <t>withheld</t>
        </is>
      </c>
      <c r="K6" s="2" t="inlineStr">
        <is>
          <t>false</t>
        </is>
      </c>
      <c r="L6" s="2" t="inlineStr">
        <is>
          <t>Split enclosure, location, wind pressure, debris, and ingress pathways before modeling.</t>
        </is>
      </c>
      <c r="M6" s="2" t="inlineStr">
        <is>
          <t>Do not pool with inverter, cable, GSU, or module response; debris and ingress are excluded pathways.</t>
        </is>
      </c>
      <c r="N6" s="2" t="inlineStr">
        <is>
          <t>withheld</t>
        </is>
      </c>
      <c r="O6" s="2" t="inlineStr">
        <is>
          <t>No qualified direct aerodynamic curve.</t>
        </is>
      </c>
    </row>
    <row r="7">
      <c r="A7" s="2" t="inlineStr">
        <is>
          <t>NLR_Q1_2025_UPV_PV_ONLY_2024_USD</t>
        </is>
      </c>
      <c r="B7" s="2" t="inlineStr">
        <is>
          <t>docs/method/value_basis/solar_wind_value_breakdown.xlsx::Solar_Map!7</t>
        </is>
      </c>
      <c r="C7" s="2" t="inlineStr">
        <is>
          <t>SOLAR_VALUE_007_CABLE</t>
        </is>
      </c>
      <c r="D7" s="2" t="inlineStr">
        <is>
          <t>AC and DC conductors and project electrical line</t>
        </is>
      </c>
      <c r="E7" s="2" t="inlineStr">
        <is>
          <t>69.3201119402985</t>
        </is>
      </c>
      <c r="F7" s="2" t="inlineStr">
        <is>
          <t>2024_USD_per_kWdc</t>
        </is>
      </c>
      <c r="G7" s="2" t="inlineStr">
        <is>
          <t>direct_hardware</t>
        </is>
      </c>
      <c r="H7" s="2" t="inlineStr">
        <is>
          <t>PV_POWER_CONVERSION_AND_COLLECTION</t>
        </is>
      </c>
      <c r="I7" s="2" t="inlineStr">
        <is>
          <t>tropical_cyclone_wind</t>
        </is>
      </c>
      <c r="J7" s="2" t="inlineStr">
        <is>
          <t>withheld</t>
        </is>
      </c>
      <c r="K7" s="2" t="inlineStr">
        <is>
          <t>false</t>
        </is>
      </c>
      <c r="L7" s="2" t="inlineStr">
        <is>
          <t>Split exposed, buried, conduit, termination, and line/network segments before spatial allocation.</t>
        </is>
      </c>
      <c r="M7" s="2" t="inlineStr">
        <is>
          <t>Do not reuse array-zone or GSU point exposure.</t>
        </is>
      </c>
      <c r="N7" s="2" t="inlineStr">
        <is>
          <t>withheld</t>
        </is>
      </c>
      <c r="O7" s="2" t="inlineStr">
        <is>
          <t>Mixed line-asset value; no qualified TC-wind curve.</t>
        </is>
      </c>
    </row>
    <row r="8">
      <c r="A8" s="2" t="inlineStr">
        <is>
          <t>NLR_Q1_2025_UPV_PV_ONLY_2024_USD</t>
        </is>
      </c>
      <c r="B8" s="2" t="inlineStr">
        <is>
          <t>docs/method/value_basis/solar_wind_value_breakdown.xlsx::Solar_Map!8</t>
        </is>
      </c>
      <c r="C8" s="2" t="inlineStr">
        <is>
          <t>SOLAR_VALUE_008_MV</t>
        </is>
      </c>
      <c r="D8" s="2" t="inlineStr">
        <is>
          <t>Transformer, switches, breakers and substation</t>
        </is>
      </c>
      <c r="E8" s="2" t="inlineStr">
        <is>
          <t>106.50466417910448</t>
        </is>
      </c>
      <c r="F8" s="2" t="inlineStr">
        <is>
          <t>2024_USD_per_kWdc</t>
        </is>
      </c>
      <c r="G8" s="2" t="inlineStr">
        <is>
          <t>direct_hardware</t>
        </is>
      </c>
      <c r="H8" s="2" t="inlineStr">
        <is>
          <t>PV_GSU_SUBSTATION</t>
        </is>
      </c>
      <c r="I8" s="2" t="inlineStr">
        <is>
          <t>tropical_cyclone_wind</t>
        </is>
      </c>
      <c r="J8" s="2" t="inlineStr">
        <is>
          <t>withheld</t>
        </is>
      </c>
      <c r="K8" s="2" t="inlineStr">
        <is>
          <t>false</t>
        </is>
      </c>
      <c r="L8" s="2" t="inlineStr">
        <is>
          <t>Treat as a shared point/yard subasset and split GSU, switching, and any non-GSU MV content before modeling.</t>
        </is>
      </c>
      <c r="M8" s="2" t="inlineStr">
        <is>
          <t>Reuse only asset-neutral GSU identity/value governance; never apply array exposure or inherit flood, solar-array wind, or wind-farm numerical response.</t>
        </is>
      </c>
      <c r="N8" s="2" t="inlineStr">
        <is>
          <t>withheld_split_required</t>
        </is>
      </c>
      <c r="O8" s="2" t="inlineStr">
        <is>
          <t>Explicit GSU-substation candidate; shared anatomy does not provide a TC-wind curve.</t>
        </is>
      </c>
    </row>
    <row r="9">
      <c r="A9" s="2" t="inlineStr">
        <is>
          <t>NLR_Q1_2025_UPV_PV_ONLY_2024_USD</t>
        </is>
      </c>
      <c r="B9" s="2" t="inlineStr">
        <is>
          <t>docs/method/value_basis/solar_wind_value_breakdown.xlsx::Solar_Map!9</t>
        </is>
      </c>
      <c r="C9" s="2" t="inlineStr">
        <is>
          <t>SOLAR_VALUE_009_GROUNDING</t>
        </is>
      </c>
      <c r="D9" s="2" t="inlineStr">
        <is>
          <t>Grounding and lightning protection</t>
        </is>
      </c>
      <c r="E9" s="2" t="inlineStr">
        <is>
          <t>8.385</t>
        </is>
      </c>
      <c r="F9" s="2" t="inlineStr">
        <is>
          <t>2024_USD_per_kWdc</t>
        </is>
      </c>
      <c r="G9" s="2" t="inlineStr">
        <is>
          <t>direct_hardware</t>
        </is>
      </c>
      <c r="H9" s="2" t="inlineStr">
        <is>
          <t>PV_POWER_CONVERSION_AND_COLLECTION</t>
        </is>
      </c>
      <c r="I9" s="2" t="inlineStr">
        <is>
          <t>tropical_cyclone_wind</t>
        </is>
      </c>
      <c r="J9" s="2" t="inlineStr">
        <is>
          <t>withheld</t>
        </is>
      </c>
      <c r="K9" s="2" t="inlineStr">
        <is>
          <t>false</t>
        </is>
      </c>
      <c r="L9" s="2" t="inlineStr">
        <is>
          <t>Retain for reconciliation; split grounding from lightning-protection mechanism before modeling.</t>
        </is>
      </c>
      <c r="M9" s="2" t="inlineStr">
        <is>
          <t>Do not inherit array wind response; lightning is a separate pathway.</t>
        </is>
      </c>
      <c r="N9" s="2" t="inlineStr">
        <is>
          <t>withheld</t>
        </is>
      </c>
      <c r="O9" s="2" t="inlineStr">
        <is>
          <t>Mixed grounding/lightning row.</t>
        </is>
      </c>
    </row>
    <row r="10">
      <c r="A10" s="2" t="inlineStr">
        <is>
          <t>NLR_Q1_2025_UPV_PV_ONLY_2024_USD</t>
        </is>
      </c>
      <c r="B10" s="2" t="inlineStr">
        <is>
          <t>docs/method/value_basis/solar_wind_value_breakdown.xlsx::Solar_Map!10</t>
        </is>
      </c>
      <c r="C10" s="2" t="inlineStr">
        <is>
          <t>SOLAR_VALUE_010_SCADA</t>
        </is>
      </c>
      <c r="D10" s="2" t="inlineStr">
        <is>
          <t>System monitor</t>
        </is>
      </c>
      <c r="E10" s="2" t="inlineStr">
        <is>
          <t>1.31</t>
        </is>
      </c>
      <c r="F10" s="2" t="inlineStr">
        <is>
          <t>2024_USD_per_kWdc</t>
        </is>
      </c>
      <c r="G10" s="2" t="inlineStr">
        <is>
          <t>direct_hardware</t>
        </is>
      </c>
      <c r="H10" s="2" t="inlineStr">
        <is>
          <t>PV_SCADA_COMMUNICATIONS</t>
        </is>
      </c>
      <c r="I10" s="2" t="inlineStr">
        <is>
          <t>tropical_cyclone_wind</t>
        </is>
      </c>
      <c r="J10" s="2" t="inlineStr">
        <is>
          <t>withheld</t>
        </is>
      </c>
      <c r="K10" s="2" t="inlineStr">
        <is>
          <t>false</t>
        </is>
      </c>
      <c r="L10" s="2" t="inlineStr">
        <is>
          <t>Split enclosure, location, communications, control function, and point/network exposure.</t>
        </is>
      </c>
      <c r="M10" s="2" t="inlineStr">
        <is>
          <t>Tracker control state may condition demand but is not a duplicate SCADA physical loss by default.</t>
        </is>
      </c>
      <c r="N10" s="2" t="inlineStr">
        <is>
          <t>withheld</t>
        </is>
      </c>
      <c r="O10" s="2" t="inlineStr">
        <is>
          <t>No qualified direct TC-wind SCADA curve.</t>
        </is>
      </c>
    </row>
    <row r="11">
      <c r="A11" s="2" t="inlineStr">
        <is>
          <t>NLR_Q1_2025_UPV_PV_ONLY_2024_USD</t>
        </is>
      </c>
      <c r="B11" s="2" t="inlineStr">
        <is>
          <t>docs/method/value_basis/solar_wind_value_breakdown.xlsx::Solar_Map!11</t>
        </is>
      </c>
      <c r="C11" s="2" t="inlineStr">
        <is>
          <t>SOLAR_VALUE_011_NETWORK</t>
        </is>
      </c>
      <c r="D11" s="2" t="inlineStr">
        <is>
          <t>Grid network upgrade</t>
        </is>
      </c>
      <c r="E11" s="2" t="inlineStr">
        <is>
          <t>0.0</t>
        </is>
      </c>
      <c r="F11" s="2" t="inlineStr">
        <is>
          <t>2024_USD_per_kWdc</t>
        </is>
      </c>
      <c r="G11" s="2" t="inlineStr">
        <is>
          <t>excluded_nonphysical</t>
        </is>
      </c>
      <c r="H11" s="2" t="inlineStr">
        <is>
          <t>OUTSIDE_PHYSICAL_CELL</t>
        </is>
      </c>
      <c r="I11" s="2" t="inlineStr">
        <is>
          <t>tropical_cyclone_wind</t>
        </is>
      </c>
      <c r="J11" s="2" t="inlineStr">
        <is>
          <t>excluded</t>
        </is>
      </c>
      <c r="K11" s="2" t="inlineStr">
        <is>
          <t>false</t>
        </is>
      </c>
      <c r="L11" s="2" t="inlineStr">
        <is>
          <t>Exclude.</t>
        </is>
      </c>
      <c r="M11" s="2" t="inlineStr">
        <is>
          <t>Never reintroduce through physical loss or support scaling.</t>
        </is>
      </c>
      <c r="N11" s="2" t="inlineStr">
        <is>
          <t>excluded</t>
        </is>
      </c>
      <c r="O11" s="2" t="inlineStr">
        <is>
          <t>Zero reference row.</t>
        </is>
      </c>
    </row>
    <row r="12">
      <c r="A12" s="2" t="inlineStr">
        <is>
          <t>NLR_Q1_2025_UPV_PV_ONLY_2024_USD</t>
        </is>
      </c>
      <c r="B12" s="2" t="inlineStr">
        <is>
          <t>docs/method/value_basis/solar_wind_value_breakdown.xlsx::Solar_Map!12</t>
        </is>
      </c>
      <c r="C12" s="2" t="inlineStr">
        <is>
          <t>SOLAR_VALUE_012_SBOS_LABOR</t>
        </is>
      </c>
      <c r="D12" s="2" t="inlineStr">
        <is>
          <t>Mounting field labor</t>
        </is>
      </c>
      <c r="E12" s="2" t="inlineStr">
        <is>
          <t>43.273972602739725</t>
        </is>
      </c>
      <c r="F12" s="2" t="inlineStr">
        <is>
          <t>2024_USD_per_kWdc</t>
        </is>
      </c>
      <c r="G12" s="2" t="inlineStr">
        <is>
          <t>replacement_support_cost</t>
        </is>
      </c>
      <c r="H12" s="2" t="inlineStr">
        <is>
          <t>PV_REPLACEMENT_SUPPORT</t>
        </is>
      </c>
      <c r="I12" s="2" t="inlineStr">
        <is>
          <t>tropical_cyclone_wind</t>
        </is>
      </c>
      <c r="J12" s="2" t="inlineStr">
        <is>
          <t>support_once</t>
        </is>
      </c>
      <c r="K12" s="2" t="inlineStr">
        <is>
          <t>false</t>
        </is>
      </c>
      <c r="L12" s="2" t="inlineStr">
        <is>
          <t>Allocate once after qualified direct module/structure state and repair scope using a reviewed reinstatement rule.</t>
        </is>
      </c>
      <c r="M12" s="2" t="inlineStr">
        <is>
          <t>No intrinsic DR and no duplication inside failure-unit denominators or downstream support.</t>
        </is>
      </c>
      <c r="N12" s="2" t="inlineStr">
        <is>
          <t>mapped_support_rule_open</t>
        </is>
      </c>
      <c r="O12" s="2" t="inlineStr">
        <is>
          <t>Not all greenfield labor necessarily recurs; model v2.0 proposal scenario loss is withheld.</t>
        </is>
      </c>
    </row>
    <row r="13">
      <c r="A13" s="2" t="inlineStr">
        <is>
          <t>NLR_Q1_2025_UPV_PV_ONLY_2024_USD</t>
        </is>
      </c>
      <c r="B13" s="2" t="inlineStr">
        <is>
          <t>docs/method/value_basis/solar_wind_value_breakdown.xlsx::Solar_Map!13</t>
        </is>
      </c>
      <c r="C13" s="2" t="inlineStr">
        <is>
          <t>SOLAR_VALUE_013_EBOS_LABOR</t>
        </is>
      </c>
      <c r="D13" s="2" t="inlineStr">
        <is>
          <t>Electrical field labor</t>
        </is>
      </c>
      <c r="E13" s="2" t="inlineStr">
        <is>
          <t>39.447761194029844</t>
        </is>
      </c>
      <c r="F13" s="2" t="inlineStr">
        <is>
          <t>2024_USD_per_kWdc</t>
        </is>
      </c>
      <c r="G13" s="2" t="inlineStr">
        <is>
          <t>replacement_support_cost</t>
        </is>
      </c>
      <c r="H13" s="2" t="inlineStr">
        <is>
          <t>PV_REPLACEMENT_SUPPORT</t>
        </is>
      </c>
      <c r="I13" s="2" t="inlineStr">
        <is>
          <t>tropical_cyclone_wind</t>
        </is>
      </c>
      <c r="J13" s="2" t="inlineStr">
        <is>
          <t>support_once</t>
        </is>
      </c>
      <c r="K13" s="2" t="inlineStr">
        <is>
          <t>false</t>
        </is>
      </c>
      <c r="L13" s="2" t="inlineStr">
        <is>
          <t>Allocate only when separately qualified electrical, collection, GSU, or SCADA repair work occurs.</t>
        </is>
      </c>
      <c r="M13" s="2" t="inlineStr">
        <is>
          <t>Do not scale by array DR or charge across several electrical subjects by default.</t>
        </is>
      </c>
      <c r="N13" s="2" t="inlineStr">
        <is>
          <t>mapped_support_rule_open</t>
        </is>
      </c>
      <c r="O13" s="2" t="inlineStr">
        <is>
          <t>No independent curve; all associated direct electrical units are withheld.</t>
        </is>
      </c>
    </row>
    <row r="14">
      <c r="A14" s="2" t="inlineStr">
        <is>
          <t>NLR_Q1_2025_UPV_PV_ONLY_2024_USD</t>
        </is>
      </c>
      <c r="B14" s="2" t="inlineStr">
        <is>
          <t>docs/method/value_basis/solar_wind_value_breakdown.xlsx::Solar_Map!14</t>
        </is>
      </c>
      <c r="C14" s="2" t="inlineStr">
        <is>
          <t>SOLAR_VALUE_014_CIVIL</t>
        </is>
      </c>
      <c r="D14" s="2" t="inlineStr">
        <is>
          <t>Grading, fencing, roads and buildings</t>
        </is>
      </c>
      <c r="E14" s="2" t="inlineStr">
        <is>
          <t>31.223744292237445</t>
        </is>
      </c>
      <c r="F14" s="2" t="inlineStr">
        <is>
          <t>2024_USD_per_kWdc</t>
        </is>
      </c>
      <c r="G14" s="2" t="inlineStr">
        <is>
          <t>mixed_civil_replacement_bucket</t>
        </is>
      </c>
      <c r="H14" s="2" t="inlineStr">
        <is>
          <t>PV_CIVIL_INFRA</t>
        </is>
      </c>
      <c r="I14" s="2" t="inlineStr">
        <is>
          <t>tropical_cyclone_wind</t>
        </is>
      </c>
      <c r="J14" s="2" t="inlineStr">
        <is>
          <t>withheld</t>
        </is>
      </c>
      <c r="K14" s="2" t="inlineStr">
        <is>
          <t>false</t>
        </is>
      </c>
      <c r="L14" s="2" t="inlineStr">
        <is>
          <t>Split line, network, area, point, and building subjects before exposure and damage modeling.</t>
        </is>
      </c>
      <c r="M14" s="2" t="inlineStr">
        <is>
          <t>Do not reuse array-zone exposure or structure DR.</t>
        </is>
      </c>
      <c r="N14" s="2" t="inlineStr">
        <is>
          <t>withheld</t>
        </is>
      </c>
      <c r="O14" s="2" t="inlineStr">
        <is>
          <t>Mixed civil bucket; access/downtime is outside the physical curve.</t>
        </is>
      </c>
    </row>
    <row r="15">
      <c r="A15" s="2" t="inlineStr">
        <is>
          <t>NLR_Q1_2025_UPV_PV_ONLY_2024_USD</t>
        </is>
      </c>
      <c r="B15" s="2" t="inlineStr">
        <is>
          <t>docs/method/value_basis/solar_wind_value_breakdown.xlsx::Solar_Map!15</t>
        </is>
      </c>
      <c r="C15" s="2" t="inlineStr">
        <is>
          <t>SOLAR_VALUE_015_GENERAL_SUPPORT</t>
        </is>
      </c>
      <c r="D15" s="2" t="inlineStr">
        <is>
          <t>Site management, equipment rental and inspection</t>
        </is>
      </c>
      <c r="E15" s="2" t="inlineStr">
        <is>
          <t>106.86876712328767</t>
        </is>
      </c>
      <c r="F15" s="2" t="inlineStr">
        <is>
          <t>2024_USD_per_kWdc</t>
        </is>
      </c>
      <c r="G15" s="2" t="inlineStr">
        <is>
          <t>replacement_support_cost</t>
        </is>
      </c>
      <c r="H15" s="2" t="inlineStr">
        <is>
          <t>PV_REPLACEMENT_SUPPORT</t>
        </is>
      </c>
      <c r="I15" s="2" t="inlineStr">
        <is>
          <t>tropical_cyclone_wind</t>
        </is>
      </c>
      <c r="J15" s="2" t="inlineStr">
        <is>
          <t>support_once</t>
        </is>
      </c>
      <c r="K15" s="2" t="inlineStr">
        <is>
          <t>false</t>
        </is>
      </c>
      <c r="L15" s="2" t="inlineStr">
        <is>
          <t>Allocate once at reviewed repair scope; site rule required.</t>
        </is>
      </c>
      <c r="M15" s="2" t="inlineStr">
        <is>
          <t>Do not multiply independently by module, structure, GSU, or other unit DRs.</t>
        </is>
      </c>
      <c r="N15" s="2" t="inlineStr">
        <is>
          <t>mapped_support_rule_open</t>
        </is>
      </c>
      <c r="O15" s="2" t="inlineStr">
        <is>
          <t>No independent curve; model v2.0 proposal scenario loss is withheld.</t>
        </is>
      </c>
    </row>
    <row r="16">
      <c r="A16" s="2" t="inlineStr">
        <is>
          <t>NLR_Q1_2025_UPV_PV_ONLY_2024_USD</t>
        </is>
      </c>
      <c r="B16" s="2" t="inlineStr">
        <is>
          <t>docs/method/value_basis/solar_wind_value_breakdown.xlsx::Solar_Map!16-17</t>
        </is>
      </c>
      <c r="C16" s="2" t="inlineStr">
        <is>
          <t>SOLAR_VALUE_016_017_EXCLUDED</t>
        </is>
      </c>
      <c r="D16" s="2" t="inlineStr">
        <is>
          <t>Officework and other soft/nonphysical value</t>
        </is>
      </c>
      <c r="E16" s="2" t="inlineStr">
        <is>
          <t>242.20429763733296</t>
        </is>
      </c>
      <c r="F16" s="2" t="inlineStr">
        <is>
          <t>2024_USD_per_kWdc</t>
        </is>
      </c>
      <c r="G16" s="2" t="inlineStr">
        <is>
          <t>excluded_soft_sunk_nonphysical</t>
        </is>
      </c>
      <c r="H16" s="2" t="inlineStr">
        <is>
          <t>OUTSIDE_PHYSICAL_CELL</t>
        </is>
      </c>
      <c r="I16" s="2" t="inlineStr">
        <is>
          <t>tropical_cyclone_wind</t>
        </is>
      </c>
      <c r="J16" s="2" t="inlineStr">
        <is>
          <t>excluded</t>
        </is>
      </c>
      <c r="K16" s="2" t="inlineStr">
        <is>
          <t>false</t>
        </is>
      </c>
      <c r="L16" s="2" t="inlineStr">
        <is>
          <t>Exclude from the physical denominator unless a separate explicit insured-value contract says otherwise.</t>
        </is>
      </c>
      <c r="M16" s="2" t="inlineStr">
        <is>
          <t>Never turn installed-TIV share into an intrinsic DR cap or reintroduce through support.</t>
        </is>
      </c>
      <c r="N16" s="2" t="inlineStr">
        <is>
          <t>excluded</t>
        </is>
      </c>
      <c r="O16" s="2" t="inlineStr">
        <is>
          <t>Installed 1120 minus physical 877.7957023626668.</t>
        </is>
      </c>
    </row>
    <row r="17">
      <c r="A17" s="2" t="inlineStr">
        <is>
          <t>NLR_Q1_2025_UPV_PV_ONLY_2024_USD</t>
        </is>
      </c>
      <c r="B17" s="2" t="inlineStr">
        <is>
          <t>docs/method/value_basis/solar_wind_value_breakdown.xlsx::Solar_Map summary</t>
        </is>
      </c>
      <c r="C17" s="2" t="inlineStr">
        <is>
          <t>SOLAR_VALUE_SUMMARY_DIRECT</t>
        </is>
      </c>
      <c r="D17" s="2" t="inlineStr">
        <is>
          <t>Direct hardware subtotal</t>
        </is>
      </c>
      <c r="E17" s="2" t="inlineStr">
        <is>
          <t>656.9814571503722</t>
        </is>
      </c>
      <c r="F17" s="2" t="inlineStr">
        <is>
          <t>2024_USD_per_kWdc</t>
        </is>
      </c>
      <c r="G17" s="2" t="inlineStr">
        <is>
          <t>reconciliation</t>
        </is>
      </c>
      <c r="H17" s="2" t="inlineStr">
        <is>
          <t>ALL_DIRECT_FAILURE_UNITS</t>
        </is>
      </c>
      <c r="I17" s="2" t="inlineStr">
        <is>
          <t>tropical_cyclone_wind</t>
        </is>
      </c>
      <c r="J17" s="2" t="inlineStr">
        <is>
          <t>reference_only</t>
        </is>
      </c>
      <c r="K17" s="2" t="inlineStr">
        <is>
          <t>false</t>
        </is>
      </c>
      <c r="L17" s="2" t="inlineStr">
        <is>
          <t>Reconcile rows 2-10; never pool under one curve.</t>
        </is>
      </c>
      <c r="M17" s="2" t="inlineStr">
        <is>
          <t>Candidate array units cover only module and mounting anatomy; withheld direct units remain unknown rather than zero.</t>
        </is>
      </c>
      <c r="N17" s="2" t="inlineStr">
        <is>
          <t>reconciled_reference_only</t>
        </is>
      </c>
      <c r="O17" s="2" t="inlineStr">
        <is>
          <t>Reference only; no model v2.0 proposal monetary loss.</t>
        </is>
      </c>
    </row>
    <row r="18">
      <c r="A18" s="2" t="inlineStr">
        <is>
          <t>NLR_Q1_2025_UPV_PV_ONLY_2024_USD</t>
        </is>
      </c>
      <c r="B18" s="2" t="inlineStr">
        <is>
          <t>docs/method/value_basis/solar_wind_value_breakdown.xlsx::Solar_Map summary</t>
        </is>
      </c>
      <c r="C18" s="2" t="inlineStr">
        <is>
          <t>SOLAR_VALUE_SUMMARY_PHYSICAL</t>
        </is>
      </c>
      <c r="D18" s="2" t="inlineStr">
        <is>
          <t>Physical replaceable reference basis</t>
        </is>
      </c>
      <c r="E18" s="2" t="inlineStr">
        <is>
          <t>877.7957023626668</t>
        </is>
      </c>
      <c r="F18" s="2" t="inlineStr">
        <is>
          <t>2024_USD_per_kWdc</t>
        </is>
      </c>
      <c r="G18" s="2" t="inlineStr">
        <is>
          <t>reconciliation</t>
        </is>
      </c>
      <c r="H18" s="2" t="inlineStr">
        <is>
          <t>ALL_PHYSICAL_FAILURE_UNITS_AND_SUPPORT</t>
        </is>
      </c>
      <c r="I18" s="2" t="inlineStr">
        <is>
          <t>tropical_cyclone_wind</t>
        </is>
      </c>
      <c r="J18" s="2" t="inlineStr">
        <is>
          <t>reference_only</t>
        </is>
      </c>
      <c r="K18" s="2" t="inlineStr">
        <is>
          <t>false</t>
        </is>
      </c>
      <c r="L18" s="2" t="inlineStr">
        <is>
          <t>Physical reference equals direct hardware plus replacement/civil/support rows.</t>
        </is>
      </c>
      <c r="M18" s="2" t="inlineStr">
        <is>
          <t>No pooled physical-base DR may bypass unit, exposure, withholding, or support-once rules.</t>
        </is>
      </c>
      <c r="N18" s="2" t="inlineStr">
        <is>
          <t>reconciled_reference_only</t>
        </is>
      </c>
      <c r="O18" s="2" t="inlineStr">
        <is>
          <t>Withheld rows are unknown, not zero; no model v2.0 proposal monetary loss.</t>
        </is>
      </c>
    </row>
    <row r="19">
      <c r="A19" s="2" t="inlineStr">
        <is>
          <t>NLR_Q1_2025_UPV_PV_ONLY_2024_USD</t>
        </is>
      </c>
      <c r="B19" s="2" t="inlineStr">
        <is>
          <t>docs/method/value_basis/solar_wind_value_breakdown.xlsx::Solar_Map summary</t>
        </is>
      </c>
      <c r="C19" s="2" t="inlineStr">
        <is>
          <t>SOLAR_VALUE_SUMMARY_INSTALLED</t>
        </is>
      </c>
      <c r="D19" s="2" t="inlineStr">
        <is>
          <t>Installed CAPEX reference basis</t>
        </is>
      </c>
      <c r="E19" s="2" t="inlineStr">
        <is>
          <t>1120.0</t>
        </is>
      </c>
      <c r="F19" s="2" t="inlineStr">
        <is>
          <t>2024_USD_per_kWdc</t>
        </is>
      </c>
      <c r="G19" s="2" t="inlineStr">
        <is>
          <t>installed_reference</t>
        </is>
      </c>
      <c r="H19" s="2" t="inlineStr">
        <is>
          <t>OUTSIDE_INTRINSIC_CURVE</t>
        </is>
      </c>
      <c r="I19" s="2" t="inlineStr">
        <is>
          <t>tropical_cyclone_wind</t>
        </is>
      </c>
      <c r="J19" s="2" t="inlineStr">
        <is>
          <t>reference_only</t>
        </is>
      </c>
      <c r="K19" s="2" t="inlineStr">
        <is>
          <t>false</t>
        </is>
      </c>
      <c r="L19" s="2" t="inlineStr">
        <is>
          <t>Reporting conversion only with an explicit numerator and denominator label.</t>
        </is>
      </c>
      <c r="M19" s="2" t="inlineStr">
        <is>
          <t>Not an intrinsic curve denominator, cap, site default, or authorization for whole-plant exposure.</t>
        </is>
      </c>
      <c r="N19" s="2" t="inlineStr">
        <is>
          <t>reconciled_reference_only</t>
        </is>
      </c>
      <c r="O19" s="2" t="inlineStr">
        <is>
          <t>Module plus mounting reference is 0.35821837273868046 of installed; value share is not DR.</t>
        </is>
      </c>
    </row>
  </sheetData>
  <autoFilter ref="A1:O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  <col width="13" customWidth="1" min="4" max="4"/>
    <col width="55" customWidth="1" min="5" max="5"/>
    <col width="55" customWidth="1" min="6" max="6"/>
    <col width="48" customWidth="1" min="7" max="7"/>
    <col width="23" customWidth="1" min="8" max="8"/>
    <col width="44" customWidth="1" min="9" max="9"/>
    <col width="20" customWidth="1" min="10" max="10"/>
    <col width="29" customWidth="1" min="11" max="11"/>
    <col width="55" customWidth="1" min="12" max="12"/>
    <col width="55" customWidth="1" min="13" max="13"/>
    <col width="55" customWidth="1" min="14" max="14"/>
    <col width="34" customWidth="1" min="15" max="15"/>
    <col width="23" customWidth="1" min="16" max="16"/>
    <col width="55" customWidth="1" min="17" max="17"/>
  </cols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s="2" t="inlineStr">
        <is>
          <t>TCWS-S001</t>
        </is>
      </c>
      <c r="B2" s="2" t="inlineStr">
        <is>
          <t>NOAA/National Hurricane Center. Glossary of NHC Terms: Maximum Sustained Surface Wind.</t>
        </is>
      </c>
      <c r="C2" s="2" t="inlineStr">
        <is>
          <t>https://www.nhc.noaa.gov/aboutgloss.shtml</t>
        </is>
      </c>
      <c r="D2" s="2" t="inlineStr">
        <is>
          <t>2026-07-28</t>
        </is>
      </c>
      <c r="E2" s="2" t="inlineStr">
        <is>
          <t>entry: Maximum Sustained Surface Wind</t>
        </is>
      </c>
      <c r="F2" s="2" t="inlineStr">
        <is>
          <t>government glossary</t>
        </is>
      </c>
      <c r="G2" s="2" t="inlineStr">
        <is>
          <t>axis_bridge</t>
        </is>
      </c>
      <c r="H2" s="2" t="inlineStr">
        <is>
          <t>tropical_cyclone_wind</t>
        </is>
      </c>
      <c r="I2" s="2" t="inlineStr">
        <is>
          <t>T2_public_lab_standard_or_physics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highest one-minute average wind at 10 m in unobstructed exposure associated with the cyclone at a point in time</t>
        </is>
      </c>
      <c r="M2" s="2" t="inlineStr">
        <is>
          <t>Define the source-native NHC storm-intensity quantity and require explicit height, averaging-period, terrain, gust, and local-demand bridges.</t>
        </is>
      </c>
      <c r="N2" s="2" t="inlineStr">
        <is>
          <t>Treat storm category or maximum sustained surface wind as array-height component demand or damage without a qualified bridge.</t>
        </is>
      </c>
      <c r="O2" s="2" t="inlineStr">
        <is>
          <t>adopt_with_limits</t>
        </is>
      </c>
      <c r="P2" s="2" t="inlineStr">
        <is>
          <t>reviewed</t>
        </is>
      </c>
      <c r="Q2" s="2" t="inlineStr">
        <is>
          <t>Hazard semantics only; no curve or universal gust factor.</t>
        </is>
      </c>
    </row>
    <row r="3">
      <c r="A3" s="2" t="inlineStr">
        <is>
          <t>TCWS-S002</t>
        </is>
      </c>
      <c r="B3" s="2" t="inlineStr">
        <is>
          <t>Ceferino, L.; Lin, N.; Xi, D. Bayesian updating of solar panel fragility curves and implications of higher panel strength for solar generation resilience. Reliability Engineering &amp; System Safety 229, 108896 (2023). DOI 10.1016/j.ress.2022.108896.</t>
        </is>
      </c>
      <c r="C3" s="2" t="inlineStr">
        <is>
          <t>https://par.nsf.gov/servlets/purl/10481168</t>
        </is>
      </c>
      <c r="D3" s="2" t="inlineStr">
        <is>
          <t>2026-07-28</t>
        </is>
      </c>
      <c r="E3" s="2" t="inlineStr">
        <is>
          <t>§2.1 and Table 1 pp. 2–3; §2.2 pp. 3–4; Eq. 1 and §3.1 p. 4; §4.2 and Figs. 5c/5d/6b p. 7</t>
        </is>
      </c>
      <c r="F3" s="2" t="inlineStr">
        <is>
          <t>peer-reviewed field-informed Bayesian fragility study</t>
        </is>
      </c>
      <c r="G3" s="2" t="inlineStr">
        <is>
          <t>curve_fit_shape</t>
        </is>
      </c>
      <c r="H3" s="2" t="inlineStr">
        <is>
          <t>tropical_cyclone_wind</t>
        </is>
      </c>
      <c r="I3" s="2" t="inlineStr">
        <is>
          <t>T1_claims_or_field_calibrated</t>
        </is>
      </c>
      <c r="J3" s="2" t="inlineStr">
        <is>
          <t>direct</t>
        </is>
      </c>
      <c r="K3" s="2" t="inlineStr">
        <is>
          <t>partial</t>
        </is>
      </c>
      <c r="L3" s="2" t="inlineStr">
        <is>
          <t>probability that a large ground-mounted site has extensive structural failure, defined as clip/racking failure in more than 50% of panels, conditional on reconstructed 3-second gust; 14 Caribbean sites</t>
        </is>
      </c>
      <c r="M3" s="2" t="inlineStr">
        <is>
          <t>Retain the source-native extensive-failure probability and posterior parameter summaries as a narrowly scoped candidate; preserve the 14-site population, reconstructed-wind uncertainty, composite limit state, and Bayesian parameter uncertainty.</t>
        </is>
      </c>
      <c r="N3" s="2" t="inlineStr">
        <is>
          <t>Call probability economic DR; split the composite site limit state into module, fixed-rack, tracker, foundation, or electrical DR; transfer to a named CONUS architecture; use a deterministic curve made from posterior medians as the paper's posterior mean curve.</t>
        </is>
      </c>
      <c r="O3" s="2" t="inlineStr">
        <is>
          <t>defer_candidate_only</t>
        </is>
      </c>
      <c r="P3" s="2" t="inlineStr">
        <is>
          <t>reviewed</t>
        </is>
      </c>
      <c r="Q3" s="2" t="inlineStr">
        <is>
          <t>Ground-mounted posterior summaries: median v approximately 90 m/s, median beta approximately 0.15; these are audit candidates, not runtime parameters. Debris from damaged panels participated in observed cascades.</t>
        </is>
      </c>
    </row>
    <row r="4">
      <c r="A4" s="2" t="inlineStr">
        <is>
          <t>TCWS-S003</t>
        </is>
      </c>
      <c r="B4" s="2" t="inlineStr">
        <is>
          <t>Perry, K.; Jordan, D. C.; Nguyen, Q. Assessing the Impacts of Extreme Weather Events on Photovoltaic Installations Using Remote Sensing Imagery. Progress in Photovoltaics: Research and Applications 33(9), 1012–1023 (2025). DOI 10.1002/pip.70001; NREL/JA-5K00-92873.</t>
        </is>
      </c>
      <c r="C4" s="2" t="inlineStr">
        <is>
          <t>https://www.osti.gov/pages/biblio/2574727</t>
        </is>
      </c>
      <c r="D4" s="2" t="inlineStr">
        <is>
          <t>2026-07-28</t>
        </is>
      </c>
      <c r="E4" s="2" t="inlineStr">
        <is>
          <t>abstract p. 1012; §§2.1 and 2.4 pp. 1013–1016; §3.1 and Figs. 4–5/Table 2 pp. 1016–1018; Discussion pp. 1021–1022</t>
        </is>
      </c>
      <c r="F4" s="2" t="inlineStr">
        <is>
          <t>peer-reviewed field remote-sensing study with public DOE archive</t>
        </is>
      </c>
      <c r="G4" s="2" t="inlineStr">
        <is>
          <t>case_study_severity</t>
        </is>
      </c>
      <c r="H4" s="2" t="inlineStr">
        <is>
          <t>tropical_cyclone_wind</t>
        </is>
      </c>
      <c r="I4" s="2" t="inlineStr">
        <is>
          <t>T1_claims_or_field_calibrated</t>
        </is>
      </c>
      <c r="J4" s="2" t="inlineStr">
        <is>
          <t>partial</t>
        </is>
      </c>
      <c r="K4" s="2" t="inlineStr">
        <is>
          <t>partial</t>
        </is>
      </c>
      <c r="L4" s="2" t="inlineStr">
        <is>
          <t>visible post-event PV site damage and percent module area missing/damaged for 1,534 mixed residential, commercial, and utility sites after Hurricanes Maria and Irma, joined to third-party maximum gust estimates</t>
        </is>
      </c>
      <c r="M4" s="2" t="inlineStr">
        <is>
          <t>Use as a fleet-scale visible-damage constraint, installation/mounting-data requirement, and field-data-program method; retain the reported weak gust-damage relationship and site heterogeneity.</t>
        </is>
      </c>
      <c r="N4" s="2" t="inlineStr">
        <is>
          <t>Fit a utility-scale ground-mount curve from the aggregate; infer fixed-versus-tracker fragility, component disposition, hidden electrical damage, direct repair cost, or independence from the Ceferino Caribbean-event evidence.</t>
        </is>
      </c>
      <c r="O4" s="2" t="inlineStr">
        <is>
          <t>adopt_with_limits</t>
        </is>
      </c>
      <c r="P4" s="2" t="inlineStr">
        <is>
          <t>reviewed</t>
        </is>
      </c>
      <c r="Q4" s="2" t="inlineStr">
        <is>
          <t>Reported aggregate: 17% with visible hurricane damage and 2.8% with more than 50% visible damage. Mounting issues were proprietary for key paired sites; utility-scale subset is not separately calibrated.</t>
        </is>
      </c>
    </row>
    <row r="5">
      <c r="A5" s="2" t="inlineStr">
        <is>
          <t>TCWS-S004</t>
        </is>
      </c>
      <c r="B5" s="2" t="inlineStr">
        <is>
          <t>U.S. DOE Federal Energy Management Program; Elsworth, J.; Van Geet, O.; Robinson, G.; et al. Toward Solar Photovoltaic Storm Resilience: Learning from Hurricane Loss and Rebuilding Better (February 2023).</t>
        </is>
      </c>
      <c r="C5" s="2" t="inlineStr">
        <is>
          <t>https://www.energy.gov/sites/default/files/2023-02/femp-toward-solar-pv-storm-resilience-learning-from-hurricane-loss-rebuilding-better_0.pdf</t>
        </is>
      </c>
      <c r="D5" s="2" t="inlineStr">
        <is>
          <t>2026-07-28</t>
        </is>
      </c>
      <c r="E5" s="2" t="inlineStr">
        <is>
          <t>Executive Summary pp. vi–vii; §1.1 and Table 1 pp. 2–3; §§2–2.1 pp. 5–6; §§3.1–3.6 pp. 7–12</t>
        </is>
      </c>
      <c r="F5" s="2" t="inlineStr">
        <is>
          <t>government-sponsored field investigation and engineering case study</t>
        </is>
      </c>
      <c r="G5" s="2" t="inlineStr">
        <is>
          <t>case_study_severity</t>
        </is>
      </c>
      <c r="H5" s="2" t="inlineStr">
        <is>
          <t>tropical_cyclone_wind</t>
        </is>
      </c>
      <c r="I5" s="2" t="inlineStr">
        <is>
          <t>T3_engineering_proxy_or_adjacent_empirical</t>
        </is>
      </c>
      <c r="J5" s="2" t="inlineStr">
        <is>
          <t>direct</t>
        </is>
      </c>
      <c r="K5" s="2" t="inlineStr">
        <is>
          <t>partial</t>
        </is>
      </c>
      <c r="L5" s="2" t="inlineStr">
        <is>
          <t>one 469 kW fixed-tilt St. Croix ground array assessed as total loss after Maria, with observed rack, clamp, fastener, corrosion, electrical-enclosure, water-ingress, and cascading mechanisms plus site-specific redesign analyses</t>
        </is>
      </c>
      <c r="M5" s="2" t="inlineStr">
        <is>
          <t>Use to define failure units, construction/maintenance selectors, dependency chains, compound-peril boundaries, and exact-site engineering-review requirements.</t>
        </is>
      </c>
      <c r="N5" s="2" t="inlineStr">
        <is>
          <t>Use the reported 104 mph event estimate or 145 mph design value as a population threshold; isolate wind-only economic loss; transfer the 12-degree rebuild tilt, pressures, or hardening benefit as universal modifiers.</t>
        </is>
      </c>
      <c r="O5" s="2" t="inlineStr">
        <is>
          <t>adopt_with_limits</t>
        </is>
      </c>
      <c r="P5" s="2" t="inlineStr">
        <is>
          <t>reviewed</t>
        </is>
      </c>
      <c r="Q5" s="2" t="inlineStr">
        <is>
          <t>The event combined high wind, wind-driven rain, and flash flooding; the report is one detailed case, not a pure-wind fragility dataset.</t>
        </is>
      </c>
    </row>
    <row r="6">
      <c r="A6" s="2" t="inlineStr">
        <is>
          <t>TCWS-S005</t>
        </is>
      </c>
      <c r="B6" s="2" t="inlineStr">
        <is>
          <t>ASCE/SEI 7-22. Minimum Design Loads and Associated Criteria for Buildings and Other Structures.</t>
        </is>
      </c>
      <c r="C6" s="2" t="inlineStr">
        <is>
          <t>https://www.asce.org/publications-and-news/asce-7/</t>
        </is>
      </c>
      <c r="D6" s="2" t="inlineStr">
        <is>
          <t>2026-07-28</t>
        </is>
      </c>
      <c r="E6" s="2" t="inlineStr">
        <is>
          <t>Ch. 26 wind-speed definitions and symbols; Ch. 29 §29.4.5; Ch. 31 §31.4.5</t>
        </is>
      </c>
      <c r="F6" s="2" t="inlineStr">
        <is>
          <t>consensus design standard</t>
        </is>
      </c>
      <c r="G6" s="2" t="inlineStr">
        <is>
          <t>axis_bridge</t>
        </is>
      </c>
      <c r="H6" s="2" t="inlineStr">
        <is>
          <t>tropical_cyclone_wind</t>
        </is>
      </c>
      <c r="I6" s="2" t="inlineStr">
        <is>
          <t>T2_public_lab_standard_or_physics</t>
        </is>
      </c>
      <c r="J6" s="2" t="inlineStr">
        <is>
          <t>direct</t>
        </is>
      </c>
      <c r="K6" s="2" t="inlineStr">
        <is>
          <t>partial</t>
        </is>
      </c>
      <c r="L6" s="2" t="inlineStr">
        <is>
          <t>design wind basis and ground-mounted fixed-tilt solar load provisions</t>
        </is>
      </c>
      <c r="M6" s="2" t="inlineStr">
        <is>
          <t>Anchor design-basis lineage, 3-second gust semantics, risk category, exposure, and fixed-tilt demand normalization when the licensed project record confirms the exact edition and provisions.</t>
        </is>
      </c>
      <c r="N6" s="2" t="inlineStr">
        <is>
          <t>Treat a code design wind as failure capacity, fragility median, economic loss state, or tracker aeroelastic qualification.</t>
        </is>
      </c>
      <c r="O6" s="2" t="inlineStr">
        <is>
          <t>adopt_with_limits</t>
        </is>
      </c>
      <c r="P6" s="2" t="inlineStr">
        <is>
          <t>reviewed</t>
        </is>
      </c>
      <c r="Q6" s="2" t="inlineStr">
        <is>
          <t>Official page confirms current standard identity; licensed normative text is not copied into the cell.</t>
        </is>
      </c>
    </row>
    <row r="7">
      <c r="A7" s="2" t="inlineStr">
        <is>
          <t>TCWS-S006</t>
        </is>
      </c>
      <c r="B7" s="2" t="inlineStr">
        <is>
          <t>FM. Property Loss Prevention Data Sheet 7-106: Ground-Mounted Solar Photovoltaic Power (April 2026).</t>
        </is>
      </c>
      <c r="C7" s="2" t="inlineStr">
        <is>
          <t>https://www.fm.com/-/media/project/publicwebsites/fmglobal/documentum-new/data-sheet-individual/07-hazards/fmds07106.pdf</t>
        </is>
      </c>
      <c r="D7" s="2" t="inlineStr">
        <is>
          <t>2026-07-28</t>
        </is>
      </c>
      <c r="E7" s="2" t="inlineStr">
        <is>
          <t>§§2.1.2.1–2.1.2.4 pp. 2–4; §§3.1.1–3.1.2 pp. 10–12; Appendix B revision history p. 22</t>
        </is>
      </c>
      <c r="F7" s="2" t="inlineStr">
        <is>
          <t>insurer engineering guidance</t>
        </is>
      </c>
      <c r="G7" s="2" t="inlineStr">
        <is>
          <t>selector_archetype</t>
        </is>
      </c>
      <c r="H7" s="2" t="inlineStr">
        <is>
          <t>tropical_cyclone_wind</t>
        </is>
      </c>
      <c r="I7" s="2" t="inlineStr">
        <is>
          <t>T2_public_lab_standard_or_physics</t>
        </is>
      </c>
      <c r="J7" s="2" t="inlineStr">
        <is>
          <t>direct</t>
        </is>
      </c>
      <c r="K7" s="2" t="inlineStr">
        <is>
          <t>partial</t>
        </is>
      </c>
      <c r="L7" s="2" t="inlineStr">
        <is>
          <t>fixed-tilt design/wind-tunnel requirements; tracker third-party static, dynamic, and aeroelastic evaluation; site anemometers; operational stow trigger 25% below tested instability speed; debris-zone guidance</t>
        </is>
      </c>
      <c r="M7" s="2" t="inlineStr">
        <is>
          <t>Require architecture-specific qualification, named instability test, anemometer/control evidence, and windborne-debris boundary fields.</t>
        </is>
      </c>
      <c r="N7" s="2" t="inlineStr">
        <is>
          <t>Use 0.75 of tested instability speed as damage onset; use debris design-speed zones as fragility thresholds; assign numeric mitigation credit or economic DR.</t>
        </is>
      </c>
      <c r="O7" s="2" t="inlineStr">
        <is>
          <t>adopt_with_limits</t>
        </is>
      </c>
      <c r="P7" s="2" t="inlineStr">
        <is>
          <t>reviewed</t>
        </is>
      </c>
      <c r="Q7" s="2" t="inlineStr">
        <is>
          <t>The 25%-below value is an operational action margin, not a vulnerability ordinate.</t>
        </is>
      </c>
    </row>
    <row r="8">
      <c r="A8" s="2" t="inlineStr">
        <is>
          <t>TCWS-S007</t>
        </is>
      </c>
      <c r="B8" s="2" t="inlineStr">
        <is>
          <t>International Electrotechnical Commission. IEC 62817:2014+A1:2017, Photovoltaic systems—Design qualification of solar trackers.</t>
        </is>
      </c>
      <c r="C8" s="2" t="inlineStr">
        <is>
          <t>https://webstore.iec.ch/en/publication/61127</t>
        </is>
      </c>
      <c r="D8" s="2" t="inlineStr">
        <is>
          <t>2026-07-28</t>
        </is>
      </c>
      <c r="E8" s="2" t="inlineStr">
        <is>
          <t>official scope and product-detail page; tracker component and complete-system test-procedure description</t>
        </is>
      </c>
      <c r="F8" s="2" t="inlineStr">
        <is>
          <t>international qualification standard</t>
        </is>
      </c>
      <c r="G8" s="2" t="inlineStr">
        <is>
          <t>selector_archetype</t>
        </is>
      </c>
      <c r="H8" s="2" t="inlineStr">
        <is>
          <t>tropical_cyclone_wind</t>
        </is>
      </c>
      <c r="I8" s="2" t="inlineStr">
        <is>
          <t>T2_public_lab_standard_or_physics</t>
        </is>
      </c>
      <c r="J8" s="2" t="inlineStr">
        <is>
          <t>direct</t>
        </is>
      </c>
      <c r="K8" s="2" t="inlineStr">
        <is>
          <t>partial</t>
        </is>
      </c>
      <c r="L8" s="2" t="inlineStr">
        <is>
          <t>design qualification and reported specification-sheet/test identity for solar trackers</t>
        </is>
      </c>
      <c r="M8" s="2" t="inlineStr">
        <is>
          <t>Require exact tracker model, configuration, qualification edition, and test identity as selector metadata.</t>
        </is>
      </c>
      <c r="N8" s="2" t="inlineStr">
        <is>
          <t>Infer site wind capacity, tropical-cyclone fragility, Ucrit for an unnamed tracker, stow reliability, or economic DR.</t>
        </is>
      </c>
      <c r="O8" s="2" t="inlineStr">
        <is>
          <t>adopt_with_limits</t>
        </is>
      </c>
      <c r="P8" s="2" t="inlineStr">
        <is>
          <t>reviewed</t>
        </is>
      </c>
      <c r="Q8" s="2" t="inlineStr">
        <is>
          <t>Qualification provenance is necessary but not sufficient for a damage curve.</t>
        </is>
      </c>
    </row>
    <row r="9">
      <c r="A9" s="2" t="inlineStr">
        <is>
          <t>TCWS-S008</t>
        </is>
      </c>
      <c r="B9" s="2" t="inlineStr">
        <is>
          <t>International Electrotechnical Commission. IEC 61730-2:2023 with COR1:2024, Photovoltaic module safety qualification—Part 2: Requirements for testing.</t>
        </is>
      </c>
      <c r="C9" s="2" t="inlineStr">
        <is>
          <t>https://webstore.iec.ch/en/publication/63895</t>
        </is>
      </c>
      <c r="D9" s="2" t="inlineStr">
        <is>
          <t>2026-07-28</t>
        </is>
      </c>
      <c r="E9" s="2" t="inlineStr">
        <is>
          <t>official scope, objective, test-sequence, and pass-criteria description; corrigendum status</t>
        </is>
      </c>
      <c r="F9" s="2" t="inlineStr">
        <is>
          <t>international safety standard</t>
        </is>
      </c>
      <c r="G9" s="2" t="inlineStr">
        <is>
          <t>selector_archetype</t>
        </is>
      </c>
      <c r="H9" s="2" t="inlineStr">
        <is>
          <t>all_shared</t>
        </is>
      </c>
      <c r="I9" s="2" t="inlineStr">
        <is>
          <t>T2_public_lab_standard_or_physics</t>
        </is>
      </c>
      <c r="J9" s="2" t="inlineStr">
        <is>
          <t>direct</t>
        </is>
      </c>
      <c r="K9" s="2" t="inlineStr">
        <is>
          <t>partial</t>
        </is>
      </c>
      <c r="L9" s="2" t="inlineStr">
        <is>
          <t>PV module safety-qualification test requirements used with IEC 61730-1</t>
        </is>
      </c>
      <c r="M9" s="2" t="inlineStr">
        <is>
          <t>Record module qualification lineage and prevent unqualified module-class aliases.</t>
        </is>
      </c>
      <c r="N9" s="2" t="inlineStr">
        <is>
          <t>Treat safety qualification as tropical-cyclone survival, module/rack structural fragility, wind-load capacity, or replacement-cost ratio.</t>
        </is>
      </c>
      <c r="O9" s="2" t="inlineStr">
        <is>
          <t>adopt_with_limits</t>
        </is>
      </c>
      <c r="P9" s="2" t="inlineStr">
        <is>
          <t>reviewed</t>
        </is>
      </c>
      <c r="Q9" s="2" t="inlineStr">
        <is>
          <t>Safety scope only; not a hurricane damage test.</t>
        </is>
      </c>
    </row>
    <row r="10">
      <c r="A10" s="2" t="inlineStr">
        <is>
          <t>TCWS-S009</t>
        </is>
      </c>
      <c r="B10" s="2" t="inlineStr">
        <is>
          <t>U.S. DOE/FEMP and GSA. PV System Owner's Guide to Identifying, Assessing, and Addressing Weather Vulnerabilities, Risks, and Impacts (2021).</t>
        </is>
      </c>
      <c r="C10" s="2" t="inlineStr">
        <is>
          <t>https://www.energy.gov/sites/default/files/2021-09/pv-system-owners-guide-to-weather-vulnerabilities.pdf</t>
        </is>
      </c>
      <c r="D10" s="2" t="inlineStr">
        <is>
          <t>2026-07-28</t>
        </is>
      </c>
      <c r="E10" s="2" t="inlineStr">
        <is>
          <t>§5; PDF pp. 43–50 for clamps/racking and pp. 56–58 for high-wind field context</t>
        </is>
      </c>
      <c r="F10" s="2" t="inlineStr">
        <is>
          <t>government field-audit guidance</t>
        </is>
      </c>
      <c r="G10" s="2" t="inlineStr">
        <is>
          <t>mechanism_only</t>
        </is>
      </c>
      <c r="H10" s="2" t="inlineStr">
        <is>
          <t>tropical_cyclone_wind</t>
        </is>
      </c>
      <c r="I10" s="2" t="inlineStr">
        <is>
          <t>T2_public_lab_standard_or_physics</t>
        </is>
      </c>
      <c r="J10" s="2" t="inlineStr">
        <is>
          <t>direct</t>
        </is>
      </c>
      <c r="K10" s="2" t="inlineStr">
        <is>
          <t>partial</t>
        </is>
      </c>
      <c r="L10" s="2" t="inlineStr">
        <is>
          <t>field-audit taxonomy for modules, clamps, fasteners, racking, wiring, enclosures, maintenance, and observed cascade mechanisms</t>
        </is>
      </c>
      <c r="M10" s="2" t="inlineStr">
        <is>
          <t>Support candidate failure-unit coverage and selector/conditioner inspection fields.</t>
        </is>
      </c>
      <c r="N10" s="2" t="inlineStr">
        <is>
          <t>Supply a numerical hurricane fragility, median, dispersion, component severity, or loss cap.</t>
        </is>
      </c>
      <c r="O10" s="2" t="inlineStr">
        <is>
          <t>adopt_with_limits</t>
        </is>
      </c>
      <c r="P10" s="2" t="inlineStr">
        <is>
          <t>reviewed</t>
        </is>
      </c>
      <c r="Q10" s="2" t="inlineStr">
        <is>
          <t>Reused from the governed strong_wind_solar evidence spine at qualitative mechanism grain only.</t>
        </is>
      </c>
    </row>
    <row r="11">
      <c r="A11" s="2" t="inlineStr">
        <is>
          <t>TCWS-S010</t>
        </is>
      </c>
      <c r="B11" s="2" t="inlineStr">
        <is>
          <t>Browne, M. T. L.; Taylor, Z. J.; Li, S.; Gamble, S. A wind load design method for ground-mounted multi-row solar arrays based on a compilation of wind tunnel experiments. Journal of Wind Engineering and Industrial Aerodynamics 205, 104294 (2020). DOI 10.1016/j.jweia.2020.104294.</t>
        </is>
      </c>
      <c r="C11" s="2" t="inlineStr">
        <is>
          <t>https://doi.org/10.1016/j.jweia.2020.104294</t>
        </is>
      </c>
      <c r="D11" s="2" t="inlineStr">
        <is>
          <t>2026-07-28</t>
        </is>
      </c>
      <c r="E11" s="2" t="inlineStr">
        <is>
          <t>abstract; §§1–5; limitations on flexible single-axis trackers</t>
        </is>
      </c>
      <c r="F11" s="2" t="inlineStr">
        <is>
          <t>peer-reviewed atmospheric-boundary-layer wind-tunnel synthesis</t>
        </is>
      </c>
      <c r="G11" s="2" t="inlineStr">
        <is>
          <t>axis_bridge</t>
        </is>
      </c>
      <c r="H11" s="2" t="inlineStr">
        <is>
          <t>tropical_cyclone_wind</t>
        </is>
      </c>
      <c r="I11" s="2" t="inlineStr">
        <is>
          <t>T2_public_lab_standard_or_physics</t>
        </is>
      </c>
      <c r="J11" s="2" t="inlineStr">
        <is>
          <t>direct</t>
        </is>
      </c>
      <c r="K11" s="2" t="inlineStr">
        <is>
          <t>partial</t>
        </is>
      </c>
      <c r="L11" s="2" t="inlineStr">
        <is>
          <t>static and dynamic design wind coefficients for relatively rigid, fixed-tilt, multi-row ground-mounted arrays, including array zoning</t>
        </is>
      </c>
      <c r="M11" s="2" t="inlineStr">
        <is>
          <t>Support a separate fixed-tilt demand bridge, perimeter/interior zoning, and small-deflection eligibility checks.</t>
        </is>
      </c>
      <c r="N11" s="2" t="inlineStr">
        <is>
          <t>Transfer synoptic ABL coefficients to a tropical-cyclone site without basis; apply to flexible trackers; infer failure probability, damage state, or DR.</t>
        </is>
      </c>
      <c r="O11" s="2" t="inlineStr">
        <is>
          <t>adopt_with_limits</t>
        </is>
      </c>
      <c r="P11" s="2" t="inlineStr">
        <is>
          <t>reviewed</t>
        </is>
      </c>
      <c r="Q11" s="2" t="inlineStr">
        <is>
          <t>Strong-wind substrate reused at engineering-design grain; no numerical vulnerability transfer.</t>
        </is>
      </c>
    </row>
    <row r="12">
      <c r="A12" s="2" t="inlineStr">
        <is>
          <t>TCWS-S011</t>
        </is>
      </c>
      <c r="B12" s="2" t="inlineStr">
        <is>
          <t>Rodríguez-Casado, C.; Martínez-García, E.; Manzanares-Bercial, R.; et al. Experimental benchmark for the 3D wind tunnel testing of torsional aeroelastic instabilities in single-axis solar trackers. Journal of Wind Engineering and Industrial Aerodynamics 253, 105838 (2024). DOI 10.1016/j.jweia.2024.105838.</t>
        </is>
      </c>
      <c r="C12" s="2" t="inlineStr">
        <is>
          <t>https://doi.org/10.1016/j.jweia.2024.105838</t>
        </is>
      </c>
      <c r="D12" s="2" t="inlineStr">
        <is>
          <t>2026-07-28</t>
        </is>
      </c>
      <c r="E12" s="2" t="inlineStr">
        <is>
          <t>abstract; prototype and experimental-methodology sections; stability results; conclusions</t>
        </is>
      </c>
      <c r="F12" s="2" t="inlineStr">
        <is>
          <t>peer-reviewed two-laboratory aeroelastic benchmark</t>
        </is>
      </c>
      <c r="G12" s="2" t="inlineStr">
        <is>
          <t>axis_bridge</t>
        </is>
      </c>
      <c r="H12" s="2" t="inlineStr">
        <is>
          <t>tropical_cyclone_wind</t>
        </is>
      </c>
      <c r="I12" s="2" t="inlineStr">
        <is>
          <t>T2_public_lab_standard_or_physics</t>
        </is>
      </c>
      <c r="J12" s="2" t="inlineStr">
        <is>
          <t>direct</t>
        </is>
      </c>
      <c r="K12" s="2" t="inlineStr">
        <is>
          <t>partial</t>
        </is>
      </c>
      <c r="L12" s="2" t="inlineStr">
        <is>
          <t>critical velocity for torsional instability of one defined 3D benchmark tracker by tilt and row position under controlled uniform-flow tests</t>
        </is>
      </c>
      <c r="M12" s="2" t="inlineStr">
        <is>
          <t>Support exact-system Ucrit normalization and qualification metadata for a tracker-specific future bridge.</t>
        </is>
      </c>
      <c r="N12" s="2" t="inlineStr">
        <is>
          <t>Use benchmark Ucrit as a generic production-tracker threshold, transfer uniform-flow results to a site TC field without qualification, or infer failure probability/economic DR.</t>
        </is>
      </c>
      <c r="O12" s="2" t="inlineStr">
        <is>
          <t>adopt_with_limits</t>
        </is>
      </c>
      <c r="P12" s="2" t="inlineStr">
        <is>
          <t>reviewed</t>
        </is>
      </c>
      <c r="Q12" s="2" t="inlineStr">
        <is>
          <t>Critical speed depends on the defined tracker and tilt; the source is not a population fragility.</t>
        </is>
      </c>
    </row>
    <row r="13">
      <c r="A13" s="2" t="inlineStr">
        <is>
          <t>TCWS-S012</t>
        </is>
      </c>
      <c r="B13" s="2" t="inlineStr">
        <is>
          <t>Frontini, G.; Calamelli, F.; Muggiasca, S.; Argentini, T. Key parameters influencing wind-induced aeroelastic responses of single-axis solar trackers in photovoltaic plants. Solar Energy 287, 113232 (2025). DOI 10.1016/j.solener.2024.113232.</t>
        </is>
      </c>
      <c r="C13" s="2" t="inlineStr">
        <is>
          <t>https://doi.org/10.1016/j.solener.2024.113232</t>
        </is>
      </c>
      <c r="D13" s="2" t="inlineStr">
        <is>
          <t>2026-07-28</t>
        </is>
      </c>
      <c r="E13" s="2" t="inlineStr">
        <is>
          <t>abstract; experimental/numerical method; stability map; stress envelopes; conclusions</t>
        </is>
      </c>
      <c r="F13" s="2" t="inlineStr">
        <is>
          <t>peer-reviewed wind-tunnel and finite-element study</t>
        </is>
      </c>
      <c r="G13" s="2" t="inlineStr">
        <is>
          <t>selector_archetype</t>
        </is>
      </c>
      <c r="H13" s="2" t="inlineStr">
        <is>
          <t>tropical_cyclone_wind</t>
        </is>
      </c>
      <c r="I13" s="2" t="inlineStr">
        <is>
          <t>T2_public_lab_standard_or_physics</t>
        </is>
      </c>
      <c r="J13" s="2" t="inlineStr">
        <is>
          <t>direct</t>
        </is>
      </c>
      <c r="K13" s="2" t="inlineStr">
        <is>
          <t>partial</t>
        </is>
      </c>
      <c r="L13" s="2" t="inlineStr">
        <is>
          <t>tracker aeroelastic response and stress sensitivity to row position, pitch, wind direction/exposure angle, and ground-cover ratio</t>
        </is>
      </c>
      <c r="M13" s="2" t="inlineStr">
        <is>
          <t>Require row/zone, angle, direction, layout, and structural-dynamic attributes for tracker routing.</t>
        </is>
      </c>
      <c r="N13" s="2" t="inlineStr">
        <is>
          <t>Transfer tested critical speeds or angle ranking to another tracker, claim tropical-cyclone equivalence, or infer probability/severity/cost.</t>
        </is>
      </c>
      <c r="O13" s="2" t="inlineStr">
        <is>
          <t>adopt_with_limits</t>
        </is>
      </c>
      <c r="P13" s="2" t="inlineStr">
        <is>
          <t>reviewed</t>
        </is>
      </c>
      <c r="Q13" s="2" t="inlineStr">
        <is>
          <t>Architecture and conditioner evidence only.</t>
        </is>
      </c>
    </row>
    <row r="14">
      <c r="A14" s="2" t="inlineStr">
        <is>
          <t>TCWS-S013</t>
        </is>
      </c>
      <c r="B14" s="2" t="inlineStr">
        <is>
          <t>Ramasamy, V.; Woodhouse, M.; Feldman, D. Q1-2025 Solar Photovoltaic System Cost Benchmarks. NLR Data Catalog submission 304 (2025; updated 2026-01-06). DOI 10.7799/3009689.</t>
        </is>
      </c>
      <c r="C14" s="2" t="inlineStr">
        <is>
          <t>https://data.nrel.gov/submissions/304</t>
        </is>
      </c>
      <c r="D14" s="2" t="inlineStr">
        <is>
          <t>2026-07-28</t>
        </is>
      </c>
      <c r="E14" s="2" t="inlineStr">
        <is>
          <t>dataset landing page; UPV Q1-2025 resource; PVSCM 2025 model and description</t>
        </is>
      </c>
      <c r="F14" s="2" t="inlineStr">
        <is>
          <t>official public cost dataset and model</t>
        </is>
      </c>
      <c r="G14" s="2" t="inlineStr">
        <is>
          <t>exposure_or_value</t>
        </is>
      </c>
      <c r="H14" s="2" t="inlineStr">
        <is>
          <t>all_shared</t>
        </is>
      </c>
      <c r="I14" s="2" t="inlineStr">
        <is>
          <t>T2_public_lab_standard_or_physics</t>
        </is>
      </c>
      <c r="J14" s="2" t="inlineStr">
        <is>
          <t>direct</t>
        </is>
      </c>
      <c r="K14" s="2" t="inlineStr">
        <is>
          <t>partial</t>
        </is>
      </c>
      <c r="L14" s="2" t="inlineStr">
        <is>
          <t>U.S. reference utility-scale PV component, balance-of-system, fieldwork, support, soft-cost, and installed-cost rows</t>
        </is>
      </c>
      <c r="M14" s="2" t="inlineStr">
        <is>
          <t>Supply a row-level reference value ledger and denominator reconciliation after architecture/vintage/unit checks.</t>
        </is>
      </c>
      <c r="N14" s="2" t="inlineStr">
        <is>
          <t>Infer fragility, damage probability, repair disposition, site replacement cost, exposed fraction, or support allocation.</t>
        </is>
      </c>
      <c r="O14" s="2" t="inlineStr">
        <is>
          <t>adopt_with_limits</t>
        </is>
      </c>
      <c r="P14" s="2" t="inlineStr">
        <is>
          <t>reviewed</t>
        </is>
      </c>
      <c r="Q14" s="2" t="inlineStr">
        <is>
          <t>Reference-value evidence only. The exact parent-ledger alias is value_source_id NLR_Q1_2025_UPV_PV_ONLY_2024_USD; that ledger governs rows, units, vintage, and support allocation.</t>
        </is>
      </c>
    </row>
    <row r="15">
      <c r="A15" s="2" t="inlineStr">
        <is>
          <t>TCWS-S014</t>
        </is>
      </c>
      <c r="B15" s="2" t="inlineStr">
        <is>
          <t>Du, X.; Becker, T.; Taylor, Z. J.; Needham, C. Cyclic Demands on Solar Structural Joints under Wind Loading. Journal of Structural Engineering 151(10), 04025156 (2025). DOI 10.1061/JSENDH.STENG-14435.</t>
        </is>
      </c>
      <c r="C15" s="2" t="inlineStr">
        <is>
          <t>https://doi.org/10.1061/JSENDH.STENG-14435</t>
        </is>
      </c>
      <c r="D15" s="2" t="inlineStr">
        <is>
          <t>2026-07-28</t>
        </is>
      </c>
      <c r="E15" s="2" t="inlineStr">
        <is>
          <t>abstract; Introduction; Prototype Structure; Wind Hazard Analysis; Conclusions</t>
        </is>
      </c>
      <c r="F15" s="2" t="inlineStr">
        <is>
          <t>peer-reviewed CFD/FEA and wind-hazard study</t>
        </is>
      </c>
      <c r="G15" s="2" t="inlineStr">
        <is>
          <t>mechanism_only</t>
        </is>
      </c>
      <c r="H15" s="2" t="inlineStr">
        <is>
          <t>tropical_cyclone_wind</t>
        </is>
      </c>
      <c r="I15" s="2" t="inlineStr">
        <is>
          <t>T2_public_lab_standard_or_physics</t>
        </is>
      </c>
      <c r="J15" s="2" t="inlineStr">
        <is>
          <t>direct</t>
        </is>
      </c>
      <c r="K15" s="2" t="inlineStr">
        <is>
          <t>partial</t>
        </is>
      </c>
      <c r="L15" s="2" t="inlineStr">
        <is>
          <t>lifetime cyclic rotation demands for shared top-down clamps on a prototype fixed-tilt array under typical, explicitly non-hurricane winds</t>
        </is>
      </c>
      <c r="M15" s="2" t="inlineStr">
        <is>
          <t>Support joint-condition, preload/installation, cyclic-demand, and cascading-dependency fields; demonstrate that equivalent-static design does not exhaust failure mechanisms.</t>
        </is>
      </c>
      <c r="N15" s="2" t="inlineStr">
        <is>
          <t>Use the duty cycles as TC demand, a hurricane threshold, clamp failure probability, or repair-cost ratio.</t>
        </is>
      </c>
      <c r="O15" s="2" t="inlineStr">
        <is>
          <t>adopt_with_limits</t>
        </is>
      </c>
      <c r="P15" s="2" t="inlineStr">
        <is>
          <t>reviewed</t>
        </is>
      </c>
      <c r="Q15" s="2" t="inlineStr">
        <is>
          <t>The paper explicitly excludes extreme/hurricane winds from its hazard scenarios.</t>
        </is>
      </c>
    </row>
    <row r="16">
      <c r="A16" s="2" t="inlineStr">
        <is>
          <t>TCWS-S015</t>
        </is>
      </c>
      <c r="B16" s="2" t="inlineStr">
        <is>
          <t>Damage Modeling strong_wind_solar model-v2.0/docs-r1 proposed evidence package.</t>
        </is>
      </c>
      <c r="C16" s="2" t="inlineStr">
        <is>
          <t>docs/cells/strong_wind_solar/proposed/SOURCE_REGISTER_strong_wind_solar__model_v2_0__docs_r1.csv</t>
        </is>
      </c>
      <c r="D16" s="2" t="inlineStr">
        <is>
          <t>2026-07-28</t>
        </is>
      </c>
      <c r="E16" s="2" t="inlineStr">
        <is>
          <t>rows DOE_PV_OWNER_GUIDE_2021, FIXED_TILT_WIND_DESIGN_2020, PV_TRACKER_AEROELASTIC_2024, TRACKER_LAYOUT_AEROELASTIC_2025, FM_DS_7_106_2026, ASCE_7_22, IEC_62817; neighboring-wind boundary memo</t>
        </is>
      </c>
      <c r="F16" s="2" t="inlineStr">
        <is>
          <t>governed cross-cell evidence lineage</t>
        </is>
      </c>
      <c r="G16" s="2" t="inlineStr">
        <is>
          <t>mechanism_only</t>
        </is>
      </c>
      <c r="H16" s="2" t="inlineStr">
        <is>
          <t>tropical_cyclone_wind</t>
        </is>
      </c>
      <c r="I16" s="2" t="inlineStr">
        <is>
          <t>T3_engineering_proxy_or_adjacent_empirical</t>
        </is>
      </c>
      <c r="J16" s="2" t="inlineStr">
        <is>
          <t>direct</t>
        </is>
      </c>
      <c r="K16" s="2" t="inlineStr">
        <is>
          <t>partial</t>
        </is>
      </c>
      <c r="L16" s="2" t="inlineStr">
        <is>
          <t>previously reviewed solar anatomy, fixed-versus-tracker split, wind-demand mechanisms, and source transfer limits</t>
        </is>
      </c>
      <c r="M16" s="2" t="inlineStr">
        <is>
          <t>Reuse source discovery, anatomy, terminology, and governance controls while independently registering primary sources here.</t>
        </is>
      </c>
      <c r="N16" s="2" t="inlineStr">
        <is>
          <t>Inherit straight-line-convective axes, curves, T4 medians/beta/state costs, downburst profiles, or consumer behavior into tropical-cyclone wind.</t>
        </is>
      </c>
      <c r="O16" s="2" t="inlineStr">
        <is>
          <t>adopt_with_limits</t>
        </is>
      </c>
      <c r="P16" s="2" t="inlineStr">
        <is>
          <t>reviewed</t>
        </is>
      </c>
      <c r="Q16" s="2" t="inlineStr">
        <is>
          <t>Evidence reuse is not numerical model reuse.</t>
        </is>
      </c>
    </row>
    <row r="17">
      <c r="A17" s="2" t="inlineStr">
        <is>
          <t>LEG-TCWS-001</t>
        </is>
      </c>
      <c r="B17" s="2" t="inlineStr">
        <is>
          <t>InfraSure legacy HURRICANE x SOLAR research memo and master curve index.</t>
        </is>
      </c>
      <c r="C17" s="2" t="inlineStr">
        <is>
          <t>infrasure-damage-curves/research/HURRICANE_x_SOLAR.md</t>
        </is>
      </c>
      <c r="D17" s="2" t="inlineStr">
        <is>
          <t>2026-07-28</t>
        </is>
      </c>
      <c r="E17" s="2" t="inlineStr">
        <is>
          <t>memo §§2.6–2.8, §5, §6, Appendix A; data/master_curve_index.json lines 219–299</t>
        </is>
      </c>
      <c r="F17" s="2" t="inlineStr">
        <is>
          <t>legacy research memo and curve index</t>
        </is>
      </c>
      <c r="G17" s="2" t="inlineStr">
        <is>
          <t>rejected</t>
        </is>
      </c>
      <c r="H17" s="2" t="inlineStr">
        <is>
          <t>tropical_cyclone_wind</t>
        </is>
      </c>
      <c r="I17" s="2" t="inlineStr">
        <is>
          <t>T4_placeholder_or_expert_judgment</t>
        </is>
      </c>
      <c r="J17" s="2" t="inlineStr">
        <is>
          <t>direct</t>
        </is>
      </c>
      <c r="K17" s="2" t="inlineStr">
        <is>
          <t>partial</t>
        </is>
      </c>
      <c r="L17" s="2" t="inlineStr">
        <is>
          <t>seven proposed ordinary-logistic subsystem records on 3-second gust mph, later presented as damage ratios</t>
        </is>
      </c>
      <c r="M17" s="2" t="inlineStr">
        <is>
          <t>Use only for source discovery, numerical reproduction, defect audit, and migration regression fixtures.</t>
        </is>
      </c>
      <c r="N17" s="2" t="inlineStr">
        <is>
          <t>Adopt any parameter, threshold, cap, confidence label, architecture shift, economic endpoint, or source characterization.</t>
        </is>
      </c>
      <c r="O17" s="2" t="inlineStr">
        <is>
          <t>reject_runtime_retain_audit</t>
        </is>
      </c>
      <c r="P17" s="2" t="inlineStr">
        <is>
          <t>reviewed</t>
        </is>
      </c>
      <c r="Q17" s="2" t="inlineStr">
        <is>
          <t>Pinned at legacy repository commit 12653b2c3d5a013c9524228243ea666c35bb3814; memo blob ea9febd74f91e79a41b5f7aca5ebd58d36a7230d; index blob 42e4b3d13d434322dd1e0c8d549d0e4b8167f28e. The memo misstates the Ceferino ground-mount posterior and converts a probability endpoint into capped DR.</t>
        </is>
      </c>
    </row>
    <row r="18">
      <c r="A18" s="2" t="inlineStr">
        <is>
          <t>LEG-TCWS-002</t>
        </is>
      </c>
      <c r="B18" s="2" t="inlineStr">
        <is>
          <t>Hazard Modeling hurricane-solar M3 provisional placeholder implementation.</t>
        </is>
      </c>
      <c r="C18" s="2" t="inlineStr">
        <is>
          <t>Hazard_modeling/Notebooks/hurricane/solar/m3_damage/01_damage.py</t>
        </is>
      </c>
      <c r="D18" s="2" t="inlineStr">
        <is>
          <t>2026-07-28</t>
        </is>
      </c>
      <c r="E18" s="2" t="inlineStr">
        <is>
          <t>lines 14–39, 56–105, 136–183, and 197–207</t>
        </is>
      </c>
      <c r="F18" s="2" t="inlineStr">
        <is>
          <t>consumer code</t>
        </is>
      </c>
      <c r="G18" s="2" t="inlineStr">
        <is>
          <t>rejected</t>
        </is>
      </c>
      <c r="H18" s="2" t="inlineStr">
        <is>
          <t>tropical_cyclone_wind</t>
        </is>
      </c>
      <c r="I18" s="2" t="inlineStr">
        <is>
          <t>T4_placeholder_or_expert_judgment</t>
        </is>
      </c>
      <c r="J18" s="2" t="inlineStr">
        <is>
          <t>direct</t>
        </is>
      </c>
      <c r="K18" s="2" t="inlineStr">
        <is>
          <t>partial</t>
        </is>
      </c>
      <c r="L18" s="2" t="inlineStr">
        <is>
          <t>anchored legacy logistics blended with hardcoded full-TIV shares PV 0.35, mounting 0.15, substation 0.08, and remainder 0.42 assigned zero wind DR</t>
        </is>
      </c>
      <c r="M18" s="2" t="inlineStr">
        <is>
          <t>Freeze exact behavior only as a migration/regression fixture and document downstream exposure/value assumptions.</t>
        </is>
      </c>
      <c r="N18" s="2" t="inlineStr">
        <is>
          <t>Treat as scientific calibration, a governed Damage artifact, a valid capex denominator, or acceptable runtime fallback after the scaffold exists.</t>
        </is>
      </c>
      <c r="O18" s="2" t="inlineStr">
        <is>
          <t>reject_runtime_retain_audit</t>
        </is>
      </c>
      <c r="P18" s="2" t="inlineStr">
        <is>
          <t>reviewed</t>
        </is>
      </c>
      <c r="Q18" s="2" t="inlineStr">
        <is>
          <t>Pinned at Hazard_modeling commit 5033169cfed315dfe8575520a44f84404e89ecda; file blob d5cba3db1ed9f55bd2e8d1884b4a1f2fc144c3d2. It mixes aerodynamic, debris, rain, and generic substation proxies and calls absent coverage approximately wind-immune.</t>
        </is>
      </c>
    </row>
    <row r="19">
      <c r="A19" s="2" t="inlineStr">
        <is>
          <t>GOVERNANCE_CONTRACT</t>
        </is>
      </c>
      <c r="B19" s="2" t="inlineStr">
        <is>
          <t>Damage Modeling repository governance: method standards, contracts, and damage-curve skill controls.</t>
        </is>
      </c>
      <c r="C19" s="2" t="inlineStr">
        <is>
          <t>docs/method/standards/00_index.md</t>
        </is>
      </c>
      <c r="D19" s="2" t="inlineStr">
        <is>
          <t>2026-07-28</t>
        </is>
      </c>
      <c r="E19" s="2" t="inlineStr">
        <is>
          <t>docs/method/standards/02_cell_package_standard.md; docs/contracts/standards/20_machine_readable_artifact_standard.md; docs/contracts/standards/21_capability_and_cap_binding_standard.md; damage-curve skill CHANGE_CLASSIFIER and EVIDENCE_PRESSURE_TEST_AND_FAIL_CLOSED_CHECKLIST</t>
        </is>
      </c>
      <c r="F19" s="2" t="inlineStr">
        <is>
          <t>internal governance control</t>
        </is>
      </c>
      <c r="G19" s="2" t="inlineStr">
        <is>
          <t>governance_rule</t>
        </is>
      </c>
      <c r="H19" s="2" t="inlineStr">
        <is>
          <t>all_shared</t>
        </is>
      </c>
      <c r="I19" s="2" t="inlineStr">
        <is>
          <t>T4_placeholder_or_expert_judgment</t>
        </is>
      </c>
      <c r="J19" s="2" t="inlineStr">
        <is>
          <t>direct</t>
        </is>
      </c>
      <c r="K19" s="2" t="inlineStr">
        <is>
          <t>direct</t>
        </is>
      </c>
      <c r="L19" s="2" t="inlineStr">
        <is>
          <t>change classification, provenance, pathway, seven-step, fail-closed, runtime-artifact, and reportability rules</t>
        </is>
      </c>
      <c r="M19" s="2" t="inlineStr">
        <is>
          <t>Control package structure, source resolution, candidate isolation, withholding, event identity, and promotion gates.</t>
        </is>
      </c>
      <c r="N19" s="2" t="inlineStr">
        <is>
          <t>Serve as scientific calibration, hazard evidence, or economic-value evidence.</t>
        </is>
      </c>
      <c r="O19" s="2" t="inlineStr">
        <is>
          <t>adopt</t>
        </is>
      </c>
      <c r="P19" s="2" t="inlineStr">
        <is>
          <t>reviewed</t>
        </is>
      </c>
      <c r="Q19" s="2" t="inlineStr">
        <is>
          <t>Internal authority for governance decisions only.</t>
        </is>
      </c>
    </row>
    <row r="20">
      <c r="A20" s="2" t="inlineStr">
        <is>
          <t>BOUNDED_SEARCH_LOG</t>
        </is>
      </c>
      <c r="B20" s="2" t="inlineStr">
        <is>
          <t>Bounded evidence search log for tropical_cyclone_wind_solar model v0.1/docs r1.</t>
        </is>
      </c>
      <c r="C20" s="2" t="inlineStr">
        <is>
          <t>docs/cells/tropical_cyclone_wind_solar/proposed/BOUNDED_EVIDENCE_SEARCH_LOG_tropical_cyclone_wind_solar__model_v0_1__docs_r1.md</t>
        </is>
      </c>
      <c r="D20" s="2" t="inlineStr">
        <is>
          <t>2026-07-28</t>
        </is>
      </c>
      <c r="E20" s="2" t="inlineStr">
        <is>
          <t>search cutoff, surfaces, exact query families, endpoint-chain matrix, limitations, and update triggers</t>
        </is>
      </c>
      <c r="F20" s="2" t="inlineStr">
        <is>
          <t>governed search record</t>
        </is>
      </c>
      <c r="G20" s="2" t="inlineStr">
        <is>
          <t>negative_evidence_boundary</t>
        </is>
      </c>
      <c r="H20" s="2" t="inlineStr">
        <is>
          <t>tropical_cyclone_wind</t>
        </is>
      </c>
      <c r="I20" s="2" t="inlineStr">
        <is>
          <t>T3_engineering_proxy_or_adjacent_empirical</t>
        </is>
      </c>
      <c r="J20" s="2" t="inlineStr">
        <is>
          <t>direct</t>
        </is>
      </c>
      <c r="K20" s="2" t="inlineStr">
        <is>
          <t>direct</t>
        </is>
      </c>
      <c r="L20" s="2" t="inlineStr">
        <is>
          <t>bounded result that no public matched tropical-cyclone demand-to-failure-unit-disposition-to-same-unit-cost chain was located within the recorded review</t>
        </is>
      </c>
      <c r="M20" s="2" t="inlineStr">
        <is>
          <t>Support the scoped NO_RUNTIME_CURVE decision and define evidence-refresh triggers.</t>
        </is>
      </c>
      <c r="N20" s="2" t="inlineStr">
        <is>
          <t>Claim universal absence across private owner/OEM/insurer data, non-indexed material, other languages, or evidence published after the cutoff.</t>
        </is>
      </c>
      <c r="O20" s="2" t="inlineStr">
        <is>
          <t>adopt_with_limits</t>
        </is>
      </c>
      <c r="P20" s="2" t="inlineStr">
        <is>
          <t>reviewed</t>
        </is>
      </c>
      <c r="Q20" s="2" t="inlineStr">
        <is>
          <t>Negative evidence is bounded, reproducible, and not universal.</t>
        </is>
      </c>
    </row>
    <row r="21">
      <c r="A21" s="2" t="inlineStr">
        <is>
          <t>TCWS-S020</t>
        </is>
      </c>
      <c r="B21" s="2" t="inlineStr">
        <is>
          <t>NLR/NREL. Satellite Imagery of PV Site Storm Damage. Dataset DOI 10.21948/2562917 (2025).</t>
        </is>
      </c>
      <c r="C21" s="2" t="inlineStr">
        <is>
          <t>https://www.osti.gov/biblio/2562917</t>
        </is>
      </c>
      <c r="D21" s="2" t="inlineStr">
        <is>
          <t>2026-07-28</t>
        </is>
      </c>
      <c r="E21" s="2" t="inlineStr">
        <is>
          <t>manual CSV file id f6eb09a0-4a12-4ef8-b2d9-8aa9e70f4008; columns mounting_type, tracking, max_wind_gust_(m/s), pct_modules_damaged (%); SHA256 edb34e74cc078bba1fdbe34463abadc794fd416caa66eb64ac3d0ed176ac5e00; aggregated CSV file id f5355652-f2e1-4bdb-8ff2-3623ce15a1d4; cross-method audit lines 7, 74, 242, 257; SHA256 c1ab48731f875142c571efcfd6323d7e048b35b2d2525418e25e6fefb3487062</t>
        </is>
      </c>
      <c r="F21" s="2" t="inlineStr">
        <is>
          <t>government research data archive</t>
        </is>
      </c>
      <c r="G21" s="2" t="inlineStr">
        <is>
          <t>curve_fit_shape</t>
        </is>
      </c>
      <c r="H21" s="2" t="inlineStr">
        <is>
          <t>tropical_cyclone_wind</t>
        </is>
      </c>
      <c r="I21" s="2" t="inlineStr">
        <is>
          <t>T1_claims_or_field_calibrated</t>
        </is>
      </c>
      <c r="J21" s="2" t="inlineStr">
        <is>
          <t>partial</t>
        </is>
      </c>
      <c r="K21" s="2" t="inlineStr">
        <is>
          <t>direct_visible_module_proxy</t>
        </is>
      </c>
      <c r="L21" s="2" t="inlineStr">
        <is>
          <t>47 manually labeled sites; 37 ground; 35 ground non-tracking; percent visibly damaged module area and event maximum gust</t>
        </is>
      </c>
      <c r="M21" s="2" t="inlineStr">
        <is>
          <t>Filter ground plus tracking false; convert percent to fraction; fit an unweighted monotone source-cohort screening relationship. Use the four pinned aggregate rows only for the governed apparent-coordinate cross-method audit.</t>
        </is>
      </c>
      <c r="N21" s="2" t="inlineStr">
        <is>
          <t>Claim utility-scale representativeness, local 3-second gust semantics, causal purity, hidden damage, disposition, or repair cost from the raw fields. Treat coordinate proximity as an authoritative identity join.</t>
        </is>
      </c>
      <c r="O21" s="2" t="inlineStr">
        <is>
          <t>adopt_with_limits</t>
        </is>
      </c>
      <c r="P21" s="2" t="inlineStr">
        <is>
          <t>reviewed</t>
        </is>
      </c>
      <c r="Q21" s="2" t="inlineStr">
        <is>
          <t>Raw files are not redistributed because repository metadata states no license; DOI, file IDs, schemas, and hashes are pinned. The manual CSV alone enters the PAVA fit; aggregate rows are audit-only and never enter runtime fitting.</t>
        </is>
      </c>
    </row>
    <row r="22">
      <c r="A22" s="2" t="inlineStr">
        <is>
          <t>TCWS-S021</t>
        </is>
      </c>
      <c r="B22" s="2" t="inlineStr">
        <is>
          <t>NLR/NREL. Extreme Weather Data Description, file in Satellite Imagery of PV Site Storm Damage dataset DOI 10.21948/2562917.</t>
        </is>
      </c>
      <c r="C22" s="2" t="inlineStr">
        <is>
          <t>https://www.osti.gov/biblio/2562917</t>
        </is>
      </c>
      <c r="D22" s="2" t="inlineStr">
        <is>
          <t>2026-07-28</t>
        </is>
      </c>
      <c r="E22" s="2" t="inlineStr">
        <is>
          <t>data-description PDF file id f3736640-1433-42f6-bd0b-3e2bf9b2951e; pp. 1-2; SHA256 852ff0128c99e188127a3d789ab217f55c98dba4952db590e07c140bf45219d5</t>
        </is>
      </c>
      <c r="F22" s="2" t="inlineStr">
        <is>
          <t>government dataset documentation</t>
        </is>
      </c>
      <c r="G22" s="2" t="inlineStr">
        <is>
          <t>endpoint_definition</t>
        </is>
      </c>
      <c r="H22" s="2" t="inlineStr">
        <is>
          <t>tropical_cyclone_wind</t>
        </is>
      </c>
      <c r="I22" s="2" t="inlineStr">
        <is>
          <t>T1_claims_or_field_calibrated</t>
        </is>
      </c>
      <c r="J22" s="2" t="inlineStr">
        <is>
          <t>partial</t>
        </is>
      </c>
      <c r="K22" s="2" t="inlineStr">
        <is>
          <t>direct_visible_module_proxy</t>
        </is>
      </c>
      <c r="L22" s="2" t="inlineStr">
        <is>
          <t>manual site/damage polygons and aggregate percentage of modules blown away; Visual Crossing is documented for the aggregate Irma/Maria weather map but full manual-cohort weather-provider semantics remain unresolved</t>
        </is>
      </c>
      <c r="M22" s="2" t="inlineStr">
        <is>
          <t>Define the observed physical fraction while preserving unresolved full-cohort weather-product lineage.</t>
        </is>
      </c>
      <c r="N22" s="2" t="inlineStr">
        <is>
          <t>Invent gust provider, station, averaging period, height, exposure standard, module disposition, or economic denominator for the full manual cohort.</t>
        </is>
      </c>
      <c r="O22" s="2" t="inlineStr">
        <is>
          <t>adopt_with_limits</t>
        </is>
      </c>
      <c r="P22" s="2" t="inlineStr">
        <is>
          <t>reviewed</t>
        </is>
      </c>
      <c r="Q22" s="2" t="inlineStr">
        <is>
          <t>The manual and aggregate methods differ; the runtime fit uses only the manual CSV.</t>
        </is>
      </c>
    </row>
    <row r="23">
      <c r="A23" s="2" t="inlineStr">
        <is>
          <t>TCWS-S022</t>
        </is>
      </c>
      <c r="B23" s="2" t="inlineStr">
        <is>
          <t>Ceferino, L.; Lin, N.; Xi, D. Supplementary Information to Bayesian Updating of Solar Panel Fragility Curves and Implications of Higher Panel Strength for Solar Generation Resilience (2023).</t>
        </is>
      </c>
      <c r="C23" s="2" t="inlineStr">
        <is>
          <t>https://ars.els-cdn.com/content/image/1-s2.0-S0951832022005117-mmc1.docx</t>
        </is>
      </c>
      <c r="D23" s="2" t="inlineStr">
        <is>
          <t>2026-07-29</t>
        </is>
      </c>
      <c r="E23" s="2" t="inlineStr">
        <is>
          <t>Supplementary Table 2 p. 4; SHA256 6a9e9f36e8e13ae2d9ea266258608a031fe6489bd31155f27b784f1ac7e06756</t>
        </is>
      </c>
      <c r="F23" s="2" t="inlineStr">
        <is>
          <t>peer-reviewed article supplement</t>
        </is>
      </c>
      <c r="G23" s="2" t="inlineStr">
        <is>
          <t>cross_source_endpoint_audit</t>
        </is>
      </c>
      <c r="H23" s="2" t="inlineStr">
        <is>
          <t>tropical_cyclone_wind</t>
        </is>
      </c>
      <c r="I23" s="2" t="inlineStr">
        <is>
          <t>T1_claims_or_field_calibrated</t>
        </is>
      </c>
      <c r="J23" s="2" t="inlineStr">
        <is>
          <t>direct</t>
        </is>
      </c>
      <c r="K23" s="2" t="inlineStr">
        <is>
          <t>partial</t>
        </is>
      </c>
      <c r="L23" s="2" t="inlineStr">
        <is>
          <t>approximate percent of panels damaged at 14 Caribbean ground-mounted sites based mainly on reports and websites with visual satellite verification</t>
        </is>
      </c>
      <c r="M23" s="2" t="inlineStr">
        <is>
          <t>Use as a cross-method same-event and same-site endpoint discrepancy and uncertainty challenge.</t>
        </is>
      </c>
      <c r="N23" s="2" t="inlineStr">
        <is>
          <t>Pool with Perry, treat the approximate values as same-method or independent labels, or convert them to repair cost.</t>
        </is>
      </c>
      <c r="O23" s="2" t="inlineStr">
        <is>
          <t>audit_only</t>
        </is>
      </c>
      <c r="P23" s="2" t="inlineStr">
        <is>
          <t>reviewed</t>
        </is>
      </c>
      <c r="Q23" s="2" t="inlineStr">
        <is>
          <t>Matched-site values differ materially from Perry; the evidence is correlated by site/event and the supplement carries no paired site-level source gust table or same-unit cost.</t>
        </is>
      </c>
    </row>
    <row r="24">
      <c r="A24" s="2" t="inlineStr">
        <is>
          <t>TCWS-S023</t>
        </is>
      </c>
      <c r="B24" s="2" t="inlineStr">
        <is>
          <t>Visual Crossing. Weather Data Documentation.</t>
        </is>
      </c>
      <c r="C24" s="2" t="inlineStr">
        <is>
          <t>https://www.visualcrossing.com/resources/documentation/weather-data/weather-data-documentation/</t>
        </is>
      </c>
      <c r="D24" s="2" t="inlineStr">
        <is>
          <t>2026-07-29</t>
        </is>
      </c>
      <c r="E24" s="2" t="inlineStr">
        <is>
          <t>Wind section; windgust field; daily aggregation description</t>
        </is>
      </c>
      <c r="F24" s="2" t="inlineStr">
        <is>
          <t>weather-provider technical documentation</t>
        </is>
      </c>
      <c r="G24" s="2" t="inlineStr">
        <is>
          <t>axis_semantics_constraint</t>
        </is>
      </c>
      <c r="H24" s="2" t="inlineStr">
        <is>
          <t>tropical_cyclone_wind</t>
        </is>
      </c>
      <c r="I24" s="2" t="inlineStr">
        <is>
          <t>T3_engineering_proxy_or_adjacent_empirical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current provider definition of wind gust and daily maximum aggregation</t>
        </is>
      </c>
      <c r="M24" s="2" t="inlineStr">
        <is>
          <t>Constrain what can and cannot be inferred from a Visual Crossing windgust field.</t>
        </is>
      </c>
      <c r="N24" s="2" t="inlineStr">
        <is>
          <t>Assert that every historical Perry row is an exact 3-second gust at a fixed height/exposure or reconstruct the original query.</t>
        </is>
      </c>
      <c r="O24" s="2" t="inlineStr">
        <is>
          <t>adopt_with_limits</t>
        </is>
      </c>
      <c r="P24" s="2" t="inlineStr">
        <is>
          <t>reviewed</t>
        </is>
      </c>
      <c r="Q24" s="2" t="inlineStr">
        <is>
          <t>Vendor method evidence is not calibration authority.</t>
        </is>
      </c>
    </row>
    <row r="25">
      <c r="A25" s="2" t="inlineStr">
        <is>
          <t>TCWS-S024</t>
        </is>
      </c>
      <c r="B25" s="2" t="inlineStr">
        <is>
          <t>Visual Crossing. How Historical Weather Data Records Are Created from Local Weather Station Observations.</t>
        </is>
      </c>
      <c r="C25" s="2" t="inlineStr">
        <is>
          <t>https://www.visualcrossing.com/resources/documentation/weather-data/how-historical-weather-data-records-are-created-from-local-weather-station-observations/</t>
        </is>
      </c>
      <c r="D25" s="2" t="inlineStr">
        <is>
          <t>2026-07-29</t>
        </is>
      </c>
      <c r="E25" s="2" t="inlineStr">
        <is>
          <t>query-time station selection and hourly blending description</t>
        </is>
      </c>
      <c r="F25" s="2" t="inlineStr">
        <is>
          <t>weather-provider technical documentation</t>
        </is>
      </c>
      <c r="G25" s="2" t="inlineStr">
        <is>
          <t>axis_query_lineage_constraint</t>
        </is>
      </c>
      <c r="H25" s="2" t="inlineStr">
        <is>
          <t>tropical_cyclone_wind</t>
        </is>
      </c>
      <c r="I25" s="2" t="inlineStr">
        <is>
          <t>T3_engineering_proxy_or_adjacent_empirical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query-time construction from nearby station observations</t>
        </is>
      </c>
      <c r="M25" s="2" t="inlineStr">
        <is>
          <t>Require archived station contributors and query settings before a source-to-Hazard bridge.</t>
        </is>
      </c>
      <c r="N25" s="2" t="inlineStr">
        <is>
          <t>Treat a current vendor query as a reproducible copy of the Perry historical source field.</t>
        </is>
      </c>
      <c r="O25" s="2" t="inlineStr">
        <is>
          <t>adopt_with_limits</t>
        </is>
      </c>
      <c r="P25" s="2" t="inlineStr">
        <is>
          <t>reviewed</t>
        </is>
      </c>
      <c r="Q25" s="2" t="inlineStr">
        <is>
          <t>Perry's released rows omit contributor and query lineage.</t>
        </is>
      </c>
    </row>
    <row r="26">
      <c r="A26" s="2" t="inlineStr">
        <is>
          <t>TCWS-S025</t>
        </is>
      </c>
      <c r="B26" s="2" t="inlineStr">
        <is>
          <t>Walker, H. et al. Solar Photovoltaic System and Energy Storage System Field Assessments in Typhoon Mawar. NLR/TP-7A40-89629 (2024). DOI 10.2172/2479116.</t>
        </is>
      </c>
      <c r="C26" s="2" t="inlineStr">
        <is>
          <t>https://www.nlr.gov/docs/fy25osti/89629.pdf</t>
        </is>
      </c>
      <c r="D26" s="2" t="inlineStr">
        <is>
          <t>2026-07-29</t>
        </is>
      </c>
      <c r="E26" s="2" t="inlineStr">
        <is>
          <t>Executive summary PDF pp. 4-6; report pp. 9-12, 18, 53, 78, 95-97; Tables 1-2 and 7; Figures 8 and A-2</t>
        </is>
      </c>
      <c r="F26" s="2" t="inlineStr">
        <is>
          <t>government field investigation</t>
        </is>
      </c>
      <c r="G26" s="2" t="inlineStr">
        <is>
          <t>severe_fixed_tilt_audit_and_tracker_boundary</t>
        </is>
      </c>
      <c r="H26" s="2" t="inlineStr">
        <is>
          <t>tropical_cyclone_wind</t>
        </is>
      </c>
      <c r="I26" s="2" t="inlineStr">
        <is>
          <t>T1_claims_or_field_calibrated</t>
        </is>
      </c>
      <c r="J26" s="2" t="inlineStr">
        <is>
          <t>direct</t>
        </is>
      </c>
      <c r="K26" s="2" t="inlineStr">
        <is>
          <t>partial</t>
        </is>
      </c>
      <c r="L26" s="2" t="inlineStr">
        <is>
          <t>post-event inspected PV damage with estimated regional/site wind context</t>
        </is>
      </c>
      <c r="M26" s="2" t="inlineStr">
        <is>
          <t>Use as a severe fixed-ground audit, installation-quality lesson, and explicit no-tracker boundary.</t>
        </is>
      </c>
      <c r="N26" s="2" t="inlineStr">
        <is>
          <t>Pool with Perry, fit a tail, infer economic DR, or treat estimated wind as the Perry or Hazard axis.</t>
        </is>
      </c>
      <c r="O26" s="2" t="inlineStr">
        <is>
          <t>audit_only</t>
        </is>
      </c>
      <c r="P26" s="2" t="inlineStr">
        <is>
          <t>reviewed</t>
        </is>
      </c>
      <c r="Q26" s="2" t="inlineStr">
        <is>
          <t>Ground-module counts and some site wind summaries conflict within the report; author clarification is required before numerical ingestion.</t>
        </is>
      </c>
    </row>
    <row r="27">
      <c r="A27" s="2" t="inlineStr">
        <is>
          <t>TCWS-S026</t>
        </is>
      </c>
      <c r="B27" s="2" t="inlineStr">
        <is>
          <t>Li, A.; Wu, J. Quantitative assessment method of typhoon-induced photovoltaic damage and energy production losses: a case study of the 2024 Typhoon Yagi. Geomatics, Natural Hazards and Risk (2025). DOI 10.1080/19475705.2025.2569795.</t>
        </is>
      </c>
      <c r="C27" s="2" t="inlineStr">
        <is>
          <t>https://doi.org/10.1080/19475705.2025.2569795</t>
        </is>
      </c>
      <c r="D27" s="2" t="inlineStr">
        <is>
          <t>2026-07-29</t>
        </is>
      </c>
      <c r="E27" s="2" t="inlineStr">
        <is>
          <t>Methods Sections 2.1.2, 2.2.3-2.2.4; Eq. 8; Results and limitations</t>
        </is>
      </c>
      <c r="F27" s="2" t="inlineStr">
        <is>
          <t>peer-reviewed regional remote-sensing study</t>
        </is>
      </c>
      <c r="G27" s="2" t="inlineStr">
        <is>
          <t>regional_severe_event_audit</t>
        </is>
      </c>
      <c r="H27" s="2" t="inlineStr">
        <is>
          <t>tropical_cyclone_wind</t>
        </is>
      </c>
      <c r="I27" s="2" t="inlineStr">
        <is>
          <t>T3_engineering_proxy_or_adjacent_empirical</t>
        </is>
      </c>
      <c r="J27" s="2" t="inlineStr">
        <is>
          <t>partial</t>
        </is>
      </c>
      <c r="K27" s="2" t="inlineStr">
        <is>
          <t>none</t>
        </is>
      </c>
      <c r="L27" s="2" t="inlineStr">
        <is>
          <t>satellite-observed PV-area disappearance joined to modeled 10 m wind-scale fields and generic unit area cost</t>
        </is>
      </c>
      <c r="M27" s="2" t="inlineStr">
        <is>
          <t>Use as an external regional severity and data-design audit.</t>
        </is>
      </c>
      <c r="N27" s="2" t="inlineStr">
        <is>
          <t>Transfer its wind scale, area loss, linear relation, or generic cost estimate into failure-unit economic DR.</t>
        </is>
      </c>
      <c r="O27" s="2" t="inlineStr">
        <is>
          <t>audit_only</t>
        </is>
      </c>
      <c r="P27" s="2" t="inlineStr">
        <is>
          <t>reviewed</t>
        </is>
      </c>
      <c r="Q27" s="2" t="inlineStr">
        <is>
          <t>Architecture, component state, disposition, and same-unit replacement value are unresolved.</t>
        </is>
      </c>
    </row>
    <row r="28">
      <c r="A28" s="2" t="inlineStr">
        <is>
          <t>TCWS-S027</t>
        </is>
      </c>
      <c r="B28" s="2" t="inlineStr">
        <is>
          <t>Li, Anqi; Wu, Jidong. Mapping results of photovoltaic solar panels in Hainan Island before and after Typhoon Yagi in 2024. Zenodo. DOI 10.5281/zenodo.15114346.</t>
        </is>
      </c>
      <c r="C28" s="2" t="inlineStr">
        <is>
          <t>https://doi.org/10.5281/zenodo.15114346</t>
        </is>
      </c>
      <c r="D28" s="2" t="inlineStr">
        <is>
          <t>2026-07-29</t>
        </is>
      </c>
      <c r="E28" s="2" t="inlineStr">
        <is>
          <t>dataset landing record and mapped before/after PV data</t>
        </is>
      </c>
      <c r="F28" s="2" t="inlineStr">
        <is>
          <t>research data repository</t>
        </is>
      </c>
      <c r="G28" s="2" t="inlineStr">
        <is>
          <t>regional_audit_data_lineage</t>
        </is>
      </c>
      <c r="H28" s="2" t="inlineStr">
        <is>
          <t>tropical_cyclone_wind</t>
        </is>
      </c>
      <c r="I28" s="2" t="inlineStr">
        <is>
          <t>T3_engineering_proxy_or_adjacent_empirical</t>
        </is>
      </c>
      <c r="J28" s="2" t="inlineStr">
        <is>
          <t>partial</t>
        </is>
      </c>
      <c r="K28" s="2" t="inlineStr">
        <is>
          <t>none</t>
        </is>
      </c>
      <c r="L28" s="2" t="inlineStr">
        <is>
          <t>regional mapped PV extent used by the Yagi study</t>
        </is>
      </c>
      <c r="M28" s="2" t="inlineStr">
        <is>
          <t>Preserve source lineage for the regional audit.</t>
        </is>
      </c>
      <c r="N28" s="2" t="inlineStr">
        <is>
          <t>Treat mapped area disappearance as inspected module disposition or same-unit cost.</t>
        </is>
      </c>
      <c r="O28" s="2" t="inlineStr">
        <is>
          <t>audit_only</t>
        </is>
      </c>
      <c r="P28" s="2" t="inlineStr">
        <is>
          <t>reviewed</t>
        </is>
      </c>
      <c r="Q28" s="2" t="inlineStr">
        <is>
          <t>No row enters the Perry fit.</t>
        </is>
      </c>
    </row>
    <row r="29">
      <c r="A29" s="2" t="inlineStr">
        <is>
          <t>TCWS-S028</t>
        </is>
      </c>
      <c r="B29" s="2" t="inlineStr">
        <is>
          <t>Florida Power &amp; Light Company. Direct Testimony of Michael A. Jarro, Docket 20240149-EI (2025).</t>
        </is>
      </c>
      <c r="C29" s="2" t="inlineStr">
        <is>
          <t>https://www.psc.state.fl.us/library/FILINGS/2025/15505-2025/15505-2025.pdf</t>
        </is>
      </c>
      <c r="D29" s="2" t="inlineStr">
        <is>
          <t>2026-07-29</t>
        </is>
      </c>
      <c r="E29" s="2" t="inlineStr">
        <is>
          <t>PDF pp. 40-41 and footnote 9</t>
        </is>
      </c>
      <c r="F29" s="2" t="inlineStr">
        <is>
          <t>owner testimony filed with state regulator</t>
        </is>
      </c>
      <c r="G29" s="2" t="inlineStr">
        <is>
          <t>field_occurrence_and_repair_actions</t>
        </is>
      </c>
      <c r="H29" s="2" t="inlineStr">
        <is>
          <t>tropical_cyclone_wind</t>
        </is>
      </c>
      <c r="I29" s="2" t="inlineStr">
        <is>
          <t>T1_claims_or_field_calibrated</t>
        </is>
      </c>
      <c r="J29" s="2" t="inlineStr">
        <is>
          <t>direct</t>
        </is>
      </c>
      <c r="K29" s="2" t="inlineStr">
        <is>
          <t>partial</t>
        </is>
      </c>
      <c r="L29" s="2" t="inlineStr">
        <is>
          <t>solar panel replacement, erosion/civil repair, aerial inspection, and fleet-level Milton panel damage fraction</t>
        </is>
      </c>
      <c r="M29" s="2" t="inlineStr">
        <is>
          <t>Use as a censored occurrence bound and repair/inspection field-design evidence.</t>
        </is>
      </c>
      <c r="N29" s="2" t="inlineStr">
        <is>
          <t>Convert the fleet panel fraction or pooled restoration total to site or failure-unit economic DR.</t>
        </is>
      </c>
      <c r="O29" s="2" t="inlineStr">
        <is>
          <t>adopt_with_limits</t>
        </is>
      </c>
      <c r="P29" s="2" t="inlineStr">
        <is>
          <t>reviewed</t>
        </is>
      </c>
      <c r="Q29" s="2" t="inlineStr">
        <is>
          <t>The exposed-site denominator, local intensity, architecture, and cause allocation are absent.</t>
        </is>
      </c>
    </row>
    <row r="30">
      <c r="A30" s="2" t="inlineStr">
        <is>
          <t>TCWS-S029</t>
        </is>
      </c>
      <c r="B30" s="2" t="inlineStr">
        <is>
          <t>Florida Power &amp; Light Company. Direct Testimony of Amin Mohomed and Exhibit AM-3, Docket 20240149-EI (2025).</t>
        </is>
      </c>
      <c r="C30" s="2" t="inlineStr">
        <is>
          <t>https://www.psc.state.fl.us/library/FILINGS/2025/15506-2025/15506-2025.pdf</t>
        </is>
      </c>
      <c r="D30" s="2" t="inlineStr">
        <is>
          <t>2026-07-29</t>
        </is>
      </c>
      <c r="E30" s="2" t="inlineStr">
        <is>
          <t>PDF pp. 19 and 29-30</t>
        </is>
      </c>
      <c r="F30" s="2" t="inlineStr">
        <is>
          <t>owner regulatory cost testimony</t>
        </is>
      </c>
      <c r="G30" s="2" t="inlineStr">
        <is>
          <t>restoration_cost_scope_boundary</t>
        </is>
      </c>
      <c r="H30" s="2" t="inlineStr">
        <is>
          <t>tropical_cyclone_wind</t>
        </is>
      </c>
      <c r="I30" s="2" t="inlineStr">
        <is>
          <t>T3_engineering_proxy_or_adjacent_empirical</t>
        </is>
      </c>
      <c r="J30" s="2" t="inlineStr">
        <is>
          <t>direct</t>
        </is>
      </c>
      <c r="K30" s="2" t="inlineStr">
        <is>
          <t>none</t>
        </is>
      </c>
      <c r="L30" s="2" t="inlineStr">
        <is>
          <t>mixed generation restoration cost by contractor, logistics, material, labor, vehicle, and capitalization category</t>
        </is>
      </c>
      <c r="M30" s="2" t="inlineStr">
        <is>
          <t>Demonstrate that support and restoration scope can be material and must be allocated once.</t>
        </is>
      </c>
      <c r="N30" s="2" t="inlineStr">
        <is>
          <t>Treat a mixed PGD restoration bucket, capitalization share, or insurance position as solar economic DR.</t>
        </is>
      </c>
      <c r="O30" s="2" t="inlineStr">
        <is>
          <t>adopt_with_limits</t>
        </is>
      </c>
      <c r="P30" s="2" t="inlineStr">
        <is>
          <t>reviewed</t>
        </is>
      </c>
      <c r="Q30" s="2" t="inlineStr">
        <is>
          <t>The schedule spans preparation, inspection, logistics, civil work, and multiple generation facilities.</t>
        </is>
      </c>
    </row>
    <row r="31">
      <c r="A31" s="2" t="inlineStr">
        <is>
          <t>TCWS-S030</t>
        </is>
      </c>
      <c r="B31" s="2" t="inlineStr">
        <is>
          <t>Florida Power &amp; Light Company. Hurricanes Ian and Nicole Final Actual Storm Amount Filing, Docket 20230017-EI (2023).</t>
        </is>
      </c>
      <c r="C31" s="2" t="inlineStr">
        <is>
          <t>https://www.psc.state.fl.us/library/filings/2023/06108-2023/06108-2023.pdf</t>
        </is>
      </c>
      <c r="D31" s="2" t="inlineStr">
        <is>
          <t>2026-07-29</t>
        </is>
      </c>
      <c r="E31" s="2" t="inlineStr">
        <is>
          <t>Jarro testimony PDF pp. 45-47; Exhibit KF-1 PDF p. 106</t>
        </is>
      </c>
      <c r="F31" s="2" t="inlineStr">
        <is>
          <t>owner testimony and actual-cost filing with state regulator</t>
        </is>
      </c>
      <c r="G31" s="2" t="inlineStr">
        <is>
          <t>field_occurrence_repair_and_cost_boundary</t>
        </is>
      </c>
      <c r="H31" s="2" t="inlineStr">
        <is>
          <t>tropical_cyclone_wind</t>
        </is>
      </c>
      <c r="I31" s="2" t="inlineStr">
        <is>
          <t>T1_claims_or_field_calibrated</t>
        </is>
      </c>
      <c r="J31" s="2" t="inlineStr">
        <is>
          <t>direct</t>
        </is>
      </c>
      <c r="K31" s="2" t="inlineStr">
        <is>
          <t>partial</t>
        </is>
      </c>
      <c r="L31" s="2" t="inlineStr">
        <is>
          <t>module, inverter, electrical-field, erosion, infrastructure, inspection actions and fleet panel-damage bound; pooled costs</t>
        </is>
      </c>
      <c r="M31" s="2" t="inlineStr">
        <is>
          <t>Use physical actions and panel count bound for occurrence and acquisition design.</t>
        </is>
      </c>
      <c r="N31" s="2" t="inlineStr">
        <is>
          <t>Allocate pooled generation costs to solar failure units or call panel fraction economic DR.</t>
        </is>
      </c>
      <c r="O31" s="2" t="inlineStr">
        <is>
          <t>adopt_with_limits</t>
        </is>
      </c>
      <c r="P31" s="2" t="inlineStr">
        <is>
          <t>reviewed</t>
        </is>
      </c>
      <c r="Q31" s="2" t="inlineStr">
        <is>
          <t>Under 0.04 percent of FPL panels were reported damaged by Ian; exact exposed subset and local wind are absent.</t>
        </is>
      </c>
    </row>
    <row r="32">
      <c r="A32" s="2" t="inlineStr">
        <is>
          <t>TCWS-S031</t>
        </is>
      </c>
      <c r="B32" s="2" t="inlineStr">
        <is>
          <t>Florida Power &amp; Light Company. Prepared Testimony of Brandon J. Stankiewicz Supporting the 2027 Solar Base Rate Adjustment, Docket 20260001-EI (2026).</t>
        </is>
      </c>
      <c r="C32" s="2" t="inlineStr">
        <is>
          <t>https://www.psc.state.fl.us/library/filings/2026/02016-2026/02016-2026.pdf</t>
        </is>
      </c>
      <c r="D32" s="2" t="inlineStr">
        <is>
          <t>2026-07-29</t>
        </is>
      </c>
      <c r="E32" s="2" t="inlineStr">
        <is>
          <t>PDF pp. 5-6; solar anatomy pp. 7-14</t>
        </is>
      </c>
      <c r="F32" s="2" t="inlineStr">
        <is>
          <t>owner testimony filed with state regulator</t>
        </is>
      </c>
      <c r="G32" s="2" t="inlineStr">
        <is>
          <t>fleet_exposure_and_replacement_bound</t>
        </is>
      </c>
      <c r="H32" s="2" t="inlineStr">
        <is>
          <t>tropical_cyclone_wind</t>
        </is>
      </c>
      <c r="I32" s="2" t="inlineStr">
        <is>
          <t>T1_claims_or_field_calibrated</t>
        </is>
      </c>
      <c r="J32" s="2" t="inlineStr">
        <is>
          <t>direct</t>
        </is>
      </c>
      <c r="K32" s="2" t="inlineStr">
        <is>
          <t>partial</t>
        </is>
      </c>
      <c r="L32" s="2" t="inlineStr">
        <is>
          <t>66 of 89 utility-scale sites exposed and fewer than 0.07 percent of panels required replacement across stated events</t>
        </is>
      </c>
      <c r="M32" s="2" t="inlineStr">
        <is>
          <t>Use as a fleet-level censored replacement-count observation and asset-anatomy input.</t>
        </is>
      </c>
      <c r="N32" s="2" t="inlineStr">
        <is>
          <t>Infer site-level vulnerability, event-specific DR, architecture effect, or direct cost.</t>
        </is>
      </c>
      <c r="O32" s="2" t="inlineStr">
        <is>
          <t>adopt_with_limits</t>
        </is>
      </c>
      <c r="P32" s="2" t="inlineStr">
        <is>
          <t>reviewed</t>
        </is>
      </c>
      <c r="Q32" s="2" t="inlineStr">
        <is>
          <t>Two-event scope and panel denominator wording remain ambiguous.</t>
        </is>
      </c>
    </row>
    <row r="33">
      <c r="A33" s="2" t="inlineStr">
        <is>
          <t>TCWS-S032</t>
        </is>
      </c>
      <c r="B33" s="2" t="inlineStr">
        <is>
          <t>FEMA. Mitigation Assessment Team Report: Hurricanes Irma and Maria in the U.S. Virgin Islands (2018).</t>
        </is>
      </c>
      <c r="C33" s="2" t="inlineStr">
        <is>
          <t>https://www.fema.gov/sites/default/files/documents/fema_mat-report_hurricane-irma-maria_virgin-islands.pdf</t>
        </is>
      </c>
      <c r="D33" s="2" t="inlineStr">
        <is>
          <t>2026-07-29</t>
        </is>
      </c>
      <c r="E33" s="2" t="inlineStr">
        <is>
          <t>Section 7.1.2 pp. 7-5-7-7; Section 7.1.3 pp. 7-7-7-9</t>
        </is>
      </c>
      <c r="F33" s="2" t="inlineStr">
        <is>
          <t>government forensic field investigation</t>
        </is>
      </c>
      <c r="G33" s="2" t="inlineStr">
        <is>
          <t>fixed_tilt_failure_unit_occurrence</t>
        </is>
      </c>
      <c r="H33" s="2" t="inlineStr">
        <is>
          <t>tropical_cyclone_wind</t>
        </is>
      </c>
      <c r="I33" s="2" t="inlineStr">
        <is>
          <t>T1_claims_or_field_calibrated</t>
        </is>
      </c>
      <c r="J33" s="2" t="inlineStr">
        <is>
          <t>direct</t>
        </is>
      </c>
      <c r="K33" s="2" t="inlineStr">
        <is>
          <t>partial</t>
        </is>
      </c>
      <c r="L33" s="2" t="inlineStr">
        <is>
          <t>site wind estimates and observed module, post, purlin, connector, rack, and facility states</t>
        </is>
      </c>
      <c r="M33" s="2" t="inlineStr">
        <is>
          <t>Use as architecture-specific physical mechanism and inspected-state evidence.</t>
        </is>
      </c>
      <c r="N33" s="2" t="inlineStr">
        <is>
          <t>Convert module/post fractions, qualitative total damage, or estimated wind into same-unit economic DR.</t>
        </is>
      </c>
      <c r="O33" s="2" t="inlineStr">
        <is>
          <t>adopt_with_limits</t>
        </is>
      </c>
      <c r="P33" s="2" t="inlineStr">
        <is>
          <t>reviewed</t>
        </is>
      </c>
      <c r="Q33" s="2" t="inlineStr">
        <is>
          <t>No repair invoice and matching pre-event replacement-value schedule are supplied.</t>
        </is>
      </c>
    </row>
    <row r="34">
      <c r="A34" s="2" t="inlineStr">
        <is>
          <t>TCWS-S033</t>
        </is>
      </c>
      <c r="B34" s="2" t="inlineStr">
        <is>
          <t>BMR Energy. St. Thomas Solar Project.</t>
        </is>
      </c>
      <c r="C34" s="2" t="inlineStr">
        <is>
          <t>https://bmrenergy.com/projects/st-thomas-solar-project/</t>
        </is>
      </c>
      <c r="D34" s="2" t="inlineStr">
        <is>
          <t>2026-07-29</t>
        </is>
      </c>
      <c r="E34" s="2" t="inlineStr">
        <is>
          <t>Context and Process sections</t>
        </is>
      </c>
      <c r="F34" s="2" t="inlineStr">
        <is>
          <t>asset owner project record</t>
        </is>
      </c>
      <c r="G34" s="2" t="inlineStr">
        <is>
          <t>final_disposition_and_rebuild_context</t>
        </is>
      </c>
      <c r="H34" s="2" t="inlineStr">
        <is>
          <t>tropical_cyclone_wind</t>
        </is>
      </c>
      <c r="I34" s="2" t="inlineStr">
        <is>
          <t>T1_claims_or_field_calibrated</t>
        </is>
      </c>
      <c r="J34" s="2" t="inlineStr">
        <is>
          <t>direct</t>
        </is>
      </c>
      <c r="K34" s="2" t="inlineStr">
        <is>
          <t>partial</t>
        </is>
      </c>
      <c r="L34" s="2" t="inlineStr">
        <is>
          <t>original facility removal and redesigned replacement after hurricane damage</t>
        </is>
      </c>
      <c r="M34" s="2" t="inlineStr">
        <is>
          <t>Use as owner-reported terminal facility disposition and rebuild-selector evidence.</t>
        </is>
      </c>
      <c r="N34" s="2" t="inlineStr">
        <is>
          <t>Treat redesigned, resized, and hardened replacement scope as like-kind direct repair cost.</t>
        </is>
      </c>
      <c r="O34" s="2" t="inlineStr">
        <is>
          <t>adopt_with_limits</t>
        </is>
      </c>
      <c r="P34" s="2" t="inlineStr">
        <is>
          <t>reviewed</t>
        </is>
      </c>
      <c r="Q34" s="2" t="inlineStr">
        <is>
          <t>The replacement facility is not a same-unit economic denominator for the original plant.</t>
        </is>
      </c>
    </row>
    <row r="35">
      <c r="A35" s="2" t="inlineStr">
        <is>
          <t>TCWS-S034</t>
        </is>
      </c>
      <c r="B35" s="2" t="inlineStr">
        <is>
          <t>BMR Energy. St. Croix Solar Energy.</t>
        </is>
      </c>
      <c r="C35" s="2" t="inlineStr">
        <is>
          <t>https://bmrenergy.com/projects/st-croix-solar-energy/</t>
        </is>
      </c>
      <c r="D35" s="2" t="inlineStr">
        <is>
          <t>2026-07-29</t>
        </is>
      </c>
      <c r="E35" s="2" t="inlineStr">
        <is>
          <t>Context and Process sections</t>
        </is>
      </c>
      <c r="F35" s="2" t="inlineStr">
        <is>
          <t>asset owner project record</t>
        </is>
      </c>
      <c r="G35" s="2" t="inlineStr">
        <is>
          <t>module_and_electrical_disposition_context</t>
        </is>
      </c>
      <c r="H35" s="2" t="inlineStr">
        <is>
          <t>tropical_cyclone_wind</t>
        </is>
      </c>
      <c r="I35" s="2" t="inlineStr">
        <is>
          <t>T1_claims_or_field_calibrated</t>
        </is>
      </c>
      <c r="J35" s="2" t="inlineStr">
        <is>
          <t>direct</t>
        </is>
      </c>
      <c r="K35" s="2" t="inlineStr">
        <is>
          <t>partial</t>
        </is>
      </c>
      <c r="L35" s="2" t="inlineStr">
        <is>
          <t>limited module/rack repair and replacement of moisture/static-damaged inverter/electrical equipment</t>
        </is>
      </c>
      <c r="M35" s="2" t="inlineStr">
        <is>
          <t>Use to show visible module damage can underrepresent electrical consequence and compound pathways.</t>
        </is>
      </c>
      <c r="N35" s="2" t="inlineStr">
        <is>
          <t>Infer component quantities, wind-only causation, or economic DR.</t>
        </is>
      </c>
      <c r="O35" s="2" t="inlineStr">
        <is>
          <t>adopt_with_limits</t>
        </is>
      </c>
      <c r="P35" s="2" t="inlineStr">
        <is>
          <t>reviewed</t>
        </is>
      </c>
      <c r="Q35" s="2" t="inlineStr">
        <is>
          <t>No component cost allocation or pre-event replacement value is published.</t>
        </is>
      </c>
    </row>
    <row r="36">
      <c r="A36" s="2" t="inlineStr">
        <is>
          <t>TCWS-S035</t>
        </is>
      </c>
      <c r="B36" s="2" t="inlineStr">
        <is>
          <t>The AES Corporation. Form 10-Q for quarter ended September 30, 2017.</t>
        </is>
      </c>
      <c r="C36" s="2" t="inlineStr">
        <is>
          <t>https://www.sec.gov/Archives/edgar/data/874761/000087476117000066/q32017form10-q.htm</t>
        </is>
      </c>
      <c r="D36" s="2" t="inlineStr">
        <is>
          <t>2026-07-29</t>
        </is>
      </c>
      <c r="E36" s="2" t="inlineStr">
        <is>
          <t>lines 2131-2140 and 3507-3513 in SEC filing text</t>
        </is>
      </c>
      <c r="F36" s="2" t="inlineStr">
        <is>
          <t>issuer regulatory filing</t>
        </is>
      </c>
      <c r="G36" s="2" t="inlineStr">
        <is>
          <t>plant_loss_materiality_and_scope_boundary</t>
        </is>
      </c>
      <c r="H36" s="2" t="inlineStr">
        <is>
          <t>tropical_cyclone_wind</t>
        </is>
      </c>
      <c r="I36" s="2" t="inlineStr">
        <is>
          <t>T1_claims_or_field_calibrated</t>
        </is>
      </c>
      <c r="J36" s="2" t="inlineStr">
        <is>
          <t>direct</t>
        </is>
      </c>
      <c r="K36" s="2" t="inlineStr">
        <is>
          <t>none</t>
        </is>
      </c>
      <c r="L36" s="2" t="inlineStr">
        <is>
          <t>estimated plant-level hurricane losses and availability statements</t>
        </is>
      </c>
      <c r="M36" s="2" t="inlineStr">
        <is>
          <t>Use as plant-level materiality and prohibited-numerator evidence.</t>
        </is>
      </c>
      <c r="N36" s="2" t="inlineStr">
        <is>
          <t>Treat estimated loss, MW-normalized loss, availability reduction, insurance coverage, BI, cleanup, or recovery as direct physical DR.</t>
        </is>
      </c>
      <c r="O36" s="2" t="inlineStr">
        <is>
          <t>audit_only</t>
        </is>
      </c>
      <c r="P36" s="2" t="inlineStr">
        <is>
          <t>reviewed</t>
        </is>
      </c>
      <c r="Q36" s="2" t="inlineStr">
        <is>
          <t>No same-unit direct-cost allocation or replacement-value denominator is disclosed.</t>
        </is>
      </c>
    </row>
    <row r="37">
      <c r="A37" s="2" t="inlineStr">
        <is>
          <t>TCWS-S036</t>
        </is>
      </c>
      <c r="B37" s="2" t="inlineStr">
        <is>
          <t>DOE/FEMP, GSA, NREL, and LBNL. Toward Solar Photovoltaic Storm Resilience: Learning from Hurricane Loss, Rebuilding Better.</t>
        </is>
      </c>
      <c r="C37" s="2" t="inlineStr">
        <is>
          <t>https://www.energy.gov/sites/default/files/2023-02/femp-toward-solar-pv-storm-resilience-learning-from-hurricane-loss-rebuilding-better_0.pdf</t>
        </is>
      </c>
      <c r="D37" s="2" t="inlineStr">
        <is>
          <t>2026-07-29</t>
        </is>
      </c>
      <c r="E37" s="2" t="inlineStr">
        <is>
          <t>PDF pp. 9-15 and 24; site assessments, Table 1, failure analysis, and hardening discussion</t>
        </is>
      </c>
      <c r="F37" s="2" t="inlineStr">
        <is>
          <t>government in-person field investigation</t>
        </is>
      </c>
      <c r="G37" s="2" t="inlineStr">
        <is>
          <t>multi_failure_unit_and_compound_event_evidence</t>
        </is>
      </c>
      <c r="H37" s="2" t="inlineStr">
        <is>
          <t>tropical_cyclone_wind</t>
        </is>
      </c>
      <c r="I37" s="2" t="inlineStr">
        <is>
          <t>T1_claims_or_field_calibrated</t>
        </is>
      </c>
      <c r="J37" s="2" t="inlineStr">
        <is>
          <t>direct</t>
        </is>
      </c>
      <c r="K37" s="2" t="inlineStr">
        <is>
          <t>partial</t>
        </is>
      </c>
      <c r="L37" s="2" t="inlineStr">
        <is>
          <t>inspected module, rack, conduit, inverter, switchgear, transformer, water-ingress, and facility dispositions</t>
        </is>
      </c>
      <c r="M37" s="2" t="inlineStr">
        <is>
          <t>Use for failure-unit anatomy, categorical disposition, compound-pathway boundaries, and acquisition design.</t>
        </is>
      </c>
      <c r="N37" s="2" t="inlineStr">
        <is>
          <t>Serialize total-loss wording or hardening premiums as a transferable wind economic DR point.</t>
        </is>
      </c>
      <c r="O37" s="2" t="inlineStr">
        <is>
          <t>adopt_with_limits</t>
        </is>
      </c>
      <c r="P37" s="2" t="inlineStr">
        <is>
          <t>reviewed</t>
        </is>
      </c>
      <c r="Q37" s="2" t="inlineStr">
        <is>
          <t>Wind, wind-driven rain, flooding, and installation/design weaknesses are intertwined; no same-unit occurrence cost/value pair is supplied.</t>
        </is>
      </c>
    </row>
    <row r="38">
      <c r="A38" s="2" t="inlineStr">
        <is>
          <t>TCWS-S037</t>
        </is>
      </c>
      <c r="B38" s="2" t="inlineStr">
        <is>
          <t>NREL. Solar Photovoltaics in Severe Weather: Cost Considerations for Storm Hardening PV Systems for Resilience. NREL/TP-7A40-75804 (2020). DOI 10.2172/1659785.</t>
        </is>
      </c>
      <c r="C38" s="2" t="inlineStr">
        <is>
          <t>https://doi.org/10.2172/1659785</t>
        </is>
      </c>
      <c r="D38" s="2" t="inlineStr">
        <is>
          <t>2026-07-29</t>
        </is>
      </c>
      <c r="E38" s="2" t="inlineStr">
        <is>
          <t>PDF pp. 8-13; Tables 1-2</t>
        </is>
      </c>
      <c r="F38" s="2" t="inlineStr">
        <is>
          <t>government engineering and cost study</t>
        </is>
      </c>
      <c r="G38" s="2" t="inlineStr">
        <is>
          <t>design_anatomy_and_hardening_cost_boundary</t>
        </is>
      </c>
      <c r="H38" s="2" t="inlineStr">
        <is>
          <t>tropical_cyclone_wind</t>
        </is>
      </c>
      <c r="I38" s="2" t="inlineStr">
        <is>
          <t>T2_public_lab_standard_or_physics</t>
        </is>
      </c>
      <c r="J38" s="2" t="inlineStr">
        <is>
          <t>direct</t>
        </is>
      </c>
      <c r="K38" s="2" t="inlineStr">
        <is>
          <t>partial</t>
        </is>
      </c>
      <c r="L38" s="2" t="inlineStr">
        <is>
          <t>new-build BOM and prospective severe-weather hardening cost premiums</t>
        </is>
      </c>
      <c r="M38" s="2" t="inlineStr">
        <is>
          <t>Use for design selectors, value anatomy, and data-acquisition fields.</t>
        </is>
      </c>
      <c r="N38" s="2" t="inlineStr">
        <is>
          <t>Treat prospective premium or BOM share as occurrence damage probability, DR, or repair savings.</t>
        </is>
      </c>
      <c r="O38" s="2" t="inlineStr">
        <is>
          <t>adopt_with_limits</t>
        </is>
      </c>
      <c r="P38" s="2" t="inlineStr">
        <is>
          <t>reviewed</t>
        </is>
      </c>
      <c r="Q38" s="2" t="inlineStr">
        <is>
          <t>Repair savings are not quantified.</t>
        </is>
      </c>
    </row>
    <row r="39">
      <c r="A39" s="2" t="inlineStr">
        <is>
          <t>TCWS-S038</t>
        </is>
      </c>
      <c r="B39" s="2" t="inlineStr">
        <is>
          <t>Nextracker. Solar Power Plant O&amp;M in the Age of Extreme Weather (2017).</t>
        </is>
      </c>
      <c r="C39" s="2" t="inlineStr">
        <is>
          <t>https://www.nextracker.com/wp-content/uploads/2017/04/Nextracker_OandM-WhitePaper_FINAL_April-2017_MKT-000059.pdf</t>
        </is>
      </c>
      <c r="D39" s="2" t="inlineStr">
        <is>
          <t>2026-07-29</t>
        </is>
      </c>
      <c r="E39" s="2" t="inlineStr">
        <is>
          <t>printed p. 9, Hurricane Matthew case</t>
        </is>
      </c>
      <c r="F39" s="2" t="inlineStr">
        <is>
          <t>OEM engineering case record</t>
        </is>
      </c>
      <c r="G39" s="2" t="inlineStr">
        <is>
          <t>tracker_state_candidate_evidence</t>
        </is>
      </c>
      <c r="H39" s="2" t="inlineStr">
        <is>
          <t>tropical_cyclone_wind</t>
        </is>
      </c>
      <c r="I39" s="2" t="inlineStr">
        <is>
          <t>T3_engineering_proxy_or_adjacent_empirical</t>
        </is>
      </c>
      <c r="J39" s="2" t="inlineStr">
        <is>
          <t>direct</t>
        </is>
      </c>
      <c r="K39" s="2" t="inlineStr">
        <is>
          <t>partial</t>
        </is>
      </c>
      <c r="L39" s="2" t="inlineStr">
        <is>
          <t>claimed tracker stow state and survival during a hurricane</t>
        </is>
      </c>
      <c r="M39" s="2" t="inlineStr">
        <is>
          <t>Use as candidate attained-state and inspection-field design evidence.</t>
        </is>
      </c>
      <c r="N39" s="2" t="inlineStr">
        <is>
          <t>Infer a generic tracker zero curve, stow credit, response probability, or economic DR.</t>
        </is>
      </c>
      <c r="O39" s="2" t="inlineStr">
        <is>
          <t>audit_only</t>
        </is>
      </c>
      <c r="P39" s="2" t="inlineStr">
        <is>
          <t>reviewed</t>
        </is>
      </c>
      <c r="Q39" s="2" t="inlineStr">
        <is>
          <t>No site inventory, local wind lineage, inspection protocol, or cost is published.</t>
        </is>
      </c>
    </row>
    <row r="40">
      <c r="A40" s="2" t="inlineStr">
        <is>
          <t>TCWS-S039</t>
        </is>
      </c>
      <c r="B40" s="2" t="inlineStr">
        <is>
          <t>Nevados. Iris Solar Project Hurricane Case Study.</t>
        </is>
      </c>
      <c r="C40" s="2" t="inlineStr">
        <is>
          <t>https://nevados.solar/featured-projects/iris-case-study-hurricane/</t>
        </is>
      </c>
      <c r="D40" s="2" t="inlineStr">
        <is>
          <t>2026-07-29</t>
        </is>
      </c>
      <c r="E40" s="2" t="inlineStr">
        <is>
          <t>Hurricane Ida event and post-event inspection sections</t>
        </is>
      </c>
      <c r="F40" s="2" t="inlineStr">
        <is>
          <t>OEM owner-facing case record</t>
        </is>
      </c>
      <c r="G40" s="2" t="inlineStr">
        <is>
          <t>tracker_occurrence_audit</t>
        </is>
      </c>
      <c r="H40" s="2" t="inlineStr">
        <is>
          <t>tropical_cyclone_wind</t>
        </is>
      </c>
      <c r="I40" s="2" t="inlineStr">
        <is>
          <t>T3_engineering_proxy_or_adjacent_empirical</t>
        </is>
      </c>
      <c r="J40" s="2" t="inlineStr">
        <is>
          <t>direct</t>
        </is>
      </c>
      <c r="K40" s="2" t="inlineStr">
        <is>
          <t>partial</t>
        </is>
      </c>
      <c r="L40" s="2" t="inlineStr">
        <is>
          <t>claimed no structural tracker damage with limited lightning/debris module replacement</t>
        </is>
      </c>
      <c r="M40" s="2" t="inlineStr">
        <is>
          <t>Use as a tracker negative-case and compound-attribution design input.</t>
        </is>
      </c>
      <c r="N40" s="2" t="inlineStr">
        <is>
          <t>Infer wind-only immunity, a generic tracker curve, or repair-cost severity.</t>
        </is>
      </c>
      <c r="O40" s="2" t="inlineStr">
        <is>
          <t>audit_only</t>
        </is>
      </c>
      <c r="P40" s="2" t="inlineStr">
        <is>
          <t>reviewed</t>
        </is>
      </c>
      <c r="Q40" s="2" t="inlineStr">
        <is>
          <t>Self-published and missing inventory, local demand, component counts, direct cost, and replacement value.</t>
        </is>
      </c>
    </row>
    <row r="41">
      <c r="A41" s="2" t="inlineStr">
        <is>
          <t>TCWS-S040</t>
        </is>
      </c>
      <c r="B41" s="2" t="inlineStr">
        <is>
          <t>DOE/FEMP. Life Cycle of Photovoltaic Systems: Operate and Maintain an Existing Photovoltaic System.</t>
        </is>
      </c>
      <c r="C41" s="2" t="inlineStr">
        <is>
          <t>https://www.energy.gov/cmei/femp/life-cycle-photovoltaic-systems-operate-and-maintain-existing-photovoltaic-system</t>
        </is>
      </c>
      <c r="D41" s="2" t="inlineStr">
        <is>
          <t>2026-07-29</t>
        </is>
      </c>
      <c r="E41" s="2" t="inlineStr">
        <is>
          <t>post-damage inspection, itemized repair-or-replace, and severe-storm model limitations in lines 143-190</t>
        </is>
      </c>
      <c r="F41" s="2" t="inlineStr">
        <is>
          <t>government operations guidance</t>
        </is>
      </c>
      <c r="G41" s="2" t="inlineStr">
        <is>
          <t>inspection_and_disposition_protocol</t>
        </is>
      </c>
      <c r="H41" s="2" t="inlineStr">
        <is>
          <t>tropical_cyclone_wind</t>
        </is>
      </c>
      <c r="I41" s="2" t="inlineStr">
        <is>
          <t>T2_public_lab_standard_or_physics</t>
        </is>
      </c>
      <c r="J41" s="2" t="inlineStr">
        <is>
          <t>direct</t>
        </is>
      </c>
      <c r="K41" s="2" t="inlineStr">
        <is>
          <t>partial</t>
        </is>
      </c>
      <c r="L41" s="2" t="inlineStr">
        <is>
          <t>recommended post-damage testing, itemized repair/replace scope, and estimate workflow</t>
        </is>
      </c>
      <c r="M41" s="2" t="inlineStr">
        <is>
          <t>Use to define minimum inspection and disposition records.</t>
        </is>
      </c>
      <c r="N41" s="2" t="inlineStr">
        <is>
          <t>Treat the O&amp;M model or guidance as a severe-storm vulnerability curve.</t>
        </is>
      </c>
      <c r="O41" s="2" t="inlineStr">
        <is>
          <t>adopt_with_limits</t>
        </is>
      </c>
      <c r="P41" s="2" t="inlineStr">
        <is>
          <t>reviewed</t>
        </is>
      </c>
      <c r="Q41" s="2" t="inlineStr">
        <is>
          <t>The guidance states its O&amp;M model does not estimate severe-storm damage.</t>
        </is>
      </c>
    </row>
    <row r="42">
      <c r="A42" s="2" t="inlineStr">
        <is>
          <t>PV_TRACKER_DOWNBURST_2025</t>
        </is>
      </c>
      <c r="B42" s="2" t="inlineStr">
        <is>
          <t>Álvarez et al. Downburst-Induced Loads on a Six-Row Array of Ground-Mounted Solar Trackers. Proceedings of the 10th International Conference on Advances in Experimental Structural Engineering, 2025.</t>
        </is>
      </c>
      <c r="C42" s="2" t="inlineStr">
        <is>
          <t>https://doi.org/10.1007/978-3-031-98893-6_6</t>
        </is>
      </c>
      <c r="D42" s="2" t="inlineStr">
        <is>
          <t>2026-07-12</t>
        </is>
      </c>
      <c r="E42" s="2" t="inlineStr">
        <is>
          <t>pp. 54–63; §§2–6; especially pp. 57–62</t>
        </is>
      </c>
      <c r="F42" s="2" t="inlineStr">
        <is>
          <t>peer-reviewed conference experiment</t>
        </is>
      </c>
      <c r="G42" s="2" t="inlineStr">
        <is>
          <t>adjacent_normalized_response_anatomy_only</t>
        </is>
      </c>
      <c r="H42" s="2" t="inlineStr">
        <is>
          <t>all_shared</t>
        </is>
      </c>
      <c r="I42" s="2" t="inlineStr">
        <is>
          <t>T2_public_lab_standard_or_physics</t>
        </is>
      </c>
      <c r="J42" s="2" t="inlineStr">
        <is>
          <t>direct</t>
        </is>
      </c>
      <c r="K42" s="2" t="inlineStr">
        <is>
          <t>partial</t>
        </is>
      </c>
      <c r="L42" s="2" t="inlineStr">
        <is>
          <t>1:20 six-row rigid tracker model; 576 pressure taps; eight vertical-jet downburst repeats; pressure-time histories</t>
        </is>
      </c>
      <c r="M42" s="2" t="inlineStr">
        <is>
          <t>Transient ramp/plateau/decay, primary-vortex surge, row and tilt dependence, downburst knowledge gap</t>
        </is>
      </c>
      <c r="N42" s="2" t="inlineStr">
        <is>
          <t>Critical speed, component capacity, failure probability, damage state, economic DR, full-scale threshold</t>
        </is>
      </c>
      <c r="O42" s="2" t="inlineStr">
        <is>
          <t>retain_as_adjacent_or_T4_context</t>
        </is>
      </c>
      <c r="P42" s="2" t="inlineStr">
        <is>
          <t>reviewed</t>
        </is>
      </c>
      <c r="Q42" s="2" t="inlineStr">
        <is>
          <t>RETAINED_WITH_TRANSFER_LIMIT</t>
        </is>
      </c>
    </row>
    <row r="43">
      <c r="A43" s="2" t="inlineStr">
        <is>
          <t>IEA_PVPS_EXTREME_WEATHER_2025</t>
        </is>
      </c>
      <c r="B43" s="2" t="inlineStr">
        <is>
          <t>IEA PVPS Task 13. Operational and Economic Impacts of Extreme Weather on PV Power Plants. T13-33:2025.</t>
        </is>
      </c>
      <c r="C43" s="2" t="inlineStr">
        <is>
          <t>https://iea-pvps.org/wp-content/uploads/2025/12/IEA-PVPS-T13-33-2025-REPORT-Extreme-Weather-Impacts.pdf</t>
        </is>
      </c>
      <c r="D43" s="2" t="inlineStr">
        <is>
          <t>2026-07-12</t>
        </is>
      </c>
      <c r="E43" s="2" t="inlineStr">
        <is>
          <t>§3.2.2 pp. 24–25; §§3.4–3.6 pp. 25–28</t>
        </is>
      </c>
      <c r="F43" s="2" t="inlineStr">
        <is>
          <t>international laboratory synthesis</t>
        </is>
      </c>
      <c r="G43" s="2" t="inlineStr">
        <is>
          <t>adjacent_normalized_response_anatomy_only</t>
        </is>
      </c>
      <c r="H43" s="2" t="inlineStr">
        <is>
          <t>all_shared</t>
        </is>
      </c>
      <c r="I43" s="2" t="inlineStr">
        <is>
          <t>T3_engineering_proxy_or_adjacent_empirical</t>
        </is>
      </c>
      <c r="J43" s="2" t="inlineStr">
        <is>
          <t>direct</t>
        </is>
      </c>
      <c r="K43" s="2" t="inlineStr">
        <is>
          <t>partial</t>
        </is>
      </c>
      <c r="L43" s="2" t="inlineStr">
        <is>
          <t>reported straight-line wind cases around 22–28 m/s; Oakey and Lamar tracker narratives</t>
        </is>
      </c>
      <c r="M43" s="2" t="inlineStr">
        <is>
          <t>Observed below-design damage is possible; 1P/2P, stow, perimeter and anemometer state are load-bearing</t>
        </is>
      </c>
      <c r="N43" s="2" t="inlineStr">
        <is>
          <t>Population fragility, normalized DR, exact value denominator, literal threshold or fitted median; Lamar citation is uncertain</t>
        </is>
      </c>
      <c r="O43" s="2" t="inlineStr">
        <is>
          <t>retain_as_adjacent_or_T4_context</t>
        </is>
      </c>
      <c r="P43" s="2" t="inlineStr">
        <is>
          <t>reviewed</t>
        </is>
      </c>
      <c r="Q43" s="2" t="inlineStr">
        <is>
          <t>RETAINED_AS_SCREENING_CONSTRAINT</t>
        </is>
      </c>
    </row>
    <row r="44">
      <c r="A44" s="2" t="inlineStr">
        <is>
          <t>VALENTIN_TRACKER_FAILURE_2022</t>
        </is>
      </c>
      <c r="B44" s="2" t="inlineStr">
        <is>
          <t>Valentín et al. Failure Investigation of a Solar Tracker Due to Wind-Induced Torsional Galloping. Engineering Failure Analysis 135, 106137 (2022).</t>
        </is>
      </c>
      <c r="C44" s="2" t="inlineStr">
        <is>
          <t>https://doi.org/10.1016/j.engfailanal.2022.106137</t>
        </is>
      </c>
      <c r="D44" s="2" t="inlineStr">
        <is>
          <t>2026-07-12</t>
        </is>
      </c>
      <c r="E44" s="2" t="inlineStr">
        <is>
          <t>§§3.2–3.3, 4.3 and 6</t>
        </is>
      </c>
      <c r="F44" s="2" t="inlineStr">
        <is>
          <t>peer-reviewed forensic case</t>
        </is>
      </c>
      <c r="G44" s="2" t="inlineStr">
        <is>
          <t>adjacent_normalized_response_anatomy_only</t>
        </is>
      </c>
      <c r="H44" s="2" t="inlineStr">
        <is>
          <t>all_shared</t>
        </is>
      </c>
      <c r="I44" s="2" t="inlineStr">
        <is>
          <t>T3_engineering_proxy_or_adjacent_empirical</t>
        </is>
      </c>
      <c r="J44" s="2" t="inlineStr">
        <is>
          <t>direct</t>
        </is>
      </c>
      <c r="K44" s="2" t="inlineStr">
        <is>
          <t>partial</t>
        </is>
      </c>
      <c r="L44" s="2" t="inlineStr">
        <is>
          <t>one exposed flat tracker failed; nearby station about 16.7 m/s; rotation, module, shaft and pillar damage</t>
        </is>
      </c>
      <c r="M44" s="2" t="inlineStr">
        <is>
          <t>Tracker cascade sequence and importance of angle/exposure</t>
        </is>
      </c>
      <c r="N44" s="2" t="inlineStr">
        <is>
          <t>Convective attribution, local threshold, population probability, economic DR</t>
        </is>
      </c>
      <c r="O44" s="2" t="inlineStr">
        <is>
          <t>retain_as_adjacent_or_T4_context</t>
        </is>
      </c>
      <c r="P44" s="2" t="inlineStr">
        <is>
          <t>reviewed</t>
        </is>
      </c>
      <c r="Q44" s="2" t="inlineStr">
        <is>
          <t>RETAINED_WITH_TRANSFER_LIMIT</t>
        </is>
      </c>
    </row>
    <row r="45">
      <c r="A45" s="2" t="inlineStr">
        <is>
          <t>CPP_TRACKER_INSTABILITY_2015</t>
        </is>
      </c>
      <c r="B45" s="2" t="inlineStr">
        <is>
          <t>Rohr, Bourke and Banks. Torsional Instability of Single-Axis Solar Tracking Systems. 2015.</t>
        </is>
      </c>
      <c r="C45" s="2" t="inlineStr">
        <is>
          <t>https://www.cppwind.com/wp-content/uploads/2020/12/Torsional-Instability-of-Single-Axis-Solar-Tracking-Systems-Rohr-Bourke-Banks-2015.pdf</t>
        </is>
      </c>
      <c r="D45" s="2" t="inlineStr">
        <is>
          <t>2026-07-12</t>
        </is>
      </c>
      <c r="E45" s="2" t="inlineStr">
        <is>
          <t>pp. 1–7; especially pp. 5–7</t>
        </is>
      </c>
      <c r="F45" s="2" t="inlineStr">
        <is>
          <t>engineering wind-tunnel / CFD paper</t>
        </is>
      </c>
      <c r="G45" s="2" t="inlineStr">
        <is>
          <t>adjacent_normalized_response_anatomy_only</t>
        </is>
      </c>
      <c r="H45" s="2" t="inlineStr">
        <is>
          <t>all_shared</t>
        </is>
      </c>
      <c r="I45" s="2" t="inlineStr">
        <is>
          <t>T2_public_lab_standard_or_physics</t>
        </is>
      </c>
      <c r="J45" s="2" t="inlineStr">
        <is>
          <t>direct</t>
        </is>
      </c>
      <c r="K45" s="2" t="inlineStr">
        <is>
          <t>partial</t>
        </is>
      </c>
      <c r="L45" s="2" t="inlineStr">
        <is>
          <t>sectional critical velocity and tracker twist under ABL flow</t>
        </is>
      </c>
      <c r="M45" s="2" t="inlineStr">
        <is>
          <t>System-specific critical-speed and angle-conditioned tracker axis</t>
        </is>
      </c>
      <c r="N45" s="2" t="inlineStr">
        <is>
          <t>Universal 40 m/s threshold, downburst response, DR or loss</t>
        </is>
      </c>
      <c r="O45" s="2" t="inlineStr">
        <is>
          <t>retain_as_adjacent_or_T4_context</t>
        </is>
      </c>
      <c r="P45" s="2" t="inlineStr">
        <is>
          <t>reviewed</t>
        </is>
      </c>
      <c r="Q45" s="2" t="inlineStr">
        <is>
          <t>RETAINED_WITH_TRANSFER_LIMIT</t>
        </is>
      </c>
    </row>
    <row r="46">
      <c r="A46" s="2" t="inlineStr">
        <is>
          <t>TRACKER_LAYOUT_AEROELASTIC_2025</t>
        </is>
      </c>
      <c r="B46" s="2" t="inlineStr">
        <is>
          <t>Frontini et al. Key Parameters Influencing Wind-Induced Aeroelastic Responses of Single-Axis Solar Trackers in Photovoltaic Plants. Solar Energy 2025, 113232.</t>
        </is>
      </c>
      <c r="C46" s="2" t="inlineStr">
        <is>
          <t>https://doi.org/10.1016/j.solener.2024.113232</t>
        </is>
      </c>
      <c r="D46" s="2" t="inlineStr">
        <is>
          <t>2026-07-12</t>
        </is>
      </c>
      <c r="E46" s="2" t="inlineStr">
        <is>
          <t>abstract; stability map Fig. 7; stress envelopes Fig. 12</t>
        </is>
      </c>
      <c r="F46" s="2" t="inlineStr">
        <is>
          <t>peer-reviewed wind-tunnel and FEM study</t>
        </is>
      </c>
      <c r="G46" s="2" t="inlineStr">
        <is>
          <t>adjacent_normalized_response_anatomy_only</t>
        </is>
      </c>
      <c r="H46" s="2" t="inlineStr">
        <is>
          <t>all_shared</t>
        </is>
      </c>
      <c r="I46" s="2" t="inlineStr">
        <is>
          <t>T2_public_lab_standard_or_physics</t>
        </is>
      </c>
      <c r="J46" s="2" t="inlineStr">
        <is>
          <t>direct</t>
        </is>
      </c>
      <c r="K46" s="2" t="inlineStr">
        <is>
          <t>partial</t>
        </is>
      </c>
      <c r="L46" s="2" t="inlineStr">
        <is>
          <t>critical response by tracker position, pitch, direction and ground-coverage ratio</t>
        </is>
      </c>
      <c r="M46" s="2" t="inlineStr">
        <is>
          <t>Required row, pitch, direction and layout fields</t>
        </is>
      </c>
      <c r="N46" s="2" t="inlineStr">
        <is>
          <t>Transfer of tested critical speeds to another tracker or to downburst loading</t>
        </is>
      </c>
      <c r="O46" s="2" t="inlineStr">
        <is>
          <t>retain_as_adjacent_or_T4_context</t>
        </is>
      </c>
      <c r="P46" s="2" t="inlineStr">
        <is>
          <t>reviewed</t>
        </is>
      </c>
      <c r="Q46" s="2" t="inlineStr">
        <is>
          <t>RETAINED_WITH_TRANSFER_LIMIT</t>
        </is>
      </c>
    </row>
    <row r="47">
      <c r="A47" s="2" t="inlineStr">
        <is>
          <t>PV_TRACKER_AEROELASTIC_2024</t>
        </is>
      </c>
      <c r="B47" s="2" t="inlineStr">
        <is>
          <t>Rodríguez-Casado et al. Experimental Benchmark for the 3D Wind Tunnel Testing of Torsional Aeroelastic Instabilities in Single-Axis Solar Trackers. JWEIA 2024, 105838.</t>
        </is>
      </c>
      <c r="C47" s="2" t="inlineStr">
        <is>
          <t>https://doi.org/10.1016/j.jweia.2024.105838</t>
        </is>
      </c>
      <c r="D47" s="2" t="inlineStr">
        <is>
          <t>2026-07-12</t>
        </is>
      </c>
      <c r="E47" s="2" t="inlineStr">
        <is>
          <t>abstract and §§1–3</t>
        </is>
      </c>
      <c r="F47" s="2" t="inlineStr">
        <is>
          <t>peer-reviewed aeroelastic benchmark</t>
        </is>
      </c>
      <c r="G47" s="2" t="inlineStr">
        <is>
          <t>adjacent_normalized_response_anatomy_only</t>
        </is>
      </c>
      <c r="H47" s="2" t="inlineStr">
        <is>
          <t>all_shared</t>
        </is>
      </c>
      <c r="I47" s="2" t="inlineStr">
        <is>
          <t>T2_public_lab_standard_or_physics</t>
        </is>
      </c>
      <c r="J47" s="2" t="inlineStr">
        <is>
          <t>direct</t>
        </is>
      </c>
      <c r="K47" s="2" t="inlineStr">
        <is>
          <t>partial</t>
        </is>
      </c>
      <c r="L47" s="2" t="inlineStr">
        <is>
          <t>3D aeroelastic critical velocity by design and tilt in two tunnels</t>
        </is>
      </c>
      <c r="M47" s="2" t="inlineStr">
        <is>
          <t>Exact-system named Ucrit normalization and qualification identity</t>
        </is>
      </c>
      <c r="N47" s="2" t="inlineStr">
        <is>
          <t>Generic production-tracker fragility or damage probability</t>
        </is>
      </c>
      <c r="O47" s="2" t="inlineStr">
        <is>
          <t>retain_as_adjacent_or_T4_context</t>
        </is>
      </c>
      <c r="P47" s="2" t="inlineStr">
        <is>
          <t>reviewed</t>
        </is>
      </c>
      <c r="Q47" s="2" t="inlineStr">
        <is>
          <t>RETAINED_WITH_TRANSFER_LIMIT</t>
        </is>
      </c>
    </row>
    <row r="48">
      <c r="A48" s="2" t="inlineStr">
        <is>
          <t>TRACKER_FIELD_MODAL_2024</t>
        </is>
      </c>
      <c r="B48" s="2" t="inlineStr">
        <is>
          <t>Koekemoer et al. Field Measurements of Wind Load Effects in a Photovoltaic Single-Axis Tracker Mounting Rail. JWEIA 2024, 105876.</t>
        </is>
      </c>
      <c r="C48" s="2" t="inlineStr">
        <is>
          <t>https://doi.org/10.1016/j.jweia.2024.105876</t>
        </is>
      </c>
      <c r="D48" s="2" t="inlineStr">
        <is>
          <t>2026-07-12</t>
        </is>
      </c>
      <c r="E48" s="2" t="inlineStr">
        <is>
          <t>abstract; 109-day campaign</t>
        </is>
      </c>
      <c r="F48" s="2" t="inlineStr">
        <is>
          <t>peer-reviewed full-scale field measurements</t>
        </is>
      </c>
      <c r="G48" s="2" t="inlineStr">
        <is>
          <t>adjacent_normalized_response_anatomy_only</t>
        </is>
      </c>
      <c r="H48" s="2" t="inlineStr">
        <is>
          <t>all_shared</t>
        </is>
      </c>
      <c r="I48" s="2" t="inlineStr">
        <is>
          <t>T2_public_lab_standard_or_physics</t>
        </is>
      </c>
      <c r="J48" s="2" t="inlineStr">
        <is>
          <t>direct</t>
        </is>
      </c>
      <c r="K48" s="2" t="inlineStr">
        <is>
          <t>partial</t>
        </is>
      </c>
      <c r="L48" s="2" t="inlineStr">
        <is>
          <t>1P tracker torsional and bending modal response by direction and pile position</t>
        </is>
      </c>
      <c r="M48" s="2" t="inlineStr">
        <is>
          <t>1P/2P and modal/layout differentiation</t>
        </is>
      </c>
      <c r="N48" s="2" t="inlineStr">
        <is>
          <t>No-damage threshold or destructive convective response</t>
        </is>
      </c>
      <c r="O48" s="2" t="inlineStr">
        <is>
          <t>retain_as_adjacent_or_T4_context</t>
        </is>
      </c>
      <c r="P48" s="2" t="inlineStr">
        <is>
          <t>reviewed</t>
        </is>
      </c>
      <c r="Q48" s="2" t="inlineStr">
        <is>
          <t>RETAINED_WITH_TRANSFER_LIMIT</t>
        </is>
      </c>
    </row>
    <row r="49">
      <c r="A49" s="2" t="inlineStr">
        <is>
          <t>FIXED_TILT_WIND_DESIGN_2020</t>
        </is>
      </c>
      <c r="B49" s="2" t="inlineStr">
        <is>
          <t>Browne et al. A Wind Load Design Method for Ground-Mounted Multi-Row Solar Arrays Based on a Compilation of Wind Tunnel Experiments. JWEIA 2020, 104294.</t>
        </is>
      </c>
      <c r="C49" s="2" t="inlineStr">
        <is>
          <t>https://doi.org/10.1016/j.jweia.2020.104294</t>
        </is>
      </c>
      <c r="D49" s="2" t="inlineStr">
        <is>
          <t>2026-07-12</t>
        </is>
      </c>
      <c r="E49" s="2" t="inlineStr">
        <is>
          <t>abstract and §§1–5</t>
        </is>
      </c>
      <c r="F49" s="2" t="inlineStr">
        <is>
          <t>peer-reviewed ABL wind-tunnel synthesis</t>
        </is>
      </c>
      <c r="G49" s="2" t="inlineStr">
        <is>
          <t>adjacent_normalized_response_anatomy_only</t>
        </is>
      </c>
      <c r="H49" s="2" t="inlineStr">
        <is>
          <t>all_shared</t>
        </is>
      </c>
      <c r="I49" s="2" t="inlineStr">
        <is>
          <t>T2_public_lab_standard_or_physics</t>
        </is>
      </c>
      <c r="J49" s="2" t="inlineStr">
        <is>
          <t>direct</t>
        </is>
      </c>
      <c r="K49" s="2" t="inlineStr">
        <is>
          <t>partial</t>
        </is>
      </c>
      <c r="L49" s="2" t="inlineStr">
        <is>
          <t>fixed-tilt static/dynamic pressure coefficients and perimeter/field zones</t>
        </is>
      </c>
      <c r="M49" s="2" t="inlineStr">
        <is>
          <t>Separate fixed-tilt load bridge and array zoning</t>
        </is>
      </c>
      <c r="N49" s="2" t="inlineStr">
        <is>
          <t>Downburst coefficients, tracker aeroelasticity, failure probability or DR</t>
        </is>
      </c>
      <c r="O49" s="2" t="inlineStr">
        <is>
          <t>retain_as_adjacent_or_T4_context</t>
        </is>
      </c>
      <c r="P49" s="2" t="inlineStr">
        <is>
          <t>reviewed</t>
        </is>
      </c>
      <c r="Q49" s="2" t="inlineStr">
        <is>
          <t>RETAINED_WITH_TRANSFER_LIMIT</t>
        </is>
      </c>
    </row>
    <row r="50">
      <c r="A50" s="2" t="inlineStr">
        <is>
          <t>SOLAR_JOINT_CYCLIC_2025</t>
        </is>
      </c>
      <c r="B50" s="2" t="inlineStr">
        <is>
          <t>Du et al. Cyclic Demands on Solar Structural Joints under Wind Loading. Journal of Structural Engineering, 2025.</t>
        </is>
      </c>
      <c r="C50" s="2" t="inlineStr">
        <is>
          <t>https://doi.org/10.1061/JSENDH.STENG-14435</t>
        </is>
      </c>
      <c r="D50" s="2" t="inlineStr">
        <is>
          <t>2026-07-12</t>
        </is>
      </c>
      <c r="E50" s="2" t="inlineStr">
        <is>
          <t>abstract and conclusions</t>
        </is>
      </c>
      <c r="F50" s="2" t="inlineStr">
        <is>
          <t>peer-reviewed CFD/FEA/hazard study</t>
        </is>
      </c>
      <c r="G50" s="2" t="inlineStr">
        <is>
          <t>adjacent_normalized_response_anatomy_only</t>
        </is>
      </c>
      <c r="H50" s="2" t="inlineStr">
        <is>
          <t>all_shared</t>
        </is>
      </c>
      <c r="I50" s="2" t="inlineStr">
        <is>
          <t>T2_public_lab_standard_or_physics</t>
        </is>
      </c>
      <c r="J50" s="2" t="inlineStr">
        <is>
          <t>direct</t>
        </is>
      </c>
      <c r="K50" s="2" t="inlineStr">
        <is>
          <t>partial</t>
        </is>
      </c>
      <c r="L50" s="2" t="inlineStr">
        <is>
          <t>lifetime clamp/joint cyclic demand</t>
        </is>
      </c>
      <c r="M50" s="2" t="inlineStr">
        <is>
          <t>Joint coverage and acute-versus-fatigue boundary</t>
        </is>
      </c>
      <c r="N50" s="2" t="inlineStr">
        <is>
          <t>Single-occurrence convective DR or lifetime-to-peak conversion</t>
        </is>
      </c>
      <c r="O50" s="2" t="inlineStr">
        <is>
          <t>retain_as_adjacent_or_T4_context</t>
        </is>
      </c>
      <c r="P50" s="2" t="inlineStr">
        <is>
          <t>reviewed</t>
        </is>
      </c>
      <c r="Q50" s="2" t="inlineStr">
        <is>
          <t>RETAINED_WITH_TRANSFER_LIMIT</t>
        </is>
      </c>
    </row>
    <row r="51">
      <c r="A51" s="2" t="inlineStr">
        <is>
          <t>SOLAR_CRITICAL_JOINTS_2025</t>
        </is>
      </c>
      <c r="B51" s="2" t="inlineStr">
        <is>
          <t>Robinson. Maturing Rational Design Methodologies and Industry Consensus Engineering Standards: Critical Fastened Joints – Solar PV Industry. LBNL, 2025.</t>
        </is>
      </c>
      <c r="C51" s="2" t="inlineStr">
        <is>
          <t>https://doi.org/10.20357/B7VG76</t>
        </is>
      </c>
      <c r="D51" s="2" t="inlineStr">
        <is>
          <t>2026-07-12</t>
        </is>
      </c>
      <c r="E51" s="2" t="inlineStr">
        <is>
          <t>abstract and report</t>
        </is>
      </c>
      <c r="F51" s="2" t="inlineStr">
        <is>
          <t>public-laboratory engineering report</t>
        </is>
      </c>
      <c r="G51" s="2" t="inlineStr">
        <is>
          <t>adjacent_normalized_response_anatomy_only</t>
        </is>
      </c>
      <c r="H51" s="2" t="inlineStr">
        <is>
          <t>all_shared</t>
        </is>
      </c>
      <c r="I51" s="2" t="inlineStr">
        <is>
          <t>T2_public_lab_standard_or_physics</t>
        </is>
      </c>
      <c r="J51" s="2" t="inlineStr">
        <is>
          <t>direct</t>
        </is>
      </c>
      <c r="K51" s="2" t="inlineStr">
        <is>
          <t>partial</t>
        </is>
      </c>
      <c r="L51" s="2" t="inlineStr">
        <is>
          <t>joint failure, racking deflection/twist and load feedback</t>
        </is>
      </c>
      <c r="M51" s="2" t="inlineStr">
        <is>
          <t>Attachment/joint condition and cascade logic</t>
        </is>
      </c>
      <c r="N51" s="2" t="inlineStr">
        <is>
          <t>Wind-to-failure population or cost fraction</t>
        </is>
      </c>
      <c r="O51" s="2" t="inlineStr">
        <is>
          <t>retain_as_adjacent_or_T4_context</t>
        </is>
      </c>
      <c r="P51" s="2" t="inlineStr">
        <is>
          <t>reviewed</t>
        </is>
      </c>
      <c r="Q51" s="2" t="inlineStr">
        <is>
          <t>RETAINED_WITH_TRANSFER_LIMIT</t>
        </is>
      </c>
    </row>
    <row r="52">
      <c r="A52" s="2" t="inlineStr">
        <is>
          <t>DOE_PV_OWNER_GUIDE_2021</t>
        </is>
      </c>
      <c r="B52" s="2" t="inlineStr">
        <is>
          <t>U.S. DOE/FEMP and GSA. PV System Owner’s Guide to Identifying, Assessing, and Addressing Weather Vulnerabilities, Risks, and Impacts. 2021.</t>
        </is>
      </c>
      <c r="C52" s="2" t="inlineStr">
        <is>
          <t>https://www.energy.gov/sites/default/files/2021-09/pv-system-owners-guide-to-weather-vulnerabilities.pdf</t>
        </is>
      </c>
      <c r="D52" s="2" t="inlineStr">
        <is>
          <t>2026-07-12</t>
        </is>
      </c>
      <c r="E52" s="2" t="inlineStr">
        <is>
          <t>§5; PDF pp. 43–50 for clamps/racking; derecho context pp. 56–58</t>
        </is>
      </c>
      <c r="F52" s="2" t="inlineStr">
        <is>
          <t>official field-audit guidance</t>
        </is>
      </c>
      <c r="G52" s="2" t="inlineStr">
        <is>
          <t>adjacent_normalized_response_anatomy_only</t>
        </is>
      </c>
      <c r="H52" s="2" t="inlineStr">
        <is>
          <t>all_shared</t>
        </is>
      </c>
      <c r="I52" s="2" t="inlineStr">
        <is>
          <t>T2_public_lab_standard_or_physics</t>
        </is>
      </c>
      <c r="J52" s="2" t="inlineStr">
        <is>
          <t>direct</t>
        </is>
      </c>
      <c r="K52" s="2" t="inlineStr">
        <is>
          <t>partial</t>
        </is>
      </c>
      <c r="L52" s="2" t="inlineStr">
        <is>
          <t>field-audit vulnerabilities and observed module, clamp, fastener, racking, wiring and enclosure mechanisms</t>
        </is>
      </c>
      <c r="M52" s="2" t="inlineStr">
        <is>
          <t>Failure-unit coverage, dependency, audit and conditioner fields</t>
        </is>
      </c>
      <c r="N52" s="2" t="inlineStr">
        <is>
          <t>Numerical utility-scale convective fragility, parameter median, dispersion or loss cap</t>
        </is>
      </c>
      <c r="O52" s="2" t="inlineStr">
        <is>
          <t>retain_as_adjacent_or_T4_context</t>
        </is>
      </c>
      <c r="P52" s="2" t="inlineStr">
        <is>
          <t>reviewed</t>
        </is>
      </c>
      <c r="Q52" s="2" t="inlineStr">
        <is>
          <t>RETAINED_QUALITATIVE</t>
        </is>
      </c>
    </row>
    <row r="53">
      <c r="A53" s="2" t="inlineStr">
        <is>
          <t>NREL_WEATHER_IMPACTS_2021</t>
        </is>
      </c>
      <c r="B53" s="2" t="inlineStr">
        <is>
          <t>Walker et al. Weather Impacts on Solar PV Operations: Summary of the 2021 PV Reliability Workshop. LBNL/NREL/Sandia, 2021.</t>
        </is>
      </c>
      <c r="C53" s="2" t="inlineStr">
        <is>
          <t>https://escholarship.org/content/qt5t8569hf/qt5t8569hf_noSplash_f0e76891c1cd44233507d7c5afbad87a.pdf</t>
        </is>
      </c>
      <c r="D53" s="2" t="inlineStr">
        <is>
          <t>2026-07-12</t>
        </is>
      </c>
      <c r="E53" s="2" t="inlineStr">
        <is>
          <t>pp. 23–25, 30–32, 39–42 and 56–58</t>
        </is>
      </c>
      <c r="F53" s="2" t="inlineStr">
        <is>
          <t>public-laboratory workshop synthesis</t>
        </is>
      </c>
      <c r="G53" s="2" t="inlineStr">
        <is>
          <t>adjacent_normalized_response_anatomy_only</t>
        </is>
      </c>
      <c r="H53" s="2" t="inlineStr">
        <is>
          <t>all_shared</t>
        </is>
      </c>
      <c r="I53" s="2" t="inlineStr">
        <is>
          <t>T2_public_lab_standard_or_physics</t>
        </is>
      </c>
      <c r="J53" s="2" t="inlineStr">
        <is>
          <t>direct</t>
        </is>
      </c>
      <c r="K53" s="2" t="inlineStr">
        <is>
          <t>partial</t>
        </is>
      </c>
      <c r="L53" s="2" t="inlineStr">
        <is>
          <t>field cases, clamp/fastener failure, module/rack dynamics, thunderstorm/downburst context</t>
        </is>
      </c>
      <c r="M53" s="2" t="inlineStr">
        <is>
          <t>Mechanism, dependency, below-design failure possibility and open evidence seams</t>
        </is>
      </c>
      <c r="N53" s="2" t="inlineStr">
        <is>
          <t>Curve calibration, universal threshold or repair-cost ratio</t>
        </is>
      </c>
      <c r="O53" s="2" t="inlineStr">
        <is>
          <t>retain_as_adjacent_or_T4_context</t>
        </is>
      </c>
      <c r="P53" s="2" t="inlineStr">
        <is>
          <t>reviewed</t>
        </is>
      </c>
      <c r="Q53" s="2" t="inlineStr">
        <is>
          <t>RETAINED_WITH_TRANSFER_LIMIT</t>
        </is>
      </c>
    </row>
    <row r="54">
      <c r="A54" s="2" t="inlineStr">
        <is>
          <t>FM_DS_7_106_2026</t>
        </is>
      </c>
      <c r="B54" s="2" t="inlineStr">
        <is>
          <t>FM. Data Sheet 7-106: Ground-Mounted Solar Photovoltaic Power. April 2026.</t>
        </is>
      </c>
      <c r="C54" s="2" t="inlineStr">
        <is>
          <t>https://www.fm.com/-/media/project/publicwebsites/fmglobal/documentum-new/data-sheet-individual/07-hazards/fmds07106.pdf</t>
        </is>
      </c>
      <c r="D54" s="2" t="inlineStr">
        <is>
          <t>2026-07-12</t>
        </is>
      </c>
      <c r="E54" s="2" t="inlineStr">
        <is>
          <t>§§2.1.2.3–2.1.2.4 pp. 3–4; §3.1 pp. 10–11</t>
        </is>
      </c>
      <c r="F54" s="2" t="inlineStr">
        <is>
          <t>insurer engineering standard</t>
        </is>
      </c>
      <c r="G54" s="2" t="inlineStr">
        <is>
          <t>adjacent_normalized_response_anatomy_only</t>
        </is>
      </c>
      <c r="H54" s="2" t="inlineStr">
        <is>
          <t>all_shared</t>
        </is>
      </c>
      <c r="I54" s="2" t="inlineStr">
        <is>
          <t>T2_public_lab_standard_or_physics</t>
        </is>
      </c>
      <c r="J54" s="2" t="inlineStr">
        <is>
          <t>direct</t>
        </is>
      </c>
      <c r="K54" s="2" t="inlineStr">
        <is>
          <t>partial</t>
        </is>
      </c>
      <c r="L54" s="2" t="inlineStr">
        <is>
          <t>static/dynamic/aeroelastic review; multiple anemometers; stow trigger 25% below tested instability speed</t>
        </is>
      </c>
      <c r="M54" s="2" t="inlineStr">
        <is>
          <t>Ucrit qualification, monitoring and 0.75 action flag</t>
        </is>
      </c>
      <c r="N54" s="2" t="inlineStr">
        <is>
          <t>0.75 as damage threshold, hard zero or fragility ordinate</t>
        </is>
      </c>
      <c r="O54" s="2" t="inlineStr">
        <is>
          <t>retain_as_adjacent_or_T4_context</t>
        </is>
      </c>
      <c r="P54" s="2" t="inlineStr">
        <is>
          <t>reviewed</t>
        </is>
      </c>
      <c r="Q54" s="2" t="inlineStr">
        <is>
          <t>RETAINED_AS_GATE_NOT_CURVE</t>
        </is>
      </c>
    </row>
    <row r="55">
      <c r="A55" s="2" t="inlineStr">
        <is>
          <t>ASTM_E1830_2025</t>
        </is>
      </c>
      <c r="B55" s="2" t="inlineStr">
        <is>
          <t>ASTM E1830-15(2025). Standard Test Methods for Determining Mechanical Integrity of Photovoltaic Modules.</t>
        </is>
      </c>
      <c r="C55" s="2" t="inlineStr">
        <is>
          <t>https://store.astm.org/e1830-15r25.html</t>
        </is>
      </c>
      <c r="D55" s="2" t="inlineStr">
        <is>
          <t>2026-07-12</t>
        </is>
      </c>
      <c r="E55" s="2" t="inlineStr">
        <is>
          <t>scope §§1.1–1.4; significance §4</t>
        </is>
      </c>
      <c r="F55" s="2" t="inlineStr">
        <is>
          <t>consensus test standard</t>
        </is>
      </c>
      <c r="G55" s="2" t="inlineStr">
        <is>
          <t>adjacent_normalized_response_anatomy_only</t>
        </is>
      </c>
      <c r="H55" s="2" t="inlineStr">
        <is>
          <t>all_shared</t>
        </is>
      </c>
      <c r="I55" s="2" t="inlineStr">
        <is>
          <t>T2_public_lab_standard_or_physics</t>
        </is>
      </c>
      <c r="J55" s="2" t="inlineStr">
        <is>
          <t>direct</t>
        </is>
      </c>
      <c r="K55" s="2" t="inlineStr">
        <is>
          <t>partial</t>
        </is>
      </c>
      <c r="L55" s="2" t="inlineStr">
        <is>
          <t>2400 Pa static, 1440 Pa cyclic, twist test; no pass/fail level</t>
        </is>
      </c>
      <c r="M55" s="2" t="inlineStr">
        <is>
          <t>Module qualification metadata and physical/electrical endpoints</t>
        </is>
      </c>
      <c r="N55" s="2" t="inlineStr">
        <is>
          <t>Universal wind speed, failure probability or economic DR</t>
        </is>
      </c>
      <c r="O55" s="2" t="inlineStr">
        <is>
          <t>retain_as_adjacent_or_T4_context</t>
        </is>
      </c>
      <c r="P55" s="2" t="inlineStr">
        <is>
          <t>reviewed</t>
        </is>
      </c>
      <c r="Q55" s="2" t="inlineStr">
        <is>
          <t>RETAINED_WITH_TRANSFER_LIMIT</t>
        </is>
      </c>
    </row>
    <row r="56">
      <c r="A56" s="2" t="inlineStr">
        <is>
          <t>IEC_62782_2016</t>
        </is>
      </c>
      <c r="B56" s="2" t="inlineStr">
        <is>
          <t>IEC TS 62782:2016. Photovoltaic modules — Cyclic (dynamic) mechanical load testing.</t>
        </is>
      </c>
      <c r="C56" s="2" t="inlineStr">
        <is>
          <t>https://webstore.iec.ch/en/publication/24310</t>
        </is>
      </c>
      <c r="D56" s="2" t="inlineStr">
        <is>
          <t>2026-07-12</t>
        </is>
      </c>
      <c r="E56" s="2" t="inlineStr">
        <is>
          <t>scope</t>
        </is>
      </c>
      <c r="F56" s="2" t="inlineStr">
        <is>
          <t>international test standard</t>
        </is>
      </c>
      <c r="G56" s="2" t="inlineStr">
        <is>
          <t>adjacent_normalized_response_anatomy_only</t>
        </is>
      </c>
      <c r="H56" s="2" t="inlineStr">
        <is>
          <t>all_shared</t>
        </is>
      </c>
      <c r="I56" s="2" t="inlineStr">
        <is>
          <t>T2_public_lab_standard_or_physics</t>
        </is>
      </c>
      <c r="J56" s="2" t="inlineStr">
        <is>
          <t>direct</t>
        </is>
      </c>
      <c r="K56" s="2" t="inlineStr">
        <is>
          <t>partial</t>
        </is>
      </c>
      <c r="L56" s="2" t="inlineStr">
        <is>
          <t>alternating uniform module load test</t>
        </is>
      </c>
      <c r="M56" s="2" t="inlineStr">
        <is>
          <t>Module-test provenance and fatigue susceptibility</t>
        </is>
      </c>
      <c r="N56" s="2" t="inlineStr">
        <is>
          <t>Transient downburst, plant fragility or DR</t>
        </is>
      </c>
      <c r="O56" s="2" t="inlineStr">
        <is>
          <t>retain_as_adjacent_or_T4_context</t>
        </is>
      </c>
      <c r="P56" s="2" t="inlineStr">
        <is>
          <t>reviewed</t>
        </is>
      </c>
      <c r="Q56" s="2" t="inlineStr">
        <is>
          <t>RETAINED_WITH_TRANSFER_LIMIT</t>
        </is>
      </c>
    </row>
    <row r="57">
      <c r="A57" s="2" t="inlineStr">
        <is>
          <t>IEC_62817</t>
        </is>
      </c>
      <c r="B57" s="2" t="inlineStr">
        <is>
          <t>IEC 62817:2014+A1:2017. Photovoltaic systems — Design qualification of solar trackers.</t>
        </is>
      </c>
      <c r="C57" s="2" t="inlineStr">
        <is>
          <t>https://webstore.iec.ch/en/publication/61127</t>
        </is>
      </c>
      <c r="D57" s="2" t="inlineStr">
        <is>
          <t>2026-07-12</t>
        </is>
      </c>
      <c r="E57" s="2" t="inlineStr">
        <is>
          <t>scope and qualification sequence</t>
        </is>
      </c>
      <c r="F57" s="2" t="inlineStr">
        <is>
          <t>international qualification standard</t>
        </is>
      </c>
      <c r="G57" s="2" t="inlineStr">
        <is>
          <t>adjacent_normalized_response_anatomy_only</t>
        </is>
      </c>
      <c r="H57" s="2" t="inlineStr">
        <is>
          <t>all_shared</t>
        </is>
      </c>
      <c r="I57" s="2" t="inlineStr">
        <is>
          <t>T2_public_lab_standard_or_physics</t>
        </is>
      </c>
      <c r="J57" s="2" t="inlineStr">
        <is>
          <t>direct</t>
        </is>
      </c>
      <c r="K57" s="2" t="inlineStr">
        <is>
          <t>partial</t>
        </is>
      </c>
      <c r="L57" s="2" t="inlineStr">
        <is>
          <t>tracker design qualification</t>
        </is>
      </c>
      <c r="M57" s="2" t="inlineStr">
        <is>
          <t>Exact tracker architecture/qualification identity and testing context</t>
        </is>
      </c>
      <c r="N57" s="2" t="inlineStr">
        <is>
          <t>Site-specific structure/foundation certification, Ucrit for an unnamed tracker, or fragility</t>
        </is>
      </c>
      <c r="O57" s="2" t="inlineStr">
        <is>
          <t>retain_as_adjacent_or_T4_context</t>
        </is>
      </c>
      <c r="P57" s="2" t="inlineStr">
        <is>
          <t>reviewed</t>
        </is>
      </c>
      <c r="Q57" s="2" t="inlineStr">
        <is>
          <t>RETAINED_WITH_TRANSFER_LIMIT</t>
        </is>
      </c>
    </row>
    <row r="58">
      <c r="A58" s="2" t="inlineStr">
        <is>
          <t>ASCE_7_22</t>
        </is>
      </c>
      <c r="B58" s="2" t="inlineStr">
        <is>
          <t>ASCE/SEI 7-22. Minimum Design Loads and Associated Criteria for Buildings and Other Structures.</t>
        </is>
      </c>
      <c r="C58" s="2" t="inlineStr">
        <is>
          <t>https://www.asce.org/publications-and-news/codes-and-standards/asce-sei-7-22</t>
        </is>
      </c>
      <c r="D58" s="2" t="inlineStr">
        <is>
          <t>2026-07-12</t>
        </is>
      </c>
      <c r="E58" s="2" t="inlineStr">
        <is>
          <t>Ch. 29 §29.4.5; Ch. 31 §31.4.5; Ch. 26 symbols</t>
        </is>
      </c>
      <c r="F58" s="2" t="inlineStr">
        <is>
          <t>consensus design standard</t>
        </is>
      </c>
      <c r="G58" s="2" t="inlineStr">
        <is>
          <t>adjacent_normalized_response_anatomy_only</t>
        </is>
      </c>
      <c r="H58" s="2" t="inlineStr">
        <is>
          <t>all_shared</t>
        </is>
      </c>
      <c r="I58" s="2" t="inlineStr">
        <is>
          <t>T2_public_lab_standard_or_physics</t>
        </is>
      </c>
      <c r="J58" s="2" t="inlineStr">
        <is>
          <t>direct</t>
        </is>
      </c>
      <c r="K58" s="2" t="inlineStr">
        <is>
          <t>partial</t>
        </is>
      </c>
      <c r="L58" s="2" t="inlineStr">
        <is>
          <t>fixed-tilt ground-mount wind design; 3-second gust at 10 m Exposure C source definition</t>
        </is>
      </c>
      <c r="M58" s="2" t="inlineStr">
        <is>
          <t>Design normalization and fixed-tilt scope</t>
        </is>
      </c>
      <c r="N58" s="2" t="inlineStr">
        <is>
          <t>Failure capacity, D50, tracker aeroelastic response or downburst profile</t>
        </is>
      </c>
      <c r="O58" s="2" t="inlineStr">
        <is>
          <t>retain_as_adjacent_or_T4_context</t>
        </is>
      </c>
      <c r="P58" s="2" t="inlineStr">
        <is>
          <t>reviewed</t>
        </is>
      </c>
      <c r="Q58" s="2" t="inlineStr">
        <is>
          <t>RETAINED_WITH_TRANSFER_LIMIT</t>
        </is>
      </c>
    </row>
    <row r="59">
      <c r="A59" s="2" t="inlineStr">
        <is>
          <t>ASCE_49_21</t>
        </is>
      </c>
      <c r="B59" s="2" t="inlineStr">
        <is>
          <t>ASCE/SEI 49-21. Wind Tunnel Testing for Buildings and Other Structures.</t>
        </is>
      </c>
      <c r="C59" s="2" t="inlineStr">
        <is>
          <t>https://www.asce.org/communities/institutes-and-technical-groups/structural-engineering-institute/committees/sei-board-of-governors/sei-technical-community-executive-committee/asce-49---wind-tunnel-testing</t>
        </is>
      </c>
      <c r="D59" s="2" t="inlineStr">
        <is>
          <t>2026-07-12</t>
        </is>
      </c>
      <c r="E59" s="2" t="inlineStr">
        <is>
          <t>§2.3.2 nonsynoptic winds</t>
        </is>
      </c>
      <c r="F59" s="2" t="inlineStr">
        <is>
          <t>consensus wind-tunnel standard</t>
        </is>
      </c>
      <c r="G59" s="2" t="inlineStr">
        <is>
          <t>adjacent_normalized_response_anatomy_only</t>
        </is>
      </c>
      <c r="H59" s="2" t="inlineStr">
        <is>
          <t>all_shared</t>
        </is>
      </c>
      <c r="I59" s="2" t="inlineStr">
        <is>
          <t>T2_public_lab_standard_or_physics</t>
        </is>
      </c>
      <c r="J59" s="2" t="inlineStr">
        <is>
          <t>direct</t>
        </is>
      </c>
      <c r="K59" s="2" t="inlineStr">
        <is>
          <t>partial</t>
        </is>
      </c>
      <c r="L59" s="2" t="inlineStr">
        <is>
          <t>wind-tunnel requirements including downbursts and other nonsynoptic winds</t>
        </is>
      </c>
      <c r="M59" s="2" t="inlineStr">
        <is>
          <t>Named downburst/non-synoptic and tracker qualification bridge</t>
        </is>
      </c>
      <c r="N59" s="2" t="inlineStr">
        <is>
          <t>PV fragility or damage parameters</t>
        </is>
      </c>
      <c r="O59" s="2" t="inlineStr">
        <is>
          <t>retain_as_adjacent_or_T4_context</t>
        </is>
      </c>
      <c r="P59" s="2" t="inlineStr">
        <is>
          <t>reviewed</t>
        </is>
      </c>
      <c r="Q59" s="2" t="inlineStr">
        <is>
          <t>RETAINED_WITH_TRANSFER_LIMIT</t>
        </is>
      </c>
    </row>
    <row r="60">
      <c r="A60" s="2" t="inlineStr">
        <is>
          <t>NIST_THUNDERSTORM_PROFILES_2011</t>
        </is>
      </c>
      <c r="B60" s="2" t="inlineStr">
        <is>
          <t>Lombardo et al. Thunderstorm Characteristics of Importance to Wind Engineering Part II: Profiles, Gust Factors and Other Observations. JWEIA 2011.</t>
        </is>
      </c>
      <c r="C60" s="2" t="inlineStr">
        <is>
          <t>https://www.nist.gov/publications/thunderstorm-characteristics-importance-wind-engineering-part-ii-profiles-gust-factors</t>
        </is>
      </c>
      <c r="D60" s="2" t="inlineStr">
        <is>
          <t>2026-07-12</t>
        </is>
      </c>
      <c r="E60" s="2" t="inlineStr">
        <is>
          <t>abstract and paper; ramp-up/profile/gust-factor sections</t>
        </is>
      </c>
      <c r="F60" s="2" t="inlineStr">
        <is>
          <t>peer-reviewed primary field analysis</t>
        </is>
      </c>
      <c r="G60" s="2" t="inlineStr">
        <is>
          <t>adjacent_normalized_response_anatomy_only</t>
        </is>
      </c>
      <c r="H60" s="2" t="inlineStr">
        <is>
          <t>all_shared</t>
        </is>
      </c>
      <c r="I60" s="2" t="inlineStr">
        <is>
          <t>T2_public_lab_standard_or_physics</t>
        </is>
      </c>
      <c r="J60" s="2" t="inlineStr">
        <is>
          <t>direct</t>
        </is>
      </c>
      <c r="K60" s="2" t="inlineStr">
        <is>
          <t>partial</t>
        </is>
      </c>
      <c r="L60" s="2" t="inlineStr">
        <is>
          <t>nonstationary ramp-up, vertical components, profile and gust-factor variability</t>
        </is>
      </c>
      <c r="M60" s="2" t="inlineStr">
        <is>
          <t>Reject silent stationary-ABL equivalence and ordinary default profile conversion</t>
        </is>
      </c>
      <c r="N60" s="2" t="inlineStr">
        <is>
          <t>Solar failure threshold or DR</t>
        </is>
      </c>
      <c r="O60" s="2" t="inlineStr">
        <is>
          <t>retain_as_adjacent_or_T4_context</t>
        </is>
      </c>
      <c r="P60" s="2" t="inlineStr">
        <is>
          <t>reviewed</t>
        </is>
      </c>
      <c r="Q60" s="2" t="inlineStr">
        <is>
          <t>RETAINED</t>
        </is>
      </c>
    </row>
    <row r="61">
      <c r="A61" s="2" t="inlineStr">
        <is>
          <t>FULL_SCALE_DOWNBURST_2018</t>
        </is>
      </c>
      <c r="B61" s="2" t="inlineStr">
        <is>
          <t>Gunter and Schroeder. Investigation of a Downburst Loading Event on a Full-Scale Low-Rise Building. JWEIA 2018.</t>
        </is>
      </c>
      <c r="C61" s="2" t="inlineStr">
        <is>
          <t>https://doi.org/10.1016/j.jweia.2018.09.020</t>
        </is>
      </c>
      <c r="D61" s="2" t="inlineStr">
        <is>
          <t>2026-07-12</t>
        </is>
      </c>
      <c r="E61" s="2" t="inlineStr">
        <is>
          <t>highlights and results</t>
        </is>
      </c>
      <c r="F61" s="2" t="inlineStr">
        <is>
          <t>peer-reviewed full-scale event study</t>
        </is>
      </c>
      <c r="G61" s="2" t="inlineStr">
        <is>
          <t>adjacent_normalized_response_anatomy_only</t>
        </is>
      </c>
      <c r="H61" s="2" t="inlineStr">
        <is>
          <t>all_shared</t>
        </is>
      </c>
      <c r="I61" s="2" t="inlineStr">
        <is>
          <t>T2_public_lab_standard_or_physics</t>
        </is>
      </c>
      <c r="J61" s="2" t="inlineStr">
        <is>
          <t>direct</t>
        </is>
      </c>
      <c r="K61" s="2" t="inlineStr">
        <is>
          <t>partial</t>
        </is>
      </c>
      <c r="L61" s="2" t="inlineStr">
        <is>
          <t>about 30 s ramp; peak near 4 m; direction change up to about 30° over 50 m</t>
        </is>
      </c>
      <c r="M61" s="2" t="inlineStr">
        <is>
          <t>Rise time, direction change and non-power-law bridge requirement</t>
        </is>
      </c>
      <c r="N61" s="2" t="inlineStr">
        <is>
          <t>PV fragility or structural transfer coefficients</t>
        </is>
      </c>
      <c r="O61" s="2" t="inlineStr">
        <is>
          <t>retain_as_adjacent_or_T4_context</t>
        </is>
      </c>
      <c r="P61" s="2" t="inlineStr">
        <is>
          <t>reviewed</t>
        </is>
      </c>
      <c r="Q61" s="2" t="inlineStr">
        <is>
          <t>RETAINED_WITH_ASSET_TRANSFER_LIMIT</t>
        </is>
      </c>
    </row>
    <row r="62">
      <c r="A62" s="2" t="inlineStr">
        <is>
          <t>DERECHO_MULTISCALE_2025</t>
        </is>
      </c>
      <c r="B62" s="2" t="inlineStr">
        <is>
          <t>Wagner et al. Detecting and Interpreting Wind Damage at Multiple Scales in the 10 August 2020 Derecho Using UAS, Satellite, and Radar. Weather and Forecasting, 2025.</t>
        </is>
      </c>
      <c r="C62" s="2" t="inlineStr">
        <is>
          <t>https://doi.org/10.1175/WAF-D-24-0198.1</t>
        </is>
      </c>
      <c r="D62" s="2" t="inlineStr">
        <is>
          <t>2026-07-12</t>
        </is>
      </c>
      <c r="E62" s="2" t="inlineStr">
        <is>
          <t>abstract; pp. 1–2 and 12–14</t>
        </is>
      </c>
      <c r="F62" s="2" t="inlineStr">
        <is>
          <t>peer-reviewed event reconstruction</t>
        </is>
      </c>
      <c r="G62" s="2" t="inlineStr">
        <is>
          <t>adjacent_normalized_response_anatomy_only</t>
        </is>
      </c>
      <c r="H62" s="2" t="inlineStr">
        <is>
          <t>all_shared</t>
        </is>
      </c>
      <c r="I62" s="2" t="inlineStr">
        <is>
          <t>T2_public_lab_standard_or_physics</t>
        </is>
      </c>
      <c r="J62" s="2" t="inlineStr">
        <is>
          <t>direct</t>
        </is>
      </c>
      <c r="K62" s="2" t="inlineStr">
        <is>
          <t>partial</t>
        </is>
      </c>
      <c r="L62" s="2" t="inlineStr">
        <is>
          <t>MCS flow, downburst clusters, mesovortices, tornadoes and roughly 10 m damage variability</t>
        </is>
      </c>
      <c r="M62" s="2" t="inlineStr">
        <is>
          <t>Derecho label requires local mechanism partition and parent event identity</t>
        </is>
      </c>
      <c r="N62" s="2" t="inlineStr">
        <is>
          <t>One derecho-wide demand or PV parameter</t>
        </is>
      </c>
      <c r="O62" s="2" t="inlineStr">
        <is>
          <t>retain_as_adjacent_or_T4_context</t>
        </is>
      </c>
      <c r="P62" s="2" t="inlineStr">
        <is>
          <t>reviewed</t>
        </is>
      </c>
      <c r="Q62" s="2" t="inlineStr">
        <is>
          <t>RETAINED</t>
        </is>
      </c>
    </row>
    <row r="63">
      <c r="A63" s="2" t="inlineStr">
        <is>
          <t>NWS_DOWNBURST_TAXONOMY</t>
        </is>
      </c>
      <c r="B63" s="2" t="inlineStr">
        <is>
          <t>U.S. National Weather Service. Downbursts; NWS Glossary; NSSL Thunderstorm FAQ.</t>
        </is>
      </c>
      <c r="C63" s="2" t="inlineStr">
        <is>
          <t>https://www.weather.gov/spotterguide/downbursts</t>
        </is>
      </c>
      <c r="D63" s="2" t="inlineStr">
        <is>
          <t>2026-07-12</t>
        </is>
      </c>
      <c r="E63" s="2" t="inlineStr">
        <is>
          <t>definitions</t>
        </is>
      </c>
      <c r="F63" s="2" t="inlineStr">
        <is>
          <t>official meteorological definitions</t>
        </is>
      </c>
      <c r="G63" s="2" t="inlineStr">
        <is>
          <t>adjacent_normalized_response_anatomy_only</t>
        </is>
      </c>
      <c r="H63" s="2" t="inlineStr">
        <is>
          <t>all_shared</t>
        </is>
      </c>
      <c r="I63" s="2" t="inlineStr">
        <is>
          <t>T2_public_lab_standard_or_physics</t>
        </is>
      </c>
      <c r="J63" s="2" t="inlineStr">
        <is>
          <t>direct</t>
        </is>
      </c>
      <c r="K63" s="2" t="inlineStr">
        <is>
          <t>partial</t>
        </is>
      </c>
      <c r="L63" s="2" t="inlineStr">
        <is>
          <t>downburst, microburst, macroburst, gust front and derecho taxonomy</t>
        </is>
      </c>
      <c r="M63" s="2" t="inlineStr">
        <is>
          <t>Pathway scope vocabulary</t>
        </is>
      </c>
      <c r="N63" s="2" t="inlineStr">
        <is>
          <t>58 mph warning threshold as PV damage onset</t>
        </is>
      </c>
      <c r="O63" s="2" t="inlineStr">
        <is>
          <t>retain_as_adjacent_or_T4_context</t>
        </is>
      </c>
      <c r="P63" s="2" t="inlineStr">
        <is>
          <t>reviewed</t>
        </is>
      </c>
      <c r="Q63" s="2" t="inlineStr">
        <is>
          <t>RETAINED</t>
        </is>
      </c>
    </row>
    <row r="64">
      <c r="A64" s="2" t="inlineStr">
        <is>
          <t>DOE_FEMP_STORM_HARDENING_2020</t>
        </is>
      </c>
      <c r="B64" s="2" t="inlineStr">
        <is>
          <t>Elsworth and Van Geet. Solar Photovoltaics in Severe Weather: Cost Considerations for Storm Hardening PV Systems for Resilience. NREL/TP-7A40-75804, 2020.</t>
        </is>
      </c>
      <c r="C64" s="2" t="inlineStr">
        <is>
          <t>https://docs.nrel.gov/docs/fy20osti/75804.pdf</t>
        </is>
      </c>
      <c r="D64" s="2" t="inlineStr">
        <is>
          <t>2026-07-12</t>
        </is>
      </c>
      <c r="E64" s="2" t="inlineStr">
        <is>
          <t>Table 1 pp. 2–3; scope pp. 3–4</t>
        </is>
      </c>
      <c r="F64" s="2" t="inlineStr">
        <is>
          <t>public-laboratory cost report</t>
        </is>
      </c>
      <c r="G64" s="2" t="inlineStr">
        <is>
          <t>adjacent_normalized_response_anatomy_only</t>
        </is>
      </c>
      <c r="H64" s="2" t="inlineStr">
        <is>
          <t>all_shared</t>
        </is>
      </c>
      <c r="I64" s="2" t="inlineStr">
        <is>
          <t>T2_public_lab_standard_or_physics</t>
        </is>
      </c>
      <c r="J64" s="2" t="inlineStr">
        <is>
          <t>direct</t>
        </is>
      </c>
      <c r="K64" s="2" t="inlineStr">
        <is>
          <t>partial</t>
        </is>
      </c>
      <c r="L64" s="2" t="inlineStr">
        <is>
          <t>incremental preventive costs for fasteners, through-bolts, modules, rails, piers and racking</t>
        </is>
      </c>
      <c r="M64" s="2" t="inlineStr">
        <is>
          <t>Selector economics and plausibility only</t>
        </is>
      </c>
      <c r="N64" s="2" t="inlineStr">
        <is>
          <t>Repair cost, damage-state ratio, tracker value or fragility</t>
        </is>
      </c>
      <c r="O64" s="2" t="inlineStr">
        <is>
          <t>retain_as_adjacent_or_T4_context</t>
        </is>
      </c>
      <c r="P64" s="2" t="inlineStr">
        <is>
          <t>reviewed</t>
        </is>
      </c>
      <c r="Q64" s="2" t="inlineStr">
        <is>
          <t>RETAINED_WITH_TRANSFER_LIMIT</t>
        </is>
      </c>
    </row>
    <row r="65">
      <c r="A65" s="2" t="inlineStr">
        <is>
          <t>NREL_Q1_2021_COST_BENCHMARK</t>
        </is>
      </c>
      <c r="B65" s="2" t="inlineStr">
        <is>
          <t>Ramasamy et al. U.S. Solar Photovoltaic System and Energy Storage Cost Benchmarks: Q1 2021. NREL/TP-7A40-80694.</t>
        </is>
      </c>
      <c r="C65" s="2" t="inlineStr">
        <is>
          <t>https://www.govinfo.gov/content/pkg/GOVPUB-E9-PURL-gpo184395/pdf/GOVPUB-E9-PURL-gpo184395.pdf</t>
        </is>
      </c>
      <c r="D65" s="2" t="inlineStr">
        <is>
          <t>2026-07-12</t>
        </is>
      </c>
      <c r="E65" s="2" t="inlineStr">
        <is>
          <t>PDF p. 27 utility-scale modeling inputs</t>
        </is>
      </c>
      <c r="F65" s="2" t="inlineStr">
        <is>
          <t>public-laboratory cost benchmark</t>
        </is>
      </c>
      <c r="G65" s="2" t="inlineStr">
        <is>
          <t>adjacent_normalized_response_anatomy_only</t>
        </is>
      </c>
      <c r="H65" s="2" t="inlineStr">
        <is>
          <t>all_shared</t>
        </is>
      </c>
      <c r="I65" s="2" t="inlineStr">
        <is>
          <t>T2_public_lab_standard_or_physics</t>
        </is>
      </c>
      <c r="J65" s="2" t="inlineStr">
        <is>
          <t>direct</t>
        </is>
      </c>
      <c r="K65" s="2" t="inlineStr">
        <is>
          <t>partial</t>
        </is>
      </c>
      <c r="L65" s="2" t="inlineStr">
        <is>
          <t>structural components 0.09–0.12 2020 USD/Wdc for fixed tilt or one-axis tracking</t>
        </is>
      </c>
      <c r="M65" s="2" t="inlineStr">
        <is>
          <t>Fixed-tilt screening value bracket</t>
        </is>
      </c>
      <c r="N65" s="2" t="inlineStr">
        <is>
          <t>Architecture-specific point value, fragility or current-dollar replacement cost</t>
        </is>
      </c>
      <c r="O65" s="2" t="inlineStr">
        <is>
          <t>retain_as_adjacent_or_T4_context</t>
        </is>
      </c>
      <c r="P65" s="2" t="inlineStr">
        <is>
          <t>reviewed</t>
        </is>
      </c>
      <c r="Q65" s="2" t="inlineStr">
        <is>
          <t>RETAINED_AS_RANGE_ONLY</t>
        </is>
      </c>
    </row>
    <row r="66">
      <c r="A66" s="2" t="inlineStr">
        <is>
          <t>NREL_Q1_2024_MMP_TRACKER</t>
        </is>
      </c>
      <c r="B66" s="2" t="inlineStr">
        <is>
          <t>DOE/NREL PV System Cost Model Q1 2024 market price benchmark for a 100 MWdc one-axis-tracker plant.</t>
        </is>
      </c>
      <c r="C66" s="2" t="inlineStr">
        <is>
          <t>https://www.energy.gov/cmei/systems/solar-photovoltaic-system-cost-benchmarks</t>
        </is>
      </c>
      <c r="D66" s="2" t="inlineStr">
        <is>
          <t>2026-07-12</t>
        </is>
      </c>
      <c r="E66" s="2" t="inlineStr">
        <is>
          <t>Figure 1 source-native MMP rows</t>
        </is>
      </c>
      <c r="F66" s="2" t="inlineStr">
        <is>
          <t>public-laboratory cost benchmark</t>
        </is>
      </c>
      <c r="G66" s="2" t="inlineStr">
        <is>
          <t>adjacent_normalized_response_anatomy_only</t>
        </is>
      </c>
      <c r="H66" s="2" t="inlineStr">
        <is>
          <t>all_shared</t>
        </is>
      </c>
      <c r="I66" s="2" t="inlineStr">
        <is>
          <t>T2_public_lab_standard_or_physics</t>
        </is>
      </c>
      <c r="J66" s="2" t="inlineStr">
        <is>
          <t>direct</t>
        </is>
      </c>
      <c r="K66" s="2" t="inlineStr">
        <is>
          <t>partial</t>
        </is>
      </c>
      <c r="L66" s="2" t="inlineStr">
        <is>
          <t>336 module, 140 SBOS, 33 inverter, 186 EBOS, 229 fieldwork, 1119 total; 2023 USD/kWdc</t>
        </is>
      </c>
      <c r="M66" s="2" t="inlineStr">
        <is>
          <t>Tracker architecture sensitivity and row-level reconciliation</t>
        </is>
      </c>
      <c r="N66" s="2" t="inlineStr">
        <is>
          <t>Fixed-tilt point value, component fragility or blended primary reference</t>
        </is>
      </c>
      <c r="O66" s="2" t="inlineStr">
        <is>
          <t>retain_as_adjacent_or_T4_context</t>
        </is>
      </c>
      <c r="P66" s="2" t="inlineStr">
        <is>
          <t>reviewed</t>
        </is>
      </c>
      <c r="Q66" s="2" t="inlineStr">
        <is>
          <t>RETAINED_FOR_VALUE_ONLY</t>
        </is>
      </c>
    </row>
    <row r="67">
      <c r="A67" s="2" t="inlineStr">
        <is>
          <t>NREL_NLR_Q1_2025_PV_BENCHMARK</t>
        </is>
      </c>
      <c r="B67" s="2" t="inlineStr">
        <is>
          <t>Basore et al. Q1-2025 Solar Photovoltaic System Cost Benchmarks. NLR/OT-7A40-97930; data catalog submission 304.</t>
        </is>
      </c>
      <c r="C67" s="2" t="inlineStr">
        <is>
          <t>https://doi.org/10.7799/3009689</t>
        </is>
      </c>
      <c r="D67" s="2" t="inlineStr">
        <is>
          <t>2026-07-12</t>
        </is>
      </c>
      <c r="E67" s="2" t="inlineStr">
        <is>
          <t>dataset and governed Solar_Map crosswalk</t>
        </is>
      </c>
      <c r="F67" s="2" t="inlineStr">
        <is>
          <t>official cost dataset</t>
        </is>
      </c>
      <c r="G67" s="2" t="inlineStr">
        <is>
          <t>adjacent_normalized_response_anatomy_only</t>
        </is>
      </c>
      <c r="H67" s="2" t="inlineStr">
        <is>
          <t>all_shared</t>
        </is>
      </c>
      <c r="I67" s="2" t="inlineStr">
        <is>
          <t>T2_public_lab_standard_or_physics</t>
        </is>
      </c>
      <c r="J67" s="2" t="inlineStr">
        <is>
          <t>direct</t>
        </is>
      </c>
      <c r="K67" s="2" t="inlineStr">
        <is>
          <t>partial</t>
        </is>
      </c>
      <c r="L67" s="2" t="inlineStr">
        <is>
          <t>2024 USD/kWdc utility-PV installed and value rows</t>
        </is>
      </c>
      <c r="M67" s="2" t="inlineStr">
        <is>
          <t>Repository-current reference-value reconciliation</t>
        </is>
      </c>
      <c r="N67" s="2" t="inlineStr">
        <is>
          <t>Site appraisal, architecture-specific BOM, vulnerability or exposed fraction</t>
        </is>
      </c>
      <c r="O67" s="2" t="inlineStr">
        <is>
          <t>retain_as_adjacent_or_T4_context</t>
        </is>
      </c>
      <c r="P67" s="2" t="inlineStr">
        <is>
          <t>reviewed</t>
        </is>
      </c>
      <c r="Q67" s="2" t="inlineStr">
        <is>
          <t>RETAINED_FOR_VALUE_ONLY</t>
        </is>
      </c>
    </row>
    <row r="68">
      <c r="A68" s="2" t="inlineStr">
        <is>
          <t>VALUE_SOLAR_WORKBOOK</t>
        </is>
      </c>
      <c r="B68" s="2" t="inlineStr">
        <is>
          <t>damage_modeling/docs/method/value_basis/solar_wind_value_breakdown.xlsx.</t>
        </is>
      </c>
      <c r="C68" s="2" t="inlineStr">
        <is>
          <t>https://data.nlr.gov/submissions/304</t>
        </is>
      </c>
      <c r="D68" s="2" t="inlineStr">
        <is>
          <t>2026-07-12</t>
        </is>
      </c>
      <c r="E68" s="2" t="inlineStr">
        <is>
          <t>Solar_Map rows 2–17</t>
        </is>
      </c>
      <c r="F68" s="2" t="inlineStr">
        <is>
          <t>internal governed derivation</t>
        </is>
      </c>
      <c r="G68" s="2" t="inlineStr">
        <is>
          <t>adjacent_normalized_response_anatomy_only</t>
        </is>
      </c>
      <c r="H68" s="2" t="inlineStr">
        <is>
          <t>all_shared</t>
        </is>
      </c>
      <c r="I68" s="2" t="inlineStr">
        <is>
          <t>T2_public_lab_standard_or_physics</t>
        </is>
      </c>
      <c r="J68" s="2" t="inlineStr">
        <is>
          <t>direct</t>
        </is>
      </c>
      <c r="K68" s="2" t="inlineStr">
        <is>
          <t>partial</t>
        </is>
      </c>
      <c r="L68" s="2" t="inlineStr">
        <is>
          <t>2024 USD/kWdc row-level direct, support and excluded values</t>
        </is>
      </c>
      <c r="M68" s="2" t="inlineStr">
        <is>
          <t>Reference denominator and row mapping</t>
        </is>
      </c>
      <c r="N68" s="2" t="inlineStr">
        <is>
          <t>Implicit site value, at-risk fraction or fragility</t>
        </is>
      </c>
      <c r="O68" s="2" t="inlineStr">
        <is>
          <t>retain_as_adjacent_or_T4_context</t>
        </is>
      </c>
      <c r="P68" s="2" t="inlineStr">
        <is>
          <t>reviewed</t>
        </is>
      </c>
      <c r="Q68" s="2" t="inlineStr">
        <is>
          <t>RETAINED_FOR_REFERENCE_ONLY</t>
        </is>
      </c>
    </row>
    <row r="69">
      <c r="A69" s="2" t="inlineStr">
        <is>
          <t>LEGACY_SWS_V1</t>
        </is>
      </c>
      <c r="B69" s="2" t="inlineStr">
        <is>
          <t>Current canonical strong_wind_solar model v1.0/docs r3 artifact and workbook.</t>
        </is>
      </c>
      <c r="C69" s="2" t="inlineStr"/>
      <c r="D69" s="2" t="inlineStr">
        <is>
          <t>2026-07-12</t>
        </is>
      </c>
      <c r="E69" s="2" t="inlineStr">
        <is>
          <t>docs/cells/strong_wind_solar/current/</t>
        </is>
      </c>
      <c r="F69" s="2" t="inlineStr">
        <is>
          <t>legacy implementation audit</t>
        </is>
      </c>
      <c r="G69" s="2" t="inlineStr">
        <is>
          <t>adjacent_normalized_response_anatomy_only</t>
        </is>
      </c>
      <c r="H69" s="2" t="inlineStr">
        <is>
          <t>all_shared</t>
        </is>
      </c>
      <c r="I69" s="2" t="inlineStr">
        <is>
          <t>T4_placeholder_or_expert_judgment</t>
        </is>
      </c>
      <c r="J69" s="2" t="inlineStr">
        <is>
          <t>direct</t>
        </is>
      </c>
      <c r="K69" s="2" t="inlineStr">
        <is>
          <t>partial</t>
        </is>
      </c>
      <c r="L69" s="2" t="inlineStr">
        <is>
          <t>gust mph, effective demand ratio, five logistics and value shares</t>
        </is>
      </c>
      <c r="M69" s="2" t="inlineStr">
        <is>
          <t>Exact legacy reproduction and migration comparison</t>
        </is>
      </c>
      <c r="N69" s="2" t="inlineStr">
        <is>
          <t>Scientific calibration for v2</t>
        </is>
      </c>
      <c r="O69" s="2" t="inlineStr">
        <is>
          <t>retain_as_adjacent_or_T4_context</t>
        </is>
      </c>
      <c r="P69" s="2" t="inlineStr">
        <is>
          <t>reviewed</t>
        </is>
      </c>
      <c r="Q69" s="2" t="inlineStr">
        <is>
          <t>REJECTED_FOR_CALIBRATION</t>
        </is>
      </c>
    </row>
    <row r="70">
      <c r="A70" s="2" t="inlineStr">
        <is>
          <t>SHARED_SOLAR_WIND_PROXY_V0_1</t>
        </is>
      </c>
      <c r="B70" s="2" t="inlineStr">
        <is>
          <t>Damage Modeling shared solar-wind normalized-response candidate profile v0.1.</t>
        </is>
      </c>
      <c r="C70" s="2" t="inlineStr">
        <is>
          <t>docs/method/shared_components/solar_wind_normalized_response/candidate_response_profile_v0_1.json</t>
        </is>
      </c>
      <c r="D70" s="2" t="inlineStr">
        <is>
          <t>2026-07-29</t>
        </is>
      </c>
      <c r="E70" s="2" t="inlineStr">
        <is>
          <t>complete non-runtime candidate profile</t>
        </is>
      </c>
      <c r="F70" s="2" t="inlineStr">
        <is>
          <t>internal governed synthetic scenario substrate</t>
        </is>
      </c>
      <c r="G70" s="2" t="inlineStr">
        <is>
          <t>audit_comparison_profile_only</t>
        </is>
      </c>
      <c r="H70" s="2" t="inlineStr">
        <is>
          <t>all_shared</t>
        </is>
      </c>
      <c r="I70" s="2" t="inlineStr">
        <is>
          <t>T4_placeholder_or_expert_judgment</t>
        </is>
      </c>
      <c r="J70" s="2" t="inlineStr">
        <is>
          <t>direct</t>
        </is>
      </c>
      <c r="K70" s="2" t="inlineStr">
        <is>
          <t>direct</t>
        </is>
      </c>
      <c r="L70" s="2" t="inlineStr">
        <is>
          <t>unweighted normalized-demand state-response envelope</t>
        </is>
      </c>
      <c r="M70" s="2" t="inlineStr">
        <is>
          <t>Compare cell-local synthetic parameters against a hazard-label-neutral solar fingerprint after adoption.</t>
        </is>
      </c>
      <c r="N70" s="2" t="inlineStr">
        <is>
          <t>Call the values field-calibrated, hurricane-calibrated, conservative, probabilistic, or runtime approved.</t>
        </is>
      </c>
      <c r="O70" s="2" t="inlineStr">
        <is>
          <t>retain_audit_only</t>
        </is>
      </c>
      <c r="P70" s="2" t="inlineStr">
        <is>
          <t>reviewed_nonruntime</t>
        </is>
      </c>
      <c r="Q70" s="2" t="inlineStr">
        <is>
          <t>Standard 20 prohibits this candidate from populating an output-bearing cell bundle.</t>
        </is>
      </c>
    </row>
    <row r="71">
      <c r="A71" s="2" t="inlineStr">
        <is>
          <t>TCWS2_CELL_LOCAL_SYNTHETIC_DECISION</t>
        </is>
      </c>
      <c r="B71" s="2" t="inlineStr">
        <is>
          <t>Damage Modeling owner decision: TC-wind x solar model-v2 cell-local synthetic parameter set.</t>
        </is>
      </c>
      <c r="C71" s="2" t="inlineStr">
        <is>
          <t>docs/cells/tropical_cyclone_wind_solar/proposed/DECISION_LOG_tropical_cyclone_wind_solar__model_v2_0__docs_r1.md</t>
        </is>
      </c>
      <c r="D71" s="2" t="inlineStr">
        <is>
          <t>2026-07-29</t>
        </is>
      </c>
      <c r="E71" s="2" t="inlineStr">
        <is>
          <t>TCWS2-D001; TCWS2-D003 through TCWS2-D007</t>
        </is>
      </c>
      <c r="F71" s="2" t="inlineStr">
        <is>
          <t>governed owner assumption decision</t>
        </is>
      </c>
      <c r="G71" s="2" t="inlineStr">
        <is>
          <t>cell_local_synthetic_parameter_authority</t>
        </is>
      </c>
      <c r="H71" s="2" t="inlineStr">
        <is>
          <t>tropical_cyclone_wind</t>
        </is>
      </c>
      <c r="I71" s="2" t="inlineStr">
        <is>
          <t>T4_placeholder_or_expert_judgment</t>
        </is>
      </c>
      <c r="J71" s="2" t="inlineStr">
        <is>
          <t>direct</t>
        </is>
      </c>
      <c r="K71" s="2" t="inlineStr">
        <is>
          <t>direct</t>
        </is>
      </c>
      <c r="L71" s="2" t="inlineStr">
        <is>
          <t>owner-adopted unweighted normalized-demand state/DR scenarios</t>
        </is>
      </c>
      <c r="M71" s="2" t="inlineStr">
        <is>
          <t>Use the exact registered values only in this noncanonical v2 cell proposal.</t>
        </is>
      </c>
      <c r="N71" s="2" t="inlineStr">
        <is>
          <t>Treat the decision as evidence, calibration, shared-runtime approval, or authority for another cell.</t>
        </is>
      </c>
      <c r="O71" s="2" t="inlineStr">
        <is>
          <t>adopt_cell_local_synthetic_T4</t>
        </is>
      </c>
      <c r="P71" s="2" t="inlineStr">
        <is>
          <t>reviewed_noncanonical</t>
        </is>
      </c>
      <c r="Q71" s="2" t="inlineStr">
        <is>
          <t>Byte-equal comparison to the audit profile is intentional but is not a runtime dependency.</t>
        </is>
      </c>
    </row>
    <row r="72">
      <c r="A72" s="2" t="inlineStr">
        <is>
          <t>NO_DIRECT_TC_CALIBRATION_SOURCE</t>
        </is>
      </c>
      <c r="B72" s="2" t="inlineStr">
        <is>
          <t>TC-wind x solar model-v2 bounded evidence review: no direct generic fixed/tracker calibration source adopted.</t>
        </is>
      </c>
      <c r="C72" s="2" t="inlineStr">
        <is>
          <t>docs/cells/tropical_cyclone_wind_solar/proposed/BOUNDED_EVIDENCE_SEARCH_LOG_tropical_cyclone_wind_solar__model_v2_0__docs_r1.md</t>
        </is>
      </c>
      <c r="D72" s="2" t="inlineStr">
        <is>
          <t>2026-07-29</t>
        </is>
      </c>
      <c r="E72" s="2" t="inlineStr">
        <is>
          <t>§ Missing matched chain; § v2 consequence</t>
        </is>
      </c>
      <c r="F72" s="2" t="inlineStr">
        <is>
          <t>governed negative evidence finding</t>
        </is>
      </c>
      <c r="G72" s="2" t="inlineStr">
        <is>
          <t>no_direct_calibration_marker</t>
        </is>
      </c>
      <c r="H72" s="2" t="inlineStr">
        <is>
          <t>tropical_cyclone_wind</t>
        </is>
      </c>
      <c r="I72" s="2" t="inlineStr">
        <is>
          <t>T4_placeholder_or_expert_judgment</t>
        </is>
      </c>
      <c r="J72" s="2" t="inlineStr">
        <is>
          <t>direct</t>
        </is>
      </c>
      <c r="K72" s="2" t="inlineStr">
        <is>
          <t>direct</t>
        </is>
      </c>
      <c r="L72" s="2" t="inlineStr">
        <is>
          <t>absence of an adopted matched TC demand-state-cost-value calibration</t>
        </is>
      </c>
      <c r="M72" s="2" t="inlineStr">
        <is>
          <t>Keep all generic numbers at Tier 4 and promotion blocked.</t>
        </is>
      </c>
      <c r="N72" s="2" t="inlineStr">
        <is>
          <t>Infer zero damage, immunity, or proof that no usable private evidence exists.</t>
        </is>
      </c>
      <c r="O72" s="2" t="inlineStr">
        <is>
          <t>withhold_calibration_claim</t>
        </is>
      </c>
      <c r="P72" s="2" t="inlineStr">
        <is>
          <t>reviewed</t>
        </is>
      </c>
      <c r="Q72" s="2" t="inlineStr">
        <is>
          <t>This marker is TC-specific and does not reuse the convective-wind negative-search record.</t>
        </is>
      </c>
    </row>
  </sheetData>
  <autoFilter ref="A1:Q7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5" customWidth="1" min="3" max="3"/>
    <col width="39" customWidth="1" min="4" max="4"/>
    <col width="55" customWidth="1" min="5" max="5"/>
    <col width="55" customWidth="1" min="6" max="6"/>
    <col width="44" customWidth="1" min="7" max="7"/>
    <col width="52" customWidth="1" min="8" max="8"/>
    <col width="29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s="2" t="inlineStr">
        <is>
          <t>TCWS-C001</t>
        </is>
      </c>
      <c r="B2" s="2" t="inlineStr">
        <is>
          <t>tropical_cyclone_wind</t>
        </is>
      </c>
      <c r="C2" s="2" t="inlineStr">
        <is>
          <t>Tropical-cyclone wind requires its own solar pathway and cannot fall back to the straight-line-convective solar model.</t>
        </is>
      </c>
      <c r="D2" s="2" t="inlineStr">
        <is>
          <t>governance_decision</t>
        </is>
      </c>
      <c r="E2" s="2" t="inlineStr">
        <is>
          <t>TCWS-S015;GOVERNANCE_CONTRACT</t>
        </is>
      </c>
      <c r="F2" s="2" t="inlineStr">
        <is>
          <t>strong_wind_solar neighboring-wind boundary; pathway and event-identity standards</t>
        </is>
      </c>
      <c r="G2" s="2" t="inlineStr">
        <is>
          <t>T3_engineering_proxy_or_adjacent_empirical</t>
        </is>
      </c>
      <c r="H2" s="2" t="inlineStr">
        <is>
          <t>pathway_id=tropical_cyclone_wind</t>
        </is>
      </c>
      <c r="I2" s="2" t="inlineStr">
        <is>
          <t>adopt</t>
        </is>
      </c>
      <c r="J2" s="2" t="inlineStr">
        <is>
          <t>Reuse governed solar anatomy, terminology, and value lineage after a new transfer review.</t>
        </is>
      </c>
      <c r="K2" s="2" t="inlineStr">
        <is>
          <t>Reuse a convective curve, axis, downburst profile, or numeric parameter because both pathways involve wind.</t>
        </is>
      </c>
      <c r="L2" s="2" t="inlineStr">
        <is>
          <t>Storm duration, direction history, profile, turbulence, debris environment, and control opportunity differ and remain load-bearing.</t>
        </is>
      </c>
      <c r="M2" s="2" t="inlineStr">
        <is>
          <t>A reviewed equivalence study passes all pathway and endpoint gates.</t>
        </is>
      </c>
    </row>
    <row r="3">
      <c r="A3" s="2" t="inlineStr">
        <is>
          <t>TCWS-C002</t>
        </is>
      </c>
      <c r="B3" s="2" t="inlineStr">
        <is>
          <t>tropical_cyclone_wind</t>
        </is>
      </c>
      <c r="C3" s="2" t="inlineStr">
        <is>
          <t>NHC maximum sustained surface wind is the highest one-minute average wind at 10 m in unobstructed exposure.</t>
        </is>
      </c>
      <c r="D3" s="2" t="inlineStr">
        <is>
          <t>direct_observation</t>
        </is>
      </c>
      <c r="E3" s="2" t="inlineStr">
        <is>
          <t>TCWS-S001</t>
        </is>
      </c>
      <c r="F3" s="2" t="inlineStr">
        <is>
          <t>NHC glossary entry: Maximum Sustained Surface Wind</t>
        </is>
      </c>
      <c r="G3" s="2" t="inlineStr">
        <is>
          <t>T2_public_lab_standard_or_physics</t>
        </is>
      </c>
      <c r="H3" s="2" t="inlineStr">
        <is>
          <t>source_native_axis_semantics</t>
        </is>
      </c>
      <c r="I3" s="2" t="inlineStr">
        <is>
          <t>adopt</t>
        </is>
      </c>
      <c r="J3" s="2" t="inlineStr">
        <is>
          <t>Label the upstream storm-field quantity and retain its source product, valid time, height, averaging period, and exposure convention.</t>
        </is>
      </c>
      <c r="K3" s="2" t="inlineStr">
        <is>
          <t>Treat it as array-height 3-second gust, tracker-normal wind, net pressure, or damage demand.</t>
        </is>
      </c>
      <c r="L3" s="2" t="inlineStr">
        <is>
          <t>The official source defines the storm quantity but supplies no universal site or array bridge.</t>
        </is>
      </c>
      <c r="M3" s="2" t="inlineStr">
        <is>
          <t>NHC changes the definition or a governed upstream product supplies a different exact convention.</t>
        </is>
      </c>
    </row>
    <row r="4">
      <c r="A4" s="2" t="inlineStr">
        <is>
          <t>TCWS-C003</t>
        </is>
      </c>
      <c r="B4" s="2" t="inlineStr">
        <is>
          <t>tropical_cyclone_wind</t>
        </is>
      </c>
      <c r="C4" s="2" t="inlineStr">
        <is>
          <t>The runtime damage axis is withheld at scaffold stage.</t>
        </is>
      </c>
      <c r="D4" s="2" t="inlineStr">
        <is>
          <t>governance_decision</t>
        </is>
      </c>
      <c r="E4" s="2" t="inlineStr">
        <is>
          <t>TCWS-S001;TCWS-S002;TCWS-S005;TCWS-S010;TCWS-S011;GOVERNANCE_CONTRACT</t>
        </is>
      </c>
      <c r="F4" s="2" t="inlineStr">
        <is>
          <t>native-axis definitions and transfer limits; runtime gate</t>
        </is>
      </c>
      <c r="G4" s="2" t="inlineStr">
        <is>
          <t>T3_engineering_proxy_or_adjacent_empirical</t>
        </is>
      </c>
      <c r="H4" s="2" t="inlineStr">
        <is>
          <t>runtime_axis_status</t>
        </is>
      </c>
      <c r="I4" s="2" t="inlineStr">
        <is>
          <t>historical_scope_only</t>
        </is>
      </c>
      <c r="J4" s="2" t="inlineStr">
        <is>
          <t>Preserve source-native axes and document architecture-specific bridge requirements.</t>
        </is>
      </c>
      <c r="K4" s="2" t="inlineStr">
        <is>
          <t>Publish a silent one-minute-to-three-second, height, terrain, direction, pressure, or Ucrit conversion.</t>
        </is>
      </c>
      <c r="L4" s="2" t="inlineStr">
        <is>
          <t>Available sources use different storm, local gust, pressure, and exact-system instability quantities. Consolidated v2 register: prior-version conclusion is scoped/superseded by TCWS2-C002/008/009; the underlying evidence limitation is retained.</t>
        </is>
      </c>
      <c r="M4" s="2" t="inlineStr">
        <is>
          <t>A qualified event-to-local-demand bridge and matching damage evidence pass review.</t>
        </is>
      </c>
    </row>
    <row r="5">
      <c r="A5" s="2" t="inlineStr">
        <is>
          <t>TCWS-C004</t>
        </is>
      </c>
      <c r="B5" s="2" t="inlineStr">
        <is>
          <t>tropical_cyclone_wind</t>
        </is>
      </c>
      <c r="C5" s="2" t="inlineStr">
        <is>
          <t>Height, averaging period, terrain/exposure, topography, direction history, duration, array zone, and windborne-debris context are load-bearing tropical-cyclone wind descriptors.</t>
        </is>
      </c>
      <c r="D5" s="2" t="inlineStr">
        <is>
          <t>source_interpretation</t>
        </is>
      </c>
      <c r="E5" s="2" t="inlineStr">
        <is>
          <t>TCWS-S001;TCWS-S004;TCWS-S005;TCWS-S006;TCWS-S010;TCWS-S012</t>
        </is>
      </c>
      <c r="F5" s="2" t="inlineStr">
        <is>
          <t>NHC definition; St. Croix mechanisms; design and experimental source scopes</t>
        </is>
      </c>
      <c r="G5" s="2" t="inlineStr">
        <is>
          <t>T2_public_lab_standard_or_physics</t>
        </is>
      </c>
      <c r="H5" s="2" t="inlineStr">
        <is>
          <t>event_to_local_demand_fields</t>
        </is>
      </c>
      <c r="I5" s="2" t="inlineStr">
        <is>
          <t>adopt</t>
        </is>
      </c>
      <c r="J5" s="2" t="inlineStr">
        <is>
          <t>Require or preserve the descriptors in a future bridge and keep unsupported effects explicit.</t>
        </is>
      </c>
      <c r="K5" s="2" t="inlineStr">
        <is>
          <t>Collapse the descriptors to storm category or apply universal modifiers.</t>
        </is>
      </c>
      <c r="L5" s="2" t="inlineStr">
        <is>
          <t>The source evidence changes demand and failure mechanisms with site, direction, duration, row, geometry, and debris conditions without calibrating one transferable modifier.</t>
        </is>
      </c>
      <c r="M5" s="2" t="inlineStr">
        <is>
          <t>A validated reduced-order TC demand model supersedes individual fields.</t>
        </is>
      </c>
    </row>
    <row r="6">
      <c r="A6" s="2" t="inlineStr">
        <is>
          <t>TCWS-C005</t>
        </is>
      </c>
      <c r="B6" s="2" t="inlineStr">
        <is>
          <t>tropical_cyclone_wind</t>
        </is>
      </c>
      <c r="C6" s="2" t="inlineStr">
        <is>
          <t>Ground-mounted fixed-tilt and single-axis-tracker arrays require separate architecture routes.</t>
        </is>
      </c>
      <c r="D6" s="2" t="inlineStr">
        <is>
          <t>source_interpretation</t>
        </is>
      </c>
      <c r="E6" s="2" t="inlineStr">
        <is>
          <t>TCWS-S005;TCWS-S006;TCWS-S007;TCWS-S010;TCWS-S011;TCWS-S012</t>
        </is>
      </c>
      <c r="F6" s="2" t="inlineStr">
        <is>
          <t>ASCE fixed-tilt provisions; FM §§2.1.2.1–2.1.2.4; tracker qualification and aeroelastic studies</t>
        </is>
      </c>
      <c r="G6" s="2" t="inlineStr">
        <is>
          <t>T2_public_lab_standard_or_physics</t>
        </is>
      </c>
      <c r="H6" s="2" t="inlineStr">
        <is>
          <t>array_architecture_selector</t>
        </is>
      </c>
      <c r="I6" s="2" t="inlineStr">
        <is>
          <t>adopt</t>
        </is>
      </c>
      <c r="J6" s="2" t="inlineStr">
        <is>
          <t>Require an explicit architecture and develop architecture-specific demand and failure-unit evidence.</t>
        </is>
      </c>
      <c r="K6" s="2" t="inlineStr">
        <is>
          <t>Use one generic ground-mount curve or transfer fixed-tilt coefficients, tracker Ucrit, or stow behavior across architectures.</t>
        </is>
      </c>
      <c r="L6" s="2" t="inlineStr">
        <is>
          <t>Rigid pressure response and tracker aeroelastic/control behavior are distinct mechanisms.</t>
        </is>
      </c>
      <c r="M6" s="2" t="inlineStr">
        <is>
          <t>A formal equivalence study supports a shared record.</t>
        </is>
      </c>
    </row>
    <row r="7">
      <c r="A7" s="2" t="inlineStr">
        <is>
          <t>TCWS-C006</t>
        </is>
      </c>
      <c r="B7" s="2" t="inlineStr">
        <is>
          <t>tropical_cyclone_wind</t>
        </is>
      </c>
      <c r="C7" s="2" t="inlineStr">
        <is>
          <t>Ceferino et al. analyze 14 large Caribbean ground-mounted sites and define extensive failure as clip or racking failure in more than 50 percent of panels.</t>
        </is>
      </c>
      <c r="D7" s="2" t="inlineStr">
        <is>
          <t>direct_observation</t>
        </is>
      </c>
      <c r="E7" s="2" t="inlineStr">
        <is>
          <t>TCWS-S002</t>
        </is>
      </c>
      <c r="F7" s="2" t="inlineStr">
        <is>
          <t>§2.1 and Table 1 pp. 2–3; Eq. 1 and §3.1 p. 4</t>
        </is>
      </c>
      <c r="G7" s="2" t="inlineStr">
        <is>
          <t>T1_claims_or_field_calibrated</t>
        </is>
      </c>
      <c r="H7" s="2" t="inlineStr">
        <is>
          <t>ceferino_source_native_endpoint</t>
        </is>
      </c>
      <c r="I7" s="2" t="inlineStr">
        <is>
          <t>adopt_audit_only</t>
        </is>
      </c>
      <c r="J7" s="2" t="inlineStr">
        <is>
          <t>Describe and reproduce the source-native site-level extensive-structural-failure probability candidate.</t>
        </is>
      </c>
      <c r="K7" s="2" t="inlineStr">
        <is>
          <t>Call the endpoint module DR, rack DR, whole-site DR, total loss, or repair-cost ratio.</t>
        </is>
      </c>
      <c r="L7" s="2" t="inlineStr">
        <is>
          <t>The paper's atom and endpoint are a composite site limit state, not a failure-unit economic consequence.</t>
        </is>
      </c>
      <c r="M7" s="2" t="inlineStr">
        <is>
          <t>Authors release a failure-unit disposition and same-unit cost crosswalk.</t>
        </is>
      </c>
    </row>
    <row r="8">
      <c r="A8" s="2" t="inlineStr">
        <is>
          <t>TCWS-C007</t>
        </is>
      </c>
      <c r="B8" s="2" t="inlineStr">
        <is>
          <t>tropical_cyclone_wind</t>
        </is>
      </c>
      <c r="C8" s="2" t="inlineStr">
        <is>
          <t>Five of the 14 Ceferino ground-mounted sites had significant failure; failures began at reconstructed gusts near 83 m/s and the mean reconstructed gust among failed sites was about 91 m/s.</t>
        </is>
      </c>
      <c r="D8" s="2" t="inlineStr">
        <is>
          <t>direct_observation</t>
        </is>
      </c>
      <c r="E8" s="2" t="inlineStr">
        <is>
          <t>TCWS-S002</t>
        </is>
      </c>
      <c r="F8" s="2" t="inlineStr">
        <is>
          <t>§2.1 pp. 2–3 and §2.2 pp. 3–4</t>
        </is>
      </c>
      <c r="G8" s="2" t="inlineStr">
        <is>
          <t>T1_claims_or_field_calibrated</t>
        </is>
      </c>
      <c r="H8" s="2" t="inlineStr">
        <is>
          <t>ceferino_field_observations</t>
        </is>
      </c>
      <c r="I8" s="2" t="inlineStr">
        <is>
          <t>adopt_audit_only</t>
        </is>
      </c>
      <c r="J8" s="2" t="inlineStr">
        <is>
          <t>Use as a small-sample source-native consistency check.</t>
        </is>
      </c>
      <c r="K8" s="2" t="inlineStr">
        <is>
          <t>Treat 83 m/s as a universal onset or 91 m/s as a capacity threshold.</t>
        </is>
      </c>
      <c r="L8" s="2" t="inlineStr">
        <is>
          <t>The observations are sparse, site-composite, and based on reconstructed rather than instrumented local gusts.</t>
        </is>
      </c>
      <c r="M8" s="2" t="inlineStr">
        <is>
          <t>A larger architecture-labeled field dataset with local demand becomes available.</t>
        </is>
      </c>
    </row>
    <row r="9">
      <c r="A9" s="2" t="inlineStr">
        <is>
          <t>TCWS-C008</t>
        </is>
      </c>
      <c r="B9" s="2" t="inlineStr">
        <is>
          <t>tropical_cyclone_wind</t>
        </is>
      </c>
      <c r="C9" s="2" t="inlineStr">
        <is>
          <t>Ceferino's ground-mounted posterior summaries have median v about 90 m/s and median beta about 0.15; reported posterior standard deviations are about 6 m/s and 0.07, and the mean posterior fragility rises from 10 to 90 percent over about 73 to 116 m/s.</t>
        </is>
      </c>
      <c r="D9" s="2" t="inlineStr">
        <is>
          <t>direct_observation</t>
        </is>
      </c>
      <c r="E9" s="2" t="inlineStr">
        <is>
          <t>TCWS-S002</t>
        </is>
      </c>
      <c r="F9" s="2" t="inlineStr">
        <is>
          <t>§4.2 and Figs. 5c/5d/6b p. 7</t>
        </is>
      </c>
      <c r="G9" s="2" t="inlineStr">
        <is>
          <t>T1_claims_or_field_calibrated</t>
        </is>
      </c>
      <c r="H9" s="2" t="inlineStr">
        <is>
          <t>ceferino_posterior_candidate</t>
        </is>
      </c>
      <c r="I9" s="2" t="inlineStr">
        <is>
          <t>defer_candidate_only</t>
        </is>
      </c>
      <c r="J9" s="2" t="inlineStr">
        <is>
          <t>Preserve the summaries in the numerical candidate audit on the paper's reconstructed 3-second-gust axis.</t>
        </is>
      </c>
      <c r="K9" s="2" t="inlineStr">
        <is>
          <t>Promote the numbers into a runtime DR curve, reinterpret beta as economic severity spread, or transfer them to a named fixed-tilt or tracker design.</t>
        </is>
      </c>
      <c r="L9" s="2" t="inlineStr">
        <is>
          <t>The posterior characterizes site-level extensive structural failure probability for the source population only.</t>
        </is>
      </c>
      <c r="M9" s="2" t="inlineStr">
        <is>
          <t>A transfer-qualified failure-unit and consequence bridge passes review.</t>
        </is>
      </c>
    </row>
    <row r="10">
      <c r="A10" s="2" t="inlineStr">
        <is>
          <t>TCWS-C009</t>
        </is>
      </c>
      <c r="B10" s="2" t="inlineStr">
        <is>
          <t>tropical_cyclone_wind</t>
        </is>
      </c>
      <c r="C10" s="2" t="inlineStr">
        <is>
          <t>A deterministic lognormal curve built from Ceferino's posterior medians is not the paper's posterior-mean fragility curve.</t>
        </is>
      </c>
      <c r="D10" s="2" t="inlineStr">
        <is>
          <t>source_interpretation</t>
        </is>
      </c>
      <c r="E10" s="2" t="inlineStr">
        <is>
          <t>TCWS-S002</t>
        </is>
      </c>
      <c r="F10" s="2" t="inlineStr">
        <is>
          <t>Bayesian method and §4.2 posterior integration</t>
        </is>
      </c>
      <c r="G10" s="2" t="inlineStr">
        <is>
          <t>T1_claims_or_field_calibrated</t>
        </is>
      </c>
      <c r="H10" s="2" t="inlineStr">
        <is>
          <t>posterior_uncertainty_rule</t>
        </is>
      </c>
      <c r="I10" s="2" t="inlineStr">
        <is>
          <t>adopt</t>
        </is>
      </c>
      <c r="J10" s="2" t="inlineStr">
        <is>
          <t>Retain posterior uncertainty and distinguish parameter-summary diagnostics from posterior integration.</t>
        </is>
      </c>
      <c r="K10" s="2" t="inlineStr">
        <is>
          <t>Label a median-parameter plug-in curve as the published posterior mean or ignore uncertainty from the 14-site sample.</t>
        </is>
      </c>
      <c r="L10" s="2" t="inlineStr">
        <is>
          <t>The paper integrates fragility over posterior parameter samples; nonlinear averaging does not equal plugging in marginal medians.</t>
        </is>
      </c>
      <c r="M10" s="2" t="inlineStr">
        <is>
          <t>Authors publish an authoritative deterministic reduction or full posterior artifact.</t>
        </is>
      </c>
    </row>
    <row r="11">
      <c r="A11" s="2" t="inlineStr">
        <is>
          <t>TCWS-C010</t>
        </is>
      </c>
      <c r="B11" s="2" t="inlineStr">
        <is>
          <t>tropical_cyclone_wind</t>
        </is>
      </c>
      <c r="C11" s="2" t="inlineStr">
        <is>
          <t>Ceferino does not support a fixed-tilt-versus-tracker split or component-level curve decomposition.</t>
        </is>
      </c>
      <c r="D11" s="2" t="inlineStr">
        <is>
          <t>source_interpretation</t>
        </is>
      </c>
      <c r="E11" s="2" t="inlineStr">
        <is>
          <t>TCWS-S002</t>
        </is>
      </c>
      <c r="F11" s="2" t="inlineStr">
        <is>
          <t>Table 1 fields and §3.1 limit-state definition</t>
        </is>
      </c>
      <c r="G11" s="2" t="inlineStr">
        <is>
          <t>T1_claims_or_field_calibrated</t>
        </is>
      </c>
      <c r="H11" s="2" t="inlineStr">
        <is>
          <t>ceferino_transfer_limit</t>
        </is>
      </c>
      <c r="I11" s="2" t="inlineStr">
        <is>
          <t>adopt</t>
        </is>
      </c>
      <c r="J11" s="2" t="inlineStr">
        <is>
          <t>Keep the source candidate at generic large ground-mounted site grain.</t>
        </is>
      </c>
      <c r="K11" s="2" t="inlineStr">
        <is>
          <t>Assign separate fixed-tilt, tracker, module, support, foundation, or electrical parameters from this study.</t>
        </is>
      </c>
      <c r="L11" s="2" t="inlineStr">
        <is>
          <t>The reported site table lacks the architecture and component-disposition fields needed for those splits.</t>
        </is>
      </c>
      <c r="M11" s="2" t="inlineStr">
        <is>
          <t>Architecture and component records for the 14 sites are released and validated.</t>
        </is>
      </c>
    </row>
    <row r="12">
      <c r="A12" s="2" t="inlineStr">
        <is>
          <t>TCWS-C011</t>
        </is>
      </c>
      <c r="B12" s="2" t="inlineStr">
        <is>
          <t>tropical_cyclone_wind</t>
        </is>
      </c>
      <c r="C12" s="2" t="inlineStr">
        <is>
          <t>Ceferino's observed structural failures included cascading damage and debris from failed panels.</t>
        </is>
      </c>
      <c r="D12" s="2" t="inlineStr">
        <is>
          <t>direct_observation</t>
        </is>
      </c>
      <c r="E12" s="2" t="inlineStr">
        <is>
          <t>TCWS-S002</t>
        </is>
      </c>
      <c r="F12" s="2" t="inlineStr">
        <is>
          <t>§2.1 pp. 2–3</t>
        </is>
      </c>
      <c r="G12" s="2" t="inlineStr">
        <is>
          <t>T1_claims_or_field_calibrated</t>
        </is>
      </c>
      <c r="H12" s="2" t="inlineStr">
        <is>
          <t>wind_and_debris_mechanism_boundary</t>
        </is>
      </c>
      <c r="I12" s="2" t="inlineStr">
        <is>
          <t>adopt_with_limits</t>
        </is>
      </c>
      <c r="J12" s="2" t="inlineStr">
        <is>
          <t>Preserve debris/cascade context when auditing the field fragility.</t>
        </is>
      </c>
      <c r="K12" s="2" t="inlineStr">
        <is>
          <t>Call the candidate a clean aerodynamic-pressure-only response or separately price debris loss from the same observations.</t>
        </is>
      </c>
      <c r="L12" s="2" t="inlineStr">
        <is>
          <t>The source-native observations combine mechanisms and do not identify their separate causal shares.</t>
        </is>
      </c>
      <c r="M12" s="2" t="inlineStr">
        <is>
          <t>Matched event inspections isolate pressure, impact, and consequential damage.</t>
        </is>
      </c>
    </row>
    <row r="13">
      <c r="A13" s="2" t="inlineStr">
        <is>
          <t>TCWS-C012</t>
        </is>
      </c>
      <c r="B13" s="2" t="inlineStr">
        <is>
          <t>tropical_cyclone_wind</t>
        </is>
      </c>
      <c r="C13" s="2" t="inlineStr">
        <is>
          <t>Perry et al. reviewed 1,534 mixed residential, commercial, and utility PV sites after Hurricanes Irma and Maria; 17 percent had visible damage and 2.8 percent had more than 50 percent visible damage.</t>
        </is>
      </c>
      <c r="D13" s="2" t="inlineStr">
        <is>
          <t>direct_observation</t>
        </is>
      </c>
      <c r="E13" s="2" t="inlineStr">
        <is>
          <t>TCWS-S003</t>
        </is>
      </c>
      <c r="F13" s="2" t="inlineStr">
        <is>
          <t>abstract p. 1012; §3.1 and Table 2 pp. 1016–1018</t>
        </is>
      </c>
      <c r="G13" s="2" t="inlineStr">
        <is>
          <t>T1_claims_or_field_calibrated</t>
        </is>
      </c>
      <c r="H13" s="2" t="inlineStr">
        <is>
          <t>perry_remote_sensing_statistics</t>
        </is>
      </c>
      <c r="I13" s="2" t="inlineStr">
        <is>
          <t>adopt_audit_only</t>
        </is>
      </c>
      <c r="J13" s="2" t="inlineStr">
        <is>
          <t>Use as a broad field prevalence and imagery-method constraint.</t>
        </is>
      </c>
      <c r="K13" s="2" t="inlineStr">
        <is>
          <t>Fit a utility-scale ground-mounted fragility or economic DR from the aggregate percentages.</t>
        </is>
      </c>
      <c r="L13" s="2" t="inlineStr">
        <is>
          <t>The sample mixes asset classes and the reported endpoint is visible module-area damage, not a separately calibrated target-asset loss state.</t>
        </is>
      </c>
      <c r="M13" s="2" t="inlineStr">
        <is>
          <t>The authors release a utility-scale ground-mounted subset with architecture, demand, inspection, and cost fields.</t>
        </is>
      </c>
    </row>
    <row r="14">
      <c r="A14" s="2" t="inlineStr">
        <is>
          <t>TCWS-C013</t>
        </is>
      </c>
      <c r="B14" s="2" t="inlineStr">
        <is>
          <t>tropical_cyclone_wind</t>
        </is>
      </c>
      <c r="C14" s="2" t="inlineStr">
        <is>
          <t>Perry et al. found only a weak damage relationship with estimated maximum gust and documented strong installation/site heterogeneity.</t>
        </is>
      </c>
      <c r="D14" s="2" t="inlineStr">
        <is>
          <t>direct_observation</t>
        </is>
      </c>
      <c r="E14" s="2" t="inlineStr">
        <is>
          <t>TCWS-S003</t>
        </is>
      </c>
      <c r="F14" s="2" t="inlineStr">
        <is>
          <t>Figs. 4–5 pp. 1016–1018; Discussion pp. 1021–1022</t>
        </is>
      </c>
      <c r="G14" s="2" t="inlineStr">
        <is>
          <t>T1_claims_or_field_calibrated</t>
        </is>
      </c>
      <c r="H14" s="2" t="inlineStr">
        <is>
          <t>installation_and_site_heterogeneity</t>
        </is>
      </c>
      <c r="I14" s="2" t="inlineStr">
        <is>
          <t>adopt</t>
        </is>
      </c>
      <c r="J14" s="2" t="inlineStr">
        <is>
          <t>Require mounting, installation, site, and local-demand descriptors in future field calibration.</t>
        </is>
      </c>
      <c r="K14" s="2" t="inlineStr">
        <is>
          <t>Use gust alone as a sufficient universal predictor or infer a portable threshold from paired sites.</t>
        </is>
      </c>
      <c r="L14" s="2" t="inlineStr">
        <is>
          <t>The field evidence shows materially different damage at nearby sites and identifies installation details as consequential but often proprietary.</t>
        </is>
      </c>
      <c r="M14" s="2" t="inlineStr">
        <is>
          <t>A matched multivariate population dataset supports a reduced selector set.</t>
        </is>
      </c>
    </row>
    <row r="15">
      <c r="A15" s="2" t="inlineStr">
        <is>
          <t>TCWS-C014</t>
        </is>
      </c>
      <c r="B15" s="2" t="inlineStr">
        <is>
          <t>tropical_cyclone_wind</t>
        </is>
      </c>
      <c r="C15" s="2" t="inlineStr">
        <is>
          <t>Perry's manual remote-sensing endpoint does not identify hidden electrical damage, component disposition, repair scope, or direct repair cost.</t>
        </is>
      </c>
      <c r="D15" s="2" t="inlineStr">
        <is>
          <t>source_interpretation</t>
        </is>
      </c>
      <c r="E15" s="2" t="inlineStr">
        <is>
          <t>TCWS-S003</t>
        </is>
      </c>
      <c r="F15" s="2" t="inlineStr">
        <is>
          <t>§2.4 pp. 1015–1016; Discussion pp. 1021–1022</t>
        </is>
      </c>
      <c r="G15" s="2" t="inlineStr">
        <is>
          <t>T1_claims_or_field_calibrated</t>
        </is>
      </c>
      <c r="H15" s="2" t="inlineStr">
        <is>
          <t>remote_sensing_endpoint_limit</t>
        </is>
      </c>
      <c r="I15" s="2" t="inlineStr">
        <is>
          <t>adopt</t>
        </is>
      </c>
      <c r="J15" s="2" t="inlineStr">
        <is>
          <t>Use imagery for visible-damage screening and field-data design.</t>
        </is>
      </c>
      <c r="K15" s="2" t="inlineStr">
        <is>
          <t>Convert percent module area missing or damaged into failure-unit economic DR.</t>
        </is>
      </c>
      <c r="L15" s="2" t="inlineStr">
        <is>
          <t>Visible surface change is not a same-unit repair/replacement-cost endpoint and can miss internal or electrical damage.</t>
        </is>
      </c>
      <c r="M15" s="2" t="inlineStr">
        <is>
          <t>Linked inspection, work-order, salvage, and cost records become available.</t>
        </is>
      </c>
    </row>
    <row r="16">
      <c r="A16" s="2" t="inlineStr">
        <is>
          <t>TCWS-C015</t>
        </is>
      </c>
      <c r="B16" s="2" t="inlineStr">
        <is>
          <t>tropical_cyclone_wind</t>
        </is>
      </c>
      <c r="C16" s="2" t="inlineStr">
        <is>
          <t>The Ceferino and Perry evidence must not be counted as independent field populations without record-level deduplication.</t>
        </is>
      </c>
      <c r="D16" s="2" t="inlineStr">
        <is>
          <t>governance_decision</t>
        </is>
      </c>
      <c r="E16" s="2" t="inlineStr">
        <is>
          <t>TCWS-S002;TCWS-S003</t>
        </is>
      </c>
      <c r="F16" s="2" t="inlineStr">
        <is>
          <t>both studies' Caribbean Irma/Maria event and site descriptions</t>
        </is>
      </c>
      <c r="G16" s="2" t="inlineStr">
        <is>
          <t>T1_claims_or_field_calibrated</t>
        </is>
      </c>
      <c r="H16" s="2" t="inlineStr">
        <is>
          <t>evidence_dependence_rule</t>
        </is>
      </c>
      <c r="I16" s="2" t="inlineStr">
        <is>
          <t>adopt</t>
        </is>
      </c>
      <c r="J16" s="2" t="inlineStr">
        <is>
          <t>Treat them as complementary endpoint/method evidence with possible overlapping events and sites.</t>
        </is>
      </c>
      <c r="K16" s="2" t="inlineStr">
        <is>
          <t>Multiply confidence or sample size as though the two sources were independent.</t>
        </is>
      </c>
      <c r="L16" s="2" t="inlineStr">
        <is>
          <t>Both sources draw from the same regional hurricane seasons and public descriptions do not establish record-level independence.</t>
        </is>
      </c>
      <c r="M16" s="2" t="inlineStr">
        <is>
          <t>Site identifiers establish overlap or independence.</t>
        </is>
      </c>
    </row>
    <row r="17">
      <c r="A17" s="2" t="inlineStr">
        <is>
          <t>TCWS-C016</t>
        </is>
      </c>
      <c r="B17" s="2" t="inlineStr">
        <is>
          <t>tropical_cyclone_wind</t>
        </is>
      </c>
      <c r="C17" s="2" t="inlineStr">
        <is>
          <t>The DOE/FEMP St. Croix case documents a 469 kW fixed-tilt array assessed as total loss with rack, beam, clamp, fastener, corrosion, liberated-module, enclosure, conduit, inverter, switchgear, and transformer mechanisms.</t>
        </is>
      </c>
      <c r="D17" s="2" t="inlineStr">
        <is>
          <t>direct_observation</t>
        </is>
      </c>
      <c r="E17" s="2" t="inlineStr">
        <is>
          <t>TCWS-S004</t>
        </is>
      </c>
      <c r="F17" s="2" t="inlineStr">
        <is>
          <t>Executive Summary pp. vi–vii; §1.1/Table 1 pp. 2–3; §§2–3.6 pp. 5–12</t>
        </is>
      </c>
      <c r="G17" s="2" t="inlineStr">
        <is>
          <t>T3_engineering_proxy_or_adjacent_empirical</t>
        </is>
      </c>
      <c r="H17" s="2" t="inlineStr">
        <is>
          <t>st_croix_mechanism_and_failure_unit_case</t>
        </is>
      </c>
      <c r="I17" s="2" t="inlineStr">
        <is>
          <t>adopt_with_limits</t>
        </is>
      </c>
      <c r="J17" s="2" t="inlineStr">
        <is>
          <t>Use the case to populate anatomy, dependency, inspection, and compound-peril fields.</t>
        </is>
      </c>
      <c r="K17" s="2" t="inlineStr">
        <is>
          <t>Fit a population fragility, transfer the total-loss disposition, or infer component economic severities.</t>
        </is>
      </c>
      <c r="L17" s="2" t="inlineStr">
        <is>
          <t>One detailed case exposes mechanisms but does not estimate a representative probability or cost-state distribution.</t>
        </is>
      </c>
      <c r="M17" s="2" t="inlineStr">
        <is>
          <t>A population of comparable sites with local demands and itemized repair/replacement records is available.</t>
        </is>
      </c>
    </row>
    <row r="18">
      <c r="A18" s="2" t="inlineStr">
        <is>
          <t>TCWS-C017</t>
        </is>
      </c>
      <c r="B18" s="2" t="inlineStr">
        <is>
          <t>tropical_cyclone_wind</t>
        </is>
      </c>
      <c r="C18" s="2" t="inlineStr">
        <is>
          <t>The St. Croix case combines high wind, wind-driven rain, and flash flooding; its reported approximately 104 mph event estimate and 145 mph design value are not population failure thresholds.</t>
        </is>
      </c>
      <c r="D18" s="2" t="inlineStr">
        <is>
          <t>source_interpretation</t>
        </is>
      </c>
      <c r="E18" s="2" t="inlineStr">
        <is>
          <t>TCWS-S004</t>
        </is>
      </c>
      <c r="F18" s="2" t="inlineStr">
        <is>
          <t>Executive Summary pp. vi–vii; §§1.1, 2, and 3 pp. 2–12</t>
        </is>
      </c>
      <c r="G18" s="2" t="inlineStr">
        <is>
          <t>T3_engineering_proxy_or_adjacent_empirical</t>
        </is>
      </c>
      <c r="H18" s="2" t="inlineStr">
        <is>
          <t>compound_event_and_threshold_limit</t>
        </is>
      </c>
      <c r="I18" s="2" t="inlineStr">
        <is>
          <t>adopt</t>
        </is>
      </c>
      <c r="J18" s="2" t="inlineStr">
        <is>
          <t>Route pressure, debris, rain ingress, and flood mechanisms separately while preserving one parent event family.</t>
        </is>
      </c>
      <c r="K18" s="2" t="inlineStr">
        <is>
          <t>Use either speed as a tropical-cyclone DR onset, design median, or evidence that the array failed below design solely from wind.</t>
        </is>
      </c>
      <c r="L18" s="2" t="inlineStr">
        <is>
          <t>The case is compound and site specific; reported estimates do not isolate a wind-only causal threshold.</t>
        </is>
      </c>
      <c r="M18" s="2" t="inlineStr">
        <is>
          <t>Forensic load reconstruction isolates mechanisms and component capacities.</t>
        </is>
      </c>
    </row>
    <row r="19">
      <c r="A19" s="2" t="inlineStr">
        <is>
          <t>TCWS-C018</t>
        </is>
      </c>
      <c r="B19" s="2" t="inlineStr">
        <is>
          <t>tropical_cyclone_wind</t>
        </is>
      </c>
      <c r="C19" s="2" t="inlineStr">
        <is>
          <t>ASCE and fixed-tilt wind-tunnel evidence are design and demand anchors, not failure probability or economic severity evidence.</t>
        </is>
      </c>
      <c r="D19" s="2" t="inlineStr">
        <is>
          <t>source_interpretation</t>
        </is>
      </c>
      <c r="E19" s="2" t="inlineStr">
        <is>
          <t>TCWS-S005;TCWS-S010</t>
        </is>
      </c>
      <c r="F19" s="2" t="inlineStr">
        <is>
          <t>ASCE Chs. 26, 29, and 31; Browne abstract and §§1–5</t>
        </is>
      </c>
      <c r="G19" s="2" t="inlineStr">
        <is>
          <t>T2_public_lab_standard_or_physics</t>
        </is>
      </c>
      <c r="H19" s="2" t="inlineStr">
        <is>
          <t>fixed_tilt_demand_bridge_boundary</t>
        </is>
      </c>
      <c r="I19" s="2" t="inlineStr">
        <is>
          <t>adopt</t>
        </is>
      </c>
      <c r="J19" s="2" t="inlineStr">
        <is>
          <t>Use exact edition, geometry, zone, exposure, and small-deflection eligibility in a future fixed-tilt local-demand bridge.</t>
        </is>
      </c>
      <c r="K19" s="2" t="inlineStr">
        <is>
          <t>Treat code wind, design pressure, or a wind coefficient as as-built capacity, D50, damage state, or DR.</t>
        </is>
      </c>
      <c r="L19" s="2" t="inlineStr">
        <is>
          <t>Design adequacy calculations and load coefficients do not measure population failure disposition or repair cost.</t>
        </is>
      </c>
      <c r="M19" s="2" t="inlineStr">
        <is>
          <t>Matched component demand-capacity-failure-cost evidence passes review.</t>
        </is>
      </c>
    </row>
    <row r="20">
      <c r="A20" s="2" t="inlineStr">
        <is>
          <t>TCWS-C019</t>
        </is>
      </c>
      <c r="B20" s="2" t="inlineStr">
        <is>
          <t>tropical_cyclone_wind</t>
        </is>
      </c>
      <c r="C20" s="2" t="inlineStr">
        <is>
          <t>Tracker critical velocity is exact-system, angle, layout, direction, row, and qualification dependent.</t>
        </is>
      </c>
      <c r="D20" s="2" t="inlineStr">
        <is>
          <t>source_interpretation</t>
        </is>
      </c>
      <c r="E20" s="2" t="inlineStr">
        <is>
          <t>TCWS-S006;TCWS-S007;TCWS-S011;TCWS-S012</t>
        </is>
      </c>
      <c r="F20" s="2" t="inlineStr">
        <is>
          <t>FM §§2.1.2.3–2.1.2.4; IEC scope; aeroelastic benchmark and stability-map results</t>
        </is>
      </c>
      <c r="G20" s="2" t="inlineStr">
        <is>
          <t>T2_public_lab_standard_or_physics</t>
        </is>
      </c>
      <c r="H20" s="2" t="inlineStr">
        <is>
          <t>tracker_ucrit_and_state_contract</t>
        </is>
      </c>
      <c r="I20" s="2" t="inlineStr">
        <is>
          <t>adopt</t>
        </is>
      </c>
      <c r="J20" s="2" t="inlineStr">
        <is>
          <t>Require exact tracker system, qualification, configuration, attained angle, drive/lock state, position, direction, and compatible speed basis before using Ucrit.</t>
        </is>
      </c>
      <c r="K20" s="2" t="inlineStr">
        <is>
          <t>Supply a generic Ucrit, infer it from IEC qualification, or transfer benchmark critical speed to an unnamed production tracker or TC field.</t>
        </is>
      </c>
      <c r="L20" s="2" t="inlineStr">
        <is>
          <t>The studies show instability depends on the defined system and state; qualification identity is necessary but does not itself supply a generic value.</t>
        </is>
      </c>
      <c r="M20" s="2" t="inlineStr">
        <is>
          <t>A governed certified tracker-capacity catalog with structured equivalence becomes available.</t>
        </is>
      </c>
    </row>
    <row r="21">
      <c r="A21" s="2" t="inlineStr">
        <is>
          <t>TCWS-C020</t>
        </is>
      </c>
      <c r="B21" s="2" t="inlineStr">
        <is>
          <t>tropical_cyclone_wind</t>
        </is>
      </c>
      <c r="C21" s="2" t="inlineStr">
        <is>
          <t>FM's trigger at 25 percent below tested instability speed is an operational action margin, not damage onset.</t>
        </is>
      </c>
      <c r="D21" s="2" t="inlineStr">
        <is>
          <t>source_interpretation</t>
        </is>
      </c>
      <c r="E21" s="2" t="inlineStr">
        <is>
          <t>TCWS-S006</t>
        </is>
      </c>
      <c r="F21" s="2" t="inlineStr">
        <is>
          <t>§§2.1.2.3–2.1.2.4 pp. 3–4</t>
        </is>
      </c>
      <c r="G21" s="2" t="inlineStr">
        <is>
          <t>T2_public_lab_standard_or_physics</t>
        </is>
      </c>
      <c r="H21" s="2" t="inlineStr">
        <is>
          <t>tracker_stow_action_gate</t>
        </is>
      </c>
      <c r="I21" s="2" t="inlineStr">
        <is>
          <t>adopt_flag_only</t>
        </is>
      </c>
      <c r="J21" s="2" t="inlineStr">
        <is>
          <t>Use 0.75 Ucrit only as an exact-basis control/action flag after all qualification fields match.</t>
        </is>
      </c>
      <c r="K21" s="2" t="inlineStr">
        <is>
          <t>Force positive damage at the trigger, force zero below it, calibrate a fragility median from it, or apply it across mismatched speed definitions.</t>
        </is>
      </c>
      <c r="L21" s="2" t="inlineStr">
        <is>
          <t>The source specifies an operating margin below tested instability, not an observed failure threshold.</t>
        </is>
      </c>
      <c r="M21" s="2" t="inlineStr">
        <is>
          <t>FM changes the criterion or matched damage observations calibrate the relationship.</t>
        </is>
      </c>
    </row>
    <row r="22">
      <c r="A22" s="2" t="inlineStr">
        <is>
          <t>TCWS-C021</t>
        </is>
      </c>
      <c r="B22" s="2" t="inlineStr">
        <is>
          <t>tropical_cyclone_wind</t>
        </is>
      </c>
      <c r="C22" s="2" t="inlineStr">
        <is>
          <t>IEC 62817 tracker qualification and IEC 61730 module safety qualification are selector provenance, not tropical-cyclone fragility.</t>
        </is>
      </c>
      <c r="D22" s="2" t="inlineStr">
        <is>
          <t>source_interpretation</t>
        </is>
      </c>
      <c r="E22" s="2" t="inlineStr">
        <is>
          <t>TCWS-S007;TCWS-S008</t>
        </is>
      </c>
      <c r="F22" s="2" t="inlineStr">
        <is>
          <t>official IEC scope and test-purpose pages</t>
        </is>
      </c>
      <c r="G22" s="2" t="inlineStr">
        <is>
          <t>T2_public_lab_standard_or_physics</t>
        </is>
      </c>
      <c r="H22" s="2" t="inlineStr">
        <is>
          <t>qualification_provenance_rule</t>
        </is>
      </c>
      <c r="I22" s="2" t="inlineStr">
        <is>
          <t>adopt</t>
        </is>
      </c>
      <c r="J22" s="2" t="inlineStr">
        <is>
          <t>Record the exact standard, edition, product, configuration, and test identity.</t>
        </is>
      </c>
      <c r="K22" s="2" t="inlineStr">
        <is>
          <t>Infer site wind capacity, TC survival, failure probability, economic severity, or mitigation credit from qualification alone.</t>
        </is>
      </c>
      <c r="L22" s="2" t="inlineStr">
        <is>
          <t>Qualification standards define test and safety scope but do not provide the target population's hazard-to-cost response.</t>
        </is>
      </c>
      <c r="M22" s="2" t="inlineStr">
        <is>
          <t>A product-specific qualified capacity and field-validation artifact is authorized.</t>
        </is>
      </c>
    </row>
    <row r="23">
      <c r="A23" s="2" t="inlineStr">
        <is>
          <t>TCWS-C022</t>
        </is>
      </c>
      <c r="B23" s="2" t="inlineStr">
        <is>
          <t>all_shared</t>
        </is>
      </c>
      <c r="C23" s="2" t="inlineStr">
        <is>
          <t>The NLR Q1-2025 UPV benchmark is a reference value source only, under value_source_id NLR_Q1_2025_UPV_PV_ONLY_2024_USD.</t>
        </is>
      </c>
      <c r="D23" s="2" t="inlineStr">
        <is>
          <t>value_rule</t>
        </is>
      </c>
      <c r="E23" s="2" t="inlineStr">
        <is>
          <t>TCWS-S013</t>
        </is>
      </c>
      <c r="F23" s="2" t="inlineStr">
        <is>
          <t>dataset landing page and governed parent value ledger</t>
        </is>
      </c>
      <c r="G23" s="2" t="inlineStr">
        <is>
          <t>T2_public_lab_standard_or_physics</t>
        </is>
      </c>
      <c r="H23" s="2" t="inlineStr">
        <is>
          <t>reference_value_lineage</t>
        </is>
      </c>
      <c r="I23" s="2" t="inlineStr">
        <is>
          <t>adopt_with_limits</t>
        </is>
      </c>
      <c r="J23" s="2" t="inlineStr">
        <is>
          <t>Use exact row-level units, vintage, and denominator mapping after the parent-ledger crosswalk is verified.</t>
        </is>
      </c>
      <c r="K23" s="2" t="inlineStr">
        <is>
          <t>Use benchmark shares as damage caps, exposed fractions, site appraisal, support-allocation rules, or failure severity.</t>
        </is>
      </c>
      <c r="L23" s="2" t="inlineStr">
        <is>
          <t>Cost structure can support a denominator but supplies no hazard response or repair disposition.</t>
        </is>
      </c>
      <c r="M23" s="2" t="inlineStr">
        <is>
          <t>A new benchmark vintage or site-specific BOM/value ledger supersedes the reference.</t>
        </is>
      </c>
    </row>
    <row r="24">
      <c r="A24" s="2" t="inlineStr">
        <is>
          <t>TCWS-C023</t>
        </is>
      </c>
      <c r="B24" s="2" t="inlineStr">
        <is>
          <t>tropical_cyclone_wind</t>
        </is>
      </c>
      <c r="C24" s="2" t="inlineStr">
        <is>
          <t>PV_GSU_SUBSTATION remains a separate solar-plant failure unit and is withheld, not assigned zero and not inherited from a generic hurricane substation placeholder.</t>
        </is>
      </c>
      <c r="D24" s="2" t="inlineStr">
        <is>
          <t>governance_decision</t>
        </is>
      </c>
      <c r="E24" s="2" t="inlineStr">
        <is>
          <t>TCWS-S004;TCWS-S013;LEG-TCWS-001;LEG-TCWS-002;GOVERNANCE_CONTRACT</t>
        </is>
      </c>
      <c r="F24" s="2" t="inlineStr">
        <is>
          <t>St. Croix electrical mechanisms; value lineage; legacy substation rows; coverage gate</t>
        </is>
      </c>
      <c r="G24" s="2" t="inlineStr">
        <is>
          <t>T4_placeholder_or_expert_judgment</t>
        </is>
      </c>
      <c r="H24" s="2" t="inlineStr">
        <is>
          <t>PV_GSU_SUBSTATION_coverage</t>
        </is>
      </c>
      <c r="I24" s="2" t="inlineStr">
        <is>
          <t>withhold</t>
        </is>
      </c>
      <c r="J24" s="2" t="inlineStr">
        <is>
          <t>Preserve point or yard exposure, component value, and separate future evidence routing.</t>
        </is>
      </c>
      <c r="K24" s="2" t="inlineStr">
        <is>
          <t>Apply whole-array exposure, legacy substation logistic DR, flood/rain loss, or zero immunity to the GSU.</t>
        </is>
      </c>
      <c r="L24" s="2" t="inlineStr">
        <is>
          <t>A shared GSU has different spatial grain, mechanisms, values, and evidence needs from the array field.</t>
        </is>
      </c>
      <c r="M24" s="2" t="inlineStr">
        <is>
          <t>GSU-specific TC wind demand, disposition, exposure, and same-unit cost data pass review.</t>
        </is>
      </c>
    </row>
    <row r="25">
      <c r="A25" s="2" t="inlineStr">
        <is>
          <t>TCWS-C024</t>
        </is>
      </c>
      <c r="B25" s="2" t="inlineStr">
        <is>
          <t>tropical_cyclone_wind</t>
        </is>
      </c>
      <c r="C25" s="2" t="inlineStr">
        <is>
          <t>PV_POWER_CONVERSION_AND_COLLECTION remains a separate withheld unit for inverters, combiners, wiring, enclosures, collection, grounding, and related power-path equipment.</t>
        </is>
      </c>
      <c r="D25" s="2" t="inlineStr">
        <is>
          <t>governance_decision</t>
        </is>
      </c>
      <c r="E25" s="2" t="inlineStr">
        <is>
          <t>TCWS-S004;TCWS-S009;TCWS-S013;GOVERNANCE_CONTRACT</t>
        </is>
      </c>
      <c r="F25" s="2" t="inlineStr">
        <is>
          <t>St. Croix §§3.4–3.6; Owner's Guide §5; value and coverage audits</t>
        </is>
      </c>
      <c r="G25" s="2" t="inlineStr">
        <is>
          <t>T3_engineering_proxy_or_adjacent_empirical</t>
        </is>
      </c>
      <c r="H25" s="2" t="inlineStr">
        <is>
          <t>PV_POWER_CONVERSION_AND_COLLECTION_coverage</t>
        </is>
      </c>
      <c r="I25" s="2" t="inlineStr">
        <is>
          <t>withhold</t>
        </is>
      </c>
      <c r="J25" s="2" t="inlineStr">
        <is>
          <t>Keep the equipment anatomy and value/exposure seam explicit for later evidence.</t>
        </is>
      </c>
      <c r="K25" s="2" t="inlineStr">
        <is>
          <t>Scale it by array structural DR, call it wind immune, or mix wind-driven rain/flood ingress into a wind-only curve.</t>
        </is>
      </c>
      <c r="L25" s="2" t="inlineStr">
        <is>
          <t>The unit has different direct and dependency mechanisms and lacks a matched wind-to-disposition-to-cost chain.</t>
        </is>
      </c>
      <c r="M25" s="2" t="inlineStr">
        <is>
          <t>Unit-specific demand, disposition, repair, and cost evidence becomes available.</t>
        </is>
      </c>
    </row>
    <row r="26">
      <c r="A26" s="2" t="inlineStr">
        <is>
          <t>TCWS-C025</t>
        </is>
      </c>
      <c r="B26" s="2" t="inlineStr">
        <is>
          <t>tropical_cyclone_wind</t>
        </is>
      </c>
      <c r="C26" s="2" t="inlineStr">
        <is>
          <t>The strong_wind_solar package may contribute source discovery, anatomy, terminology, and governance controls but no numeric transfer.</t>
        </is>
      </c>
      <c r="D26" s="2" t="inlineStr">
        <is>
          <t>governance_decision</t>
        </is>
      </c>
      <c r="E26" s="2" t="inlineStr">
        <is>
          <t>TCWS-S015;GOVERNANCE_CONTRACT</t>
        </is>
      </c>
      <c r="F26" s="2" t="inlineStr">
        <is>
          <t>cross-cell register rows and neighboring-wind boundary</t>
        </is>
      </c>
      <c r="G26" s="2" t="inlineStr">
        <is>
          <t>T3_engineering_proxy_or_adjacent_empirical</t>
        </is>
      </c>
      <c r="H26" s="2" t="inlineStr">
        <is>
          <t>cross_cell_reuse_rule</t>
        </is>
      </c>
      <c r="I26" s="2" t="inlineStr">
        <is>
          <t>historical_scope_only</t>
        </is>
      </c>
      <c r="J26" s="2" t="inlineStr">
        <is>
          <t>Reuse reviewed primary-source lineage after independent registration and pathway-specific transfer analysis.</t>
        </is>
      </c>
      <c r="K26" s="2" t="inlineStr">
        <is>
          <t>Inherit convective demand axes, downburst profiles, curve forms, T4 medians, beta, severity, stow credit, or exposure behavior.</t>
        </is>
      </c>
      <c r="L26" s="2" t="inlineStr">
        <is>
          <t>Asset substrate is reusable, while causal wind fields and numeric evidence are pathway specific. Consolidated v2 register: prior-version conclusion is scoped/superseded by TCWS2-C001/005/006; the underlying evidence limitation is retained.</t>
        </is>
      </c>
      <c r="M26" s="2" t="inlineStr">
        <is>
          <t>A formal numerical equivalence review passes.</t>
        </is>
      </c>
    </row>
    <row r="27">
      <c r="A27" s="2" t="inlineStr">
        <is>
          <t>TCWS-C026</t>
        </is>
      </c>
      <c r="B27" s="2" t="inlineStr">
        <is>
          <t>tropical_cyclone_wind</t>
        </is>
      </c>
      <c r="C27" s="2" t="inlineStr">
        <is>
          <t>The legacy hurricane-solar memo mischaracterizes Ceferino's ground-mounted result and its logistic parameters are rejected for runtime.</t>
        </is>
      </c>
      <c r="D27" s="2" t="inlineStr">
        <is>
          <t>legacy_audit_finding</t>
        </is>
      </c>
      <c r="E27" s="2" t="inlineStr">
        <is>
          <t>TCWS-S002;LEG-TCWS-001</t>
        </is>
      </c>
      <c r="F27" s="2" t="inlineStr">
        <is>
          <t>Ceferino §4.2 p. 7; legacy memo §§2.6–2.8, §5, Appendix A; index rows 219–299</t>
        </is>
      </c>
      <c r="G27" s="2" t="inlineStr">
        <is>
          <t>T4_placeholder_or_expert_judgment</t>
        </is>
      </c>
      <c r="H27" s="2" t="inlineStr">
        <is>
          <t>legacy_curve_bundle</t>
        </is>
      </c>
      <c r="I27" s="2" t="inlineStr">
        <is>
          <t>reject_runtime_retain_audit</t>
        </is>
      </c>
      <c r="J27" s="2" t="inlineStr">
        <is>
          <t>Preserve exact numbers for source correction, migration reproduction, and regression tests only.</t>
        </is>
      </c>
      <c r="K27" s="2" t="inlineStr">
        <is>
          <t>Adopt architecture shifts, caps, slopes, midpoints, confidence labels, or an economic interpretation from the memo.</t>
        </is>
      </c>
      <c r="L27" s="2" t="inlineStr">
        <is>
          <t>The legacy record substitutes 58 m/s and beta 0.30 for the paper's roughly 90 m/s and 0.15 ground posterior, then adds unsupported architecture and severity assumptions.</t>
        </is>
      </c>
      <c r="M27" s="2" t="inlineStr">
        <is>
          <t>A separately calibrated, fully provenance-resolved curve passes promotion gates.</t>
        </is>
      </c>
    </row>
    <row r="28">
      <c r="A28" s="2" t="inlineStr">
        <is>
          <t>TCWS-C027</t>
        </is>
      </c>
      <c r="B28" s="2" t="inlineStr">
        <is>
          <t>tropical_cyclone_wind</t>
        </is>
      </c>
      <c r="C28" s="2" t="inlineStr">
        <is>
          <t>Hazard Modeling's provisional hurricane-solar implementation is a migration fixture only.</t>
        </is>
      </c>
      <c r="D28" s="2" t="inlineStr">
        <is>
          <t>legacy_audit_finding</t>
        </is>
      </c>
      <c r="E28" s="2" t="inlineStr">
        <is>
          <t>LEG-TCWS-002;GOVERNANCE_CONTRACT</t>
        </is>
      </c>
      <c r="F28" s="2" t="inlineStr">
        <is>
          <t>01_damage.py lines 14–39, 56–105, 136–183, 197–207</t>
        </is>
      </c>
      <c r="G28" s="2" t="inlineStr">
        <is>
          <t>T4_placeholder_or_expert_judgment</t>
        </is>
      </c>
      <c r="H28" s="2" t="inlineStr">
        <is>
          <t>legacy_consumer_behavior</t>
        </is>
      </c>
      <c r="I28" s="2" t="inlineStr">
        <is>
          <t>reject_runtime_retain_audit</t>
        </is>
      </c>
      <c r="J28" s="2" t="inlineStr">
        <is>
          <t>Reproduce exact old behavior for cutover comparison.</t>
        </is>
      </c>
      <c r="K28" s="2" t="inlineStr">
        <is>
          <t>Treat hardcoded PV, mounting, substation, or zero-remainder TIV weights and anchored logistics as calibrated Damage outputs or a valid fallback.</t>
        </is>
      </c>
      <c r="L28" s="2" t="inlineStr">
        <is>
          <t>The consumer mixes mechanisms and unsupported value shares and labels absent coverage as approximately immune.</t>
        </is>
      </c>
      <c r="M28" s="2" t="inlineStr">
        <is>
          <t>A governed promoted Damage artifact and explicit consumer cutover replace the fixture.</t>
        </is>
      </c>
    </row>
    <row r="29">
      <c r="A29" s="2" t="inlineStr">
        <is>
          <t>TCWS-C028</t>
        </is>
      </c>
      <c r="B29" s="2" t="inlineStr">
        <is>
          <t>tropical_cyclone_wind</t>
        </is>
      </c>
      <c r="C29" s="2" t="inlineStr">
        <is>
          <t>No public matched chain was located in the bounded review from representative local tropical-cyclone demand through failure-unit state and disposition to same-unit direct repair or replacement cost.</t>
        </is>
      </c>
      <c r="D29" s="2" t="inlineStr">
        <is>
          <t>governance_decision</t>
        </is>
      </c>
      <c r="E29" s="2" t="inlineStr">
        <is>
          <t>TCWS-S002;TCWS-S003;TCWS-S004;BOUNDED_SEARCH_LOG</t>
        </is>
      </c>
      <c r="F29" s="2" t="inlineStr">
        <is>
          <t>bounded-search chain matrix and endpoint pressure tests</t>
        </is>
      </c>
      <c r="G29" s="2" t="inlineStr">
        <is>
          <t>T3_engineering_proxy_or_adjacent_empirical</t>
        </is>
      </c>
      <c r="H29" s="2" t="inlineStr">
        <is>
          <t>runtime_curve_gate</t>
        </is>
      </c>
      <c r="I29" s="2" t="inlineStr">
        <is>
          <t>withhold</t>
        </is>
      </c>
      <c r="J29" s="2" t="inlineStr">
        <is>
          <t>Use the bounded result as the reason for NO_RUNTIME_CURVE and as an evidence-acquisition roadmap.</t>
        </is>
      </c>
      <c r="K29" s="2" t="inlineStr">
        <is>
          <t>Claim universal absence across private owner, OEM, insurer, non-indexed, non-English, or post-cutoff evidence.</t>
        </is>
      </c>
      <c r="L29" s="2" t="inlineStr">
        <is>
          <t>Strong sources stop at site probability, visible damage, design/demand, qualification, or a compound single-site case.</t>
        </is>
      </c>
      <c r="M29" s="2" t="inlineStr">
        <is>
          <t>Authorized matched event, configuration, inspection, disposition, and cost records close the chain.</t>
        </is>
      </c>
    </row>
    <row r="30">
      <c r="A30" s="2" t="inlineStr">
        <is>
          <t>TCWS-C029</t>
        </is>
      </c>
      <c r="B30" s="2" t="inlineStr">
        <is>
          <t>tropical_cyclone_wind</t>
        </is>
      </c>
      <c r="C30" s="2" t="inlineStr">
        <is>
          <t>Wind, debris impact, wind-driven rain, flood or surge, and TC-spawned tornado pathways preserve one event_family_id but route separately.</t>
        </is>
      </c>
      <c r="D30" s="2" t="inlineStr">
        <is>
          <t>governance_decision</t>
        </is>
      </c>
      <c r="E30" s="2" t="inlineStr">
        <is>
          <t>TCWS-S004;GOVERNANCE_CONTRACT</t>
        </is>
      </c>
      <c r="F30" s="2" t="inlineStr">
        <is>
          <t>St. Croix compound-event evidence; event-identity and neighboring-hazard controls</t>
        </is>
      </c>
      <c r="G30" s="2" t="inlineStr">
        <is>
          <t>T4_placeholder_or_expert_judgment</t>
        </is>
      </c>
      <c r="H30" s="2" t="inlineStr">
        <is>
          <t>compound_event_identity_rule</t>
        </is>
      </c>
      <c r="I30" s="2" t="inlineStr">
        <is>
          <t>adopt</t>
        </is>
      </c>
      <c r="J30" s="2" t="inlineStr">
        <is>
          <t>Coordinate one physical occurrence and downstream loss assembly without duplicate value consumption.</t>
        </is>
      </c>
      <c r="K30" s="2" t="inlineStr">
        <is>
          <t>Blend all mechanisms into a wind curve or count one damaged value stock independently in several pathways.</t>
        </is>
      </c>
      <c r="L30" s="2" t="inlineStr">
        <is>
          <t>The same cyclone can produce distinct mechanisms whose evidence and exposure grains differ.</t>
        </is>
      </c>
      <c r="M30" s="2" t="inlineStr">
        <is>
          <t>A governed multi-pathway consequence assembler supersedes the current rule.</t>
        </is>
      </c>
    </row>
    <row r="31">
      <c r="A31" s="2" t="inlineStr">
        <is>
          <t>TCWS-C030</t>
        </is>
      </c>
      <c r="B31" s="2" t="inlineStr">
        <is>
          <t>tropical_cyclone_wind</t>
        </is>
      </c>
      <c r="C31" s="2" t="inlineStr">
        <is>
          <t>Model v0.1/docs r1 is a noncanonical coverage scaffold with zero runtime curve records; scalar damage and monetary loss are withheld.</t>
        </is>
      </c>
      <c r="D31" s="2" t="inlineStr">
        <is>
          <t>governance_decision</t>
        </is>
      </c>
      <c r="E31" s="2" t="inlineStr">
        <is>
          <t>GOVERNANCE_CONTRACT</t>
        </is>
      </c>
      <c r="F31" s="2" t="inlineStr">
        <is>
          <t>change classification, capability declaration, and fail-closed release gate</t>
        </is>
      </c>
      <c r="G31" s="2" t="inlineStr">
        <is>
          <t>T4_placeholder_or_expert_judgment</t>
        </is>
      </c>
      <c r="H31" s="2" t="inlineStr">
        <is>
          <t>canonical_runtime_artifact=false; curve_records=[]</t>
        </is>
      </c>
      <c r="I31" s="2" t="inlineStr">
        <is>
          <t>withhold</t>
        </is>
      </c>
      <c r="J31" s="2" t="inlineStr">
        <is>
          <t>Return null with stable reason code NO_RUNTIME_CURVE after identity and input validation.</t>
        </is>
      </c>
      <c r="K31" s="2" t="inlineStr">
        <is>
          <t>Return zero, a site fragility probability, a legacy proxy, or an adjacent-cell fallback as DR or loss.</t>
        </is>
      </c>
      <c r="L31" s="2" t="inlineStr">
        <is>
          <t>No candidate completes the physical-state, economic-severity, exposure, and provenance chain required for runtime publication.</t>
        </is>
      </c>
      <c r="M31" s="2" t="inlineStr">
        <is>
          <t>A governed model v1.0 behavior change passes evidence, seven-step, tests, schemas, capability, and release review.</t>
        </is>
      </c>
    </row>
    <row r="32">
      <c r="A32" s="2" t="inlineStr">
        <is>
          <t>TCWS-C101</t>
        </is>
      </c>
      <c r="B32" s="2" t="inlineStr">
        <is>
          <t>tropical_cyclone_wind</t>
        </is>
      </c>
      <c r="C32" s="2" t="inlineStr">
        <is>
          <t>The Perry manual dataset contains 47 records, including 37 ground-mounted and 35 ground-mounted records explicitly marked tracking false.</t>
        </is>
      </c>
      <c r="D32" s="2" t="inlineStr">
        <is>
          <t>direct_observation</t>
        </is>
      </c>
      <c r="E32" s="2" t="inlineStr">
        <is>
          <t>TCWS-S020</t>
        </is>
      </c>
      <c r="F32" s="2" t="inlineStr">
        <is>
          <t>manual CSV filter counts pinned to source SHA</t>
        </is>
      </c>
      <c r="G32" s="2" t="inlineStr">
        <is>
          <t>T1_claims_or_field_calibrated</t>
        </is>
      </c>
      <c r="H32" s="2" t="inlineStr">
        <is>
          <t>source_cohort_count</t>
        </is>
      </c>
      <c r="I32" s="2" t="inlineStr">
        <is>
          <t>adopt</t>
        </is>
      </c>
      <c r="J32" s="2" t="inlineStr">
        <is>
          <t>Freeze the exact source-cohort selection.</t>
        </is>
      </c>
      <c r="K32" s="2" t="inlineStr">
        <is>
          <t>Call all 35 records utility-scale or representative of a named modern fleet.</t>
        </is>
      </c>
      <c r="L32" s="2" t="inlineStr">
        <is>
          <t>System size is missing for part of the cohort and the source does not declare one target utility archetype.</t>
        </is>
      </c>
      <c r="M32" s="2" t="inlineStr">
        <is>
          <t>A licensed revised source file or corrected schema changes the counts.</t>
        </is>
      </c>
    </row>
    <row r="33">
      <c r="A33" s="2" t="inlineStr">
        <is>
          <t>TCWS-C102</t>
        </is>
      </c>
      <c r="B33" s="2" t="inlineStr">
        <is>
          <t>tropical_cyclone_wind</t>
        </is>
      </c>
      <c r="C33" s="2" t="inlineStr">
        <is>
          <t>The manual endpoint is percent modules visibly damaged based on post-event imagery and labeled site/damage polygons.</t>
        </is>
      </c>
      <c r="D33" s="2" t="inlineStr">
        <is>
          <t>direct_observation</t>
        </is>
      </c>
      <c r="E33" s="2" t="inlineStr">
        <is>
          <t>TCWS-S003;TCWS-S020;TCWS-S021</t>
        </is>
      </c>
      <c r="F33" s="2" t="inlineStr">
        <is>
          <t>paper method and data-description pp. 1-2</t>
        </is>
      </c>
      <c r="G33" s="2" t="inlineStr">
        <is>
          <t>T1_claims_or_field_calibrated</t>
        </is>
      </c>
      <c r="H33" s="2" t="inlineStr">
        <is>
          <t>source_response_endpoint</t>
        </is>
      </c>
      <c r="I33" s="2" t="inlineStr">
        <is>
          <t>adopt_with_limits</t>
        </is>
      </c>
      <c r="J33" s="2" t="inlineStr">
        <is>
          <t>Use the visible module fraction as a graded physical response.</t>
        </is>
      </c>
      <c r="K33" s="2" t="inlineStr">
        <is>
          <t>Infer hidden electrical or structural damage, disposition, labor, or whole-site cost.</t>
        </is>
      </c>
      <c r="L33" s="2" t="inlineStr">
        <is>
          <t>Remote sensing observes exterior visible damage only.</t>
        </is>
      </c>
      <c r="M33" s="2" t="inlineStr">
        <is>
          <t>A source revision adds inspected disposition and same-unit cost.</t>
        </is>
      </c>
    </row>
    <row r="34">
      <c r="A34" s="2" t="inlineStr">
        <is>
          <t>TCWS-C103</t>
        </is>
      </c>
      <c r="B34" s="2" t="inlineStr">
        <is>
          <t>tropical_cyclone_wind</t>
        </is>
      </c>
      <c r="C34" s="2" t="inlineStr">
        <is>
          <t>Under uniform per-module hardware value and full replacement of every visible or missing module, visible module fraction equals a same-unit module-hardware material replacement proxy DR.</t>
        </is>
      </c>
      <c r="D34" s="2" t="inlineStr">
        <is>
          <t>governance_assumption</t>
        </is>
      </c>
      <c r="E34" s="2" t="inlineStr">
        <is>
          <t>TCWS-S020;TCWS-S021;GOVERNANCE_CONTRACT</t>
        </is>
      </c>
      <c r="F34" s="2" t="inlineStr">
        <is>
          <t>v1 ordinate bridge derivation</t>
        </is>
      </c>
      <c r="G34" s="2" t="inlineStr">
        <is>
          <t>T4_placeholder_or_expert_judgment</t>
        </is>
      </c>
      <c r="H34" s="2" t="inlineStr">
        <is>
          <t>uniform_value_and_full_replacement_bridge</t>
        </is>
      </c>
      <c r="I34" s="2" t="inlineStr">
        <is>
          <t>adopt_with_limits</t>
        </is>
      </c>
      <c r="J34" s="2" t="inlineStr">
        <is>
          <t>Emit a source-specific module-hardware screening DR only when both assumptions are explicitly acknowledged.</t>
        </is>
      </c>
      <c r="K34" s="2" t="inlineStr">
        <is>
          <t>Describe the result as observed economic loss, claims-calibrated DR, installed replacement cost, or full module-field all-damage DR.</t>
        </is>
      </c>
      <c r="L34" s="2" t="inlineStr">
        <is>
          <t>The physical numerator and denominator align only because the two economic bridge assumptions are imposed.</t>
        </is>
      </c>
      <c r="M34" s="2" t="inlineStr">
        <is>
          <t>Disposition or module-level value evidence replaces either assumption.</t>
        </is>
      </c>
    </row>
    <row r="35">
      <c r="A35" s="2" t="inlineStr">
        <is>
          <t>TCWS-C104</t>
        </is>
      </c>
      <c r="B35" s="2" t="inlineStr">
        <is>
          <t>tropical_cyclone_wind</t>
        </is>
      </c>
      <c r="C35" s="2" t="inlineStr">
        <is>
          <t>The source x field is the dataset-reported event maximum gust in m/s; provider, station, height, averaging period, exposure, and query semantics are not pinned for the full manual multi-hurricane cohort.</t>
        </is>
      </c>
      <c r="D35" s="2" t="inlineStr">
        <is>
          <t>direct_observation</t>
        </is>
      </c>
      <c r="E35" s="2" t="inlineStr">
        <is>
          <t>TCWS-S020;TCWS-S021</t>
        </is>
      </c>
      <c r="F35" s="2" t="inlineStr">
        <is>
          <t>manual CSV max_wind_gust_(m/s) and data-description weather notes</t>
        </is>
      </c>
      <c r="G35" s="2" t="inlineStr">
        <is>
          <t>T1_claims_or_field_calibrated</t>
        </is>
      </c>
      <c r="H35" s="2" t="inlineStr">
        <is>
          <t>hazard_axis</t>
        </is>
      </c>
      <c r="I35" s="2" t="inlineStr">
        <is>
          <t>adopt_with_limits</t>
        </is>
      </c>
      <c r="J35" s="2" t="inlineStr">
        <is>
          <t>Require the exact dataset-reported axis identifier.</t>
        </is>
      </c>
      <c r="K35" s="2" t="inlineStr">
        <is>
          <t>Alias NHC sustained wind, ASCE 3-second gust, array-height wind, Visual Crossing generally, or another gust product.</t>
        </is>
      </c>
      <c r="L35" s="2" t="inlineStr">
        <is>
          <t>A numeric gust without complete source semantics is not universally transferable.</t>
        </is>
      </c>
      <c r="M35" s="2" t="inlineStr">
        <is>
          <t>The archive publishes exact full-cohort weather-query semantics or an approved bridge is validated.</t>
        </is>
      </c>
    </row>
    <row r="36">
      <c r="A36" s="2" t="inlineStr">
        <is>
          <t>TCWS-C105</t>
        </is>
      </c>
      <c r="B36" s="2" t="inlineStr">
        <is>
          <t>tropical_cyclone_wind</t>
        </is>
      </c>
      <c r="C36" s="2" t="inlineStr">
        <is>
          <t>The runtime fit uses 34 source-cohort records from 17.4 through 39.1 m/s.</t>
        </is>
      </c>
      <c r="D36" s="2" t="inlineStr">
        <is>
          <t>derived_result</t>
        </is>
      </c>
      <c r="E36" s="2" t="inlineStr">
        <is>
          <t>TCWS-S020;GOVERNANCE_CONTRACT</t>
        </is>
      </c>
      <c r="F36" s="2" t="inlineStr">
        <is>
          <t>ground and tracking=false; x&lt;=39.1 filter</t>
        </is>
      </c>
      <c r="G36" s="2" t="inlineStr">
        <is>
          <t>T3_engineering_proxy_or_adjacent_empirical</t>
        </is>
      </c>
      <c r="H36" s="2" t="inlineStr">
        <is>
          <t>fit_population_and_range</t>
        </is>
      </c>
      <c r="I36" s="2" t="inlineStr">
        <is>
          <t>adopt</t>
        </is>
      </c>
      <c r="J36" s="2" t="inlineStr">
        <is>
          <t>Evaluate only inside the governed source-bounded range.</t>
        </is>
      </c>
      <c r="K36" s="2" t="inlineStr">
        <is>
          <t>Extrapolate below 17.4 or above 39.1 m/s.</t>
        </is>
      </c>
      <c r="L36" s="2" t="inlineStr">
        <is>
          <t>The next observed point is a lone severe-tail record separated by a 9.1 m/s gap.</t>
        </is>
      </c>
      <c r="M36" s="2" t="inlineStr">
        <is>
          <t>A sufficiently populated tail dataset supports a revised range.</t>
        </is>
      </c>
    </row>
    <row r="37">
      <c r="A37" s="2" t="inlineStr">
        <is>
          <t>TCWS-C106</t>
        </is>
      </c>
      <c r="B37" s="2" t="inlineStr">
        <is>
          <t>tropical_cyclone_wind</t>
        </is>
      </c>
      <c r="C37" s="2" t="inlineStr">
        <is>
          <t>The one 48.2 m/s source-cohort record has visible damage fraction 0.4142383192 and is audit-only.</t>
        </is>
      </c>
      <c r="D37" s="2" t="inlineStr">
        <is>
          <t>direct_observation</t>
        </is>
      </c>
      <c r="E37" s="2" t="inlineStr">
        <is>
          <t>TCWS-S020</t>
        </is>
      </c>
      <c r="F37" s="2" t="inlineStr">
        <is>
          <t>manual CSV source cohort sparse-tail record</t>
        </is>
      </c>
      <c r="G37" s="2" t="inlineStr">
        <is>
          <t>T1_claims_or_field_calibrated</t>
        </is>
      </c>
      <c r="H37" s="2" t="inlineStr">
        <is>
          <t>sparse_tail_audit</t>
        </is>
      </c>
      <c r="I37" s="2" t="inlineStr">
        <is>
          <t>withhold_runtime</t>
        </is>
      </c>
      <c r="J37" s="2" t="inlineStr">
        <is>
          <t>Retain the point in evidence QA and tail-influence discussion.</t>
        </is>
      </c>
      <c r="K37" s="2" t="inlineStr">
        <is>
          <t>Use it as a runtime knot or interpolate the 39.1-48.2 m/s gap.</t>
        </is>
      </c>
      <c r="L37" s="2" t="inlineStr">
        <is>
          <t>One clustered observation cannot stabilize the severe tail.</t>
        </is>
      </c>
      <c r="M37" s="2" t="inlineStr">
        <is>
          <t>Additional architecture-matched observations close the gap and tail.</t>
        </is>
      </c>
    </row>
    <row r="38">
      <c r="A38" s="2" t="inlineStr">
        <is>
          <t>TCWS-C107</t>
        </is>
      </c>
      <c r="B38" s="2" t="inlineStr">
        <is>
          <t>tropical_cyclone_wind</t>
        </is>
      </c>
      <c r="C38" s="2" t="inlineStr">
        <is>
          <t>The runtime curve is an unweighted site-level monotone PAVA fit linearized at pooled-block edges.</t>
        </is>
      </c>
      <c r="D38" s="2" t="inlineStr">
        <is>
          <t>method_decision</t>
        </is>
      </c>
      <c r="E38" s="2" t="inlineStr">
        <is>
          <t>TCWS-S020;GOVERNANCE_CONTRACT</t>
        </is>
      </c>
      <c r="F38" s="2" t="inlineStr">
        <is>
          <t>FIT_SUFFICIENT_STATISTICS and derivation script</t>
        </is>
      </c>
      <c r="G38" s="2" t="inlineStr">
        <is>
          <t>T3_engineering_proxy_or_adjacent_empirical</t>
        </is>
      </c>
      <c r="H38" s="2" t="inlineStr">
        <is>
          <t>fit_method</t>
        </is>
      </c>
      <c r="I38" s="2" t="inlineStr">
        <is>
          <t>historical_scope_only</t>
        </is>
      </c>
      <c r="J38" s="2" t="inlineStr">
        <is>
          <t>Reproduce deterministic nondecreasing block means and linear interpolation between recorded edges.</t>
        </is>
      </c>
      <c r="K38" s="2" t="inlineStr">
        <is>
          <t>Claim a source-published curve, iid confidence interval, claims calibration, or causal parametric fragility.</t>
        </is>
      </c>
      <c r="L38" s="2" t="inlineStr">
        <is>
          <t>Site weighting avoids inventing module counts; monotonic pooling is transparent for sparse zero-inflated observations. Consolidated v2 register: prior-version conclusion is scoped/superseded by TCWS-C220; the underlying evidence limitation is retained.</t>
        </is>
      </c>
      <c r="M38" s="2" t="inlineStr">
        <is>
          <t>A reviewed cluster-aware predictive method supersedes the screening fit.</t>
        </is>
      </c>
    </row>
    <row r="39">
      <c r="A39" s="2" t="inlineStr">
        <is>
          <t>TCWS-C108</t>
        </is>
      </c>
      <c r="B39" s="2" t="inlineStr">
        <is>
          <t>tropical_cyclone_wind</t>
        </is>
      </c>
      <c r="C39" s="2" t="inlineStr">
        <is>
          <t>No curve-intrinsic uncertainty distribution is carried.</t>
        </is>
      </c>
      <c r="D39" s="2" t="inlineStr">
        <is>
          <t>governance_decision</t>
        </is>
      </c>
      <c r="E39" s="2" t="inlineStr">
        <is>
          <t>TCWS-S020;GOVERNANCE_CONTRACT</t>
        </is>
      </c>
      <c r="F39" s="2" t="inlineStr">
        <is>
          <t>FIT_EVENT_SENSITIVITY_tropical_cyclone_wind_solar__model_v1_0__docs_r1.csv</t>
        </is>
      </c>
      <c r="G39" s="2" t="inlineStr">
        <is>
          <t>T4_placeholder_or_expert_judgment</t>
        </is>
      </c>
      <c r="H39" s="2" t="inlineStr">
        <is>
          <t>uncertainty_status</t>
        </is>
      </c>
      <c r="I39" s="2" t="inlineStr">
        <is>
          <t>withhold</t>
        </is>
      </c>
      <c r="J39" s="2" t="inlineStr">
        <is>
          <t>Flag event clustering and fit sensitivity.</t>
        </is>
      </c>
      <c r="K39" s="2" t="inlineStr">
        <is>
          <t>Treat row count as iid evidence or construct unsupported confidence bands.</t>
        </is>
      </c>
      <c r="L39" s="2" t="inlineStr">
        <is>
          <t>Events and sites are clustered; leave-Maria-out reduces the highest fitted block by about 5.41 times and the severe tail is sparse.</t>
        </is>
      </c>
      <c r="M39" s="2" t="inlineStr">
        <is>
          <t>A hierarchical event-aware uncertainty model passes review.</t>
        </is>
      </c>
    </row>
    <row r="40">
      <c r="A40" s="2" t="inlineStr">
        <is>
          <t>TCWS-C109</t>
        </is>
      </c>
      <c r="B40" s="2" t="inlineStr">
        <is>
          <t>tropical_cyclone_wind</t>
        </is>
      </c>
      <c r="C40" s="2" t="inlineStr">
        <is>
          <t>The observed site fraction already contains realized spatial extent and must not be multiplied by a second array exposure fraction.</t>
        </is>
      </c>
      <c r="D40" s="2" t="inlineStr">
        <is>
          <t>governance_decision</t>
        </is>
      </c>
      <c r="E40" s="2" t="inlineStr">
        <is>
          <t>TCWS-S003;TCWS-S020;TCWS-S021</t>
        </is>
      </c>
      <c r="F40" s="2" t="inlineStr">
        <is>
          <t>source endpoint definition</t>
        </is>
      </c>
      <c r="G40" s="2" t="inlineStr">
        <is>
          <t>T3_engineering_proxy_or_adjacent_empirical</t>
        </is>
      </c>
      <c r="H40" s="2" t="inlineStr">
        <is>
          <t>exposure_rule</t>
        </is>
      </c>
      <c r="I40" s="2" t="inlineStr">
        <is>
          <t>adopt</t>
        </is>
      </c>
      <c r="J40" s="2" t="inlineStr">
        <is>
          <t>Apply the DR once to the exact compatible module-hardware subject value.</t>
        </is>
      </c>
      <c r="K40" s="2" t="inlineStr">
        <is>
          <t>Apply an additional at-risk fraction or site overlap multiplier to the same response.</t>
        </is>
      </c>
      <c r="L40" s="2" t="inlineStr">
        <is>
          <t>A second fraction would double-attenuate the observed response.</t>
        </is>
      </c>
      <c r="M40" s="2" t="inlineStr">
        <is>
          <t>A future local-demand model changes the response grain.</t>
        </is>
      </c>
    </row>
    <row r="41">
      <c r="A41" s="2" t="inlineStr">
        <is>
          <t>TCWS-C110</t>
        </is>
      </c>
      <c r="B41" s="2" t="inlineStr">
        <is>
          <t>tropical_cyclone_wind</t>
        </is>
      </c>
      <c r="C41" s="2" t="inlineStr">
        <is>
          <t>The source does not isolate pure aerodynamic uplift from cascade or debris-related visible module loss.</t>
        </is>
      </c>
      <c r="D41" s="2" t="inlineStr">
        <is>
          <t>source_interpretation</t>
        </is>
      </c>
      <c r="E41" s="2" t="inlineStr">
        <is>
          <t>TCWS-S003;TCWS-S020;TCWS-S021</t>
        </is>
      </c>
      <c r="F41" s="2" t="inlineStr">
        <is>
          <t>paper discussion and dataset fields</t>
        </is>
      </c>
      <c r="G41" s="2" t="inlineStr">
        <is>
          <t>T3_engineering_proxy_or_adjacent_empirical</t>
        </is>
      </c>
      <c r="H41" s="2" t="inlineStr">
        <is>
          <t>causal_scope_acknowledgement</t>
        </is>
      </c>
      <c r="I41" s="2" t="inlineStr">
        <is>
          <t>adopt_with_limits</t>
        </is>
      </c>
      <c r="J41" s="2" t="inlineStr">
        <is>
          <t>Label output SOURCE_COMPOSITE_HURRICANE_MODULE_LOSS.</t>
        </is>
      </c>
      <c r="K41" s="2" t="inlineStr">
        <is>
          <t>Present the proxy as pure wind-pressure fragility or combine it with a debris module curve without overlap review.</t>
        </is>
      </c>
      <c r="L41" s="2" t="inlineStr">
        <is>
          <t>Post-event imagery does not identify the causal mechanism of each damaged module.</t>
        </is>
      </c>
      <c r="M41" s="2" t="inlineStr">
        <is>
          <t>Mechanism-labeled event observations become available.</t>
        </is>
      </c>
    </row>
    <row r="42">
      <c r="A42" s="2" t="inlineStr">
        <is>
          <t>TCWS-C111</t>
        </is>
      </c>
      <c r="B42" s="2" t="inlineStr">
        <is>
          <t>tropical_cyclone_wind</t>
        </is>
      </c>
      <c r="C42" s="2" t="inlineStr">
        <is>
          <t>Tracker modules and tracker SBOS are unsupported by this curve.</t>
        </is>
      </c>
      <c r="D42" s="2" t="inlineStr">
        <is>
          <t>governance_decision</t>
        </is>
      </c>
      <c r="E42" s="2" t="inlineStr">
        <is>
          <t>TCWS-S006;TCWS-S020</t>
        </is>
      </c>
      <c r="F42" s="2" t="inlineStr">
        <is>
          <t>manual cohort has only two ground tracking=true records</t>
        </is>
      </c>
      <c r="G42" s="2" t="inlineStr">
        <is>
          <t>T2_public_lab_standard_or_physics</t>
        </is>
      </c>
      <c r="H42" s="2" t="inlineStr">
        <is>
          <t>architecture_selector</t>
        </is>
      </c>
      <c r="I42" s="2" t="inlineStr">
        <is>
          <t>historical_scope_only</t>
        </is>
      </c>
      <c r="J42" s="2" t="inlineStr">
        <is>
          <t>Route tracking=false source-cohort screening only.</t>
        </is>
      </c>
      <c r="K42" s="2" t="inlineStr">
        <is>
          <t>Fallback from tracker to fixed tilt or infer stow benefit.</t>
        </is>
      </c>
      <c r="L42" s="2" t="inlineStr">
        <is>
          <t>Two tracker records cannot support a tracker route and tracker controls change response. Consolidated v2 register: prior-version conclusion is scoped/superseded by TCWS2-C005/009; the underlying evidence limitation is retained.</t>
        </is>
      </c>
      <c r="M42" s="2" t="inlineStr">
        <is>
          <t>A qualified tracker dataset passes the full evidence chain.</t>
        </is>
      </c>
    </row>
    <row r="43">
      <c r="A43" s="2" t="inlineStr">
        <is>
          <t>TCWS-C112</t>
        </is>
      </c>
      <c r="B43" s="2" t="inlineStr">
        <is>
          <t>tropical_cyclone_wind</t>
        </is>
      </c>
      <c r="C43" s="2" t="inlineStr">
        <is>
          <t>Racking, foundations, power conversion, collection, GSU, SCADA, civil, fieldwork, logistics, and hidden damage remain withheld rather than zero.</t>
        </is>
      </c>
      <c r="D43" s="2" t="inlineStr">
        <is>
          <t>governance_decision</t>
        </is>
      </c>
      <c r="E43" s="2" t="inlineStr">
        <is>
          <t>TCWS-S003;TCWS-S006;TCWS-S020;GOVERNANCE_CONTRACT</t>
        </is>
      </c>
      <c r="F43" s="2" t="inlineStr">
        <is>
          <t>failure-unit coverage audit</t>
        </is>
      </c>
      <c r="G43" s="2" t="inlineStr">
        <is>
          <t>T4_placeholder_or_expert_judgment</t>
        </is>
      </c>
      <c r="H43" s="2" t="inlineStr">
        <is>
          <t>partial_coverage</t>
        </is>
      </c>
      <c r="I43" s="2" t="inlineStr">
        <is>
          <t>withhold</t>
        </is>
      </c>
      <c r="J43" s="2" t="inlineStr">
        <is>
          <t>Emit explicit null results and reason codes.</t>
        </is>
      </c>
      <c r="K43" s="2" t="inlineStr">
        <is>
          <t>Transfer the module proxy, assume zero loss, or multiply by plant TIV.</t>
        </is>
      </c>
      <c r="L43" s="2" t="inlineStr">
        <is>
          <t>The source endpoint and value bridge cover visible module hardware only.</t>
        </is>
      </c>
      <c r="M43" s="2" t="inlineStr">
        <is>
          <t>Failure-unit-specific evidence and value chains pass review.</t>
        </is>
      </c>
    </row>
    <row r="44">
      <c r="A44" s="2" t="inlineStr">
        <is>
          <t>TCWS-C113</t>
        </is>
      </c>
      <c r="B44" s="2" t="inlineStr">
        <is>
          <t>tropical_cyclone_wind</t>
        </is>
      </c>
      <c r="C44" s="2" t="inlineStr">
        <is>
          <t>Scenario dollar loss and all annual or tail metrics are withheld before canonical promotion.</t>
        </is>
      </c>
      <c r="D44" s="2" t="inlineStr">
        <is>
          <t>governance_decision</t>
        </is>
      </c>
      <c r="E44" s="2" t="inlineStr">
        <is>
          <t>TCWS-S013;GOVERNANCE_CONTRACT</t>
        </is>
      </c>
      <c r="F44" s="2" t="inlineStr">
        <is>
          <t>capability and value-linkage gate</t>
        </is>
      </c>
      <c r="G44" s="2" t="inlineStr">
        <is>
          <t>T4_placeholder_or_expert_judgment</t>
        </is>
      </c>
      <c r="H44" s="2" t="inlineStr">
        <is>
          <t>loss_capability</t>
        </is>
      </c>
      <c r="I44" s="2" t="inlineStr">
        <is>
          <t>withhold</t>
        </is>
      </c>
      <c r="J44" s="2" t="inlineStr">
        <is>
          <t>Review scalar source-unit DR independently of financial output.</t>
        </is>
      </c>
      <c r="K44" s="2" t="inlineStr">
        <is>
          <t>Use the NLR benchmark, full TIV, EAL, PML, VaR, or TVaR from this proposal.</t>
        </is>
      </c>
      <c r="L44" s="2" t="inlineStr">
        <is>
          <t>The proposal is noncanonical and has partial physical and value coverage.</t>
        </is>
      </c>
      <c r="M44" s="2" t="inlineStr">
        <is>
          <t>Canonical promotion plus exact site module-hardware value and consumer validation.</t>
        </is>
      </c>
    </row>
    <row r="45">
      <c r="A45" s="2" t="inlineStr">
        <is>
          <t>TCWS-C114</t>
        </is>
      </c>
      <c r="B45" s="2" t="inlineStr">
        <is>
          <t>tropical_cyclone_wind</t>
        </is>
      </c>
      <c r="C45" s="2" t="inlineStr">
        <is>
          <t>Raw DOI files are hash-pinned but not redistributed in-repository because the archive metadata reports no license.</t>
        </is>
      </c>
      <c r="D45" s="2" t="inlineStr">
        <is>
          <t>governance_decision</t>
        </is>
      </c>
      <c r="E45" s="2" t="inlineStr">
        <is>
          <t>TCWS-S020;TCWS-S021</t>
        </is>
      </c>
      <c r="F45" s="2" t="inlineStr">
        <is>
          <t>DOI resource metadata and pinned file hashes</t>
        </is>
      </c>
      <c r="G45" s="2" t="inlineStr">
        <is>
          <t>T4_placeholder_or_expert_judgment</t>
        </is>
      </c>
      <c r="H45" s="2" t="inlineStr">
        <is>
          <t>source_file_handling</t>
        </is>
      </c>
      <c r="I45" s="2" t="inlineStr">
        <is>
          <t>adopt</t>
        </is>
      </c>
      <c r="J45" s="2" t="inlineStr">
        <is>
          <t>Publish sufficient statistics and a reproducible derivation script that requires a user-supplied DOI download.</t>
        </is>
      </c>
      <c r="K45" s="2" t="inlineStr">
        <is>
          <t>Commit the raw CSV or PDF as if reuse permission were granted.</t>
        </is>
      </c>
      <c r="L45" s="2" t="inlineStr">
        <is>
          <t>A public download is not the same as an explicit redistribution license.</t>
        </is>
      </c>
      <c r="M45" s="2" t="inlineStr">
        <is>
          <t>The archive supplies a compatible license or written permission.</t>
        </is>
      </c>
    </row>
    <row r="46">
      <c r="A46" s="2" t="inlineStr">
        <is>
          <t>TCWS-C115</t>
        </is>
      </c>
      <c r="B46" s="2" t="inlineStr">
        <is>
          <t>tropical_cyclone_wind</t>
        </is>
      </c>
      <c r="C46" s="2" t="inlineStr">
        <is>
          <t>Ceferino Supplementary Table 2 and Perry report materially different damage percentages at four apparent coordinate-nearest Caribbean matches and must not be pooled as one measurement system.</t>
        </is>
      </c>
      <c r="D46" s="2" t="inlineStr">
        <is>
          <t>cross_source_discrepancy</t>
        </is>
      </c>
      <c r="E46" s="2" t="inlineStr">
        <is>
          <t>TCWS-S003;TCWS-S020;TCWS-S022</t>
        </is>
      </c>
      <c r="F46" s="2" t="inlineStr">
        <is>
          <t>CROSS_METHOD_MATCH_AUDIT_tropical_cyclone_wind_solar__model_v1_0__docs_r1.csv; Ceferino Supplementary Table 2 p. 4; Perry aggregate CSV lines 7, 74, 242, 257</t>
        </is>
      </c>
      <c r="G46" s="2" t="inlineStr">
        <is>
          <t>T3_engineering_proxy_or_adjacent_empirical</t>
        </is>
      </c>
      <c r="H46" s="2" t="inlineStr">
        <is>
          <t>cross_method_same_event_endpoint_challenge</t>
        </is>
      </c>
      <c r="I46" s="2" t="inlineStr">
        <is>
          <t>adopt_as_limitation</t>
        </is>
      </c>
      <c r="J46" s="2" t="inlineStr">
        <is>
          <t>Treat the disagreement as correlated cross-method evidence of measurement and endpoint uncertainty and block canonical promotion.</t>
        </is>
      </c>
      <c r="K46" s="2" t="inlineStr">
        <is>
          <t>Average, pool, treat the values as independent labels, assert an authoritative identity join, or use Ceferino/Perry aggregate values in the Perry manual-cohort PAVA fit.</t>
        </is>
      </c>
      <c r="L46" s="2" t="inlineStr">
        <is>
          <t>The analyst-derived nearest-coordinate rule finds four same-event utility/ground records within 500 m, but no authoritative shared site identifier adjudicates identity; the sources use different labeling methods and do not establish one common endpoint.</t>
        </is>
      </c>
      <c r="M46" s="2" t="inlineStr">
        <is>
          <t>A reconciled site-level adjudication establishes shared identity and common endpoint semantics.</t>
        </is>
      </c>
    </row>
    <row r="47">
      <c r="A47" s="2" t="inlineStr">
        <is>
          <t>TCWS-C116</t>
        </is>
      </c>
      <c r="B47" s="2" t="inlineStr">
        <is>
          <t>tropical_cyclone_wind</t>
        </is>
      </c>
      <c r="C47" s="2" t="inlineStr">
        <is>
          <t>Under the strict evidence-earned economic-DR gate, current evidence supports a docs-only v0.1 update rather than a numerical model v1.</t>
        </is>
      </c>
      <c r="D47" s="2" t="inlineStr">
        <is>
          <t>independent_review_finding</t>
        </is>
      </c>
      <c r="E47" s="2" t="inlineStr">
        <is>
          <t>TCWS-S020;TCWS-S021;TCWS-S022;GOVERNANCE_CONTRACT</t>
        </is>
      </c>
      <c r="F47" s="2" t="inlineStr">
        <is>
          <t>independent primary-source and repo audits dated 2026-07-29</t>
        </is>
      </c>
      <c r="G47" s="2" t="inlineStr">
        <is>
          <t>T4_placeholder_or_expert_judgment</t>
        </is>
      </c>
      <c r="H47" s="2" t="inlineStr">
        <is>
          <t>strict_gate_outcome</t>
        </is>
      </c>
      <c r="I47" s="2" t="inlineStr">
        <is>
          <t>adopt_as_limitation</t>
        </is>
      </c>
      <c r="J47" s="2" t="inlineStr">
        <is>
          <t>Label model v1 as a deliberate coverage-first noncanonical screening exception only.</t>
        </is>
      </c>
      <c r="K47" s="2" t="inlineStr">
        <is>
          <t>Describe model v1 as evidence-earned, canonical, field-calibrated economic DR, or ready for Hazard cutover.</t>
        </is>
      </c>
      <c r="L47" s="2" t="inlineStr">
        <is>
          <t>The T4 ordinate bridge, population transfer, source-axis ambiguity, endpoint conflict, clustering, and sparse tail remain unresolved.</t>
        </is>
      </c>
      <c r="M47" s="2" t="inlineStr">
        <is>
          <t>All strict promotion gates pass.</t>
        </is>
      </c>
    </row>
    <row r="48">
      <c r="A48" s="2" t="inlineStr">
        <is>
          <t>TCWS-C117</t>
        </is>
      </c>
      <c r="B48" s="2" t="inlineStr">
        <is>
          <t>tropical_cyclone_wind</t>
        </is>
      </c>
      <c r="C48" s="2" t="inlineStr">
        <is>
          <t>The released manual CSV has 47 rows and omits the paper-described site_type field, so the governed cohort follows the released file rather than the paper's narrative count/schema.</t>
        </is>
      </c>
      <c r="D48" s="2" t="inlineStr">
        <is>
          <t>source_release_discrepancy</t>
        </is>
      </c>
      <c r="E48" s="2" t="inlineStr">
        <is>
          <t>TCWS-S003;TCWS-S020</t>
        </is>
      </c>
      <c r="F48" s="2" t="inlineStr">
        <is>
          <t>paper Methods/Data Availability compared with manual CSV header and row count</t>
        </is>
      </c>
      <c r="G48" s="2" t="inlineStr">
        <is>
          <t>T1_claims_or_field_calibrated</t>
        </is>
      </c>
      <c r="H48" s="2" t="inlineStr">
        <is>
          <t>source_release_schema_qa</t>
        </is>
      </c>
      <c r="I48" s="2" t="inlineStr">
        <is>
          <t>adopt_as_limitation</t>
        </is>
      </c>
      <c r="J48" s="2" t="inlineStr">
        <is>
          <t>Pin 47 rows, the released columns, and the exact SHA for reproducibility.</t>
        </is>
      </c>
      <c r="K48" s="2" t="inlineStr">
        <is>
          <t>Silently assume a 48th row, infer site type from missing fields, or call the 35-row cohort utility-scale.</t>
        </is>
      </c>
      <c r="L48" s="2" t="inlineStr">
        <is>
          <t>The public artifact and narrative do not fully align; the released file is the reproducible numerical object.</t>
        </is>
      </c>
      <c r="M48" s="2" t="inlineStr">
        <is>
          <t>Authors publish a corrected/versioned data release and change log.</t>
        </is>
      </c>
    </row>
    <row r="49">
      <c r="A49" s="2" t="inlineStr">
        <is>
          <t>TCWS-C118</t>
        </is>
      </c>
      <c r="B49" s="2" t="inlineStr">
        <is>
          <t>tropical_cyclone_wind</t>
        </is>
      </c>
      <c r="C49" s="2" t="inlineStr">
        <is>
          <t>Ceferino's paper defines extensive failure using a strict greater-than-50-percent threshold, but Supplementary Table 2 contains one site at exactly 50 percent: the table yields 4/14 under greater-than 50 percent, while the reported 36 percent corresponds to 5/14 only when 50 percent is included.</t>
        </is>
      </c>
      <c r="D49" s="2" t="inlineStr">
        <is>
          <t>source_internal_threshold_discrepancy</t>
        </is>
      </c>
      <c r="E49" s="2" t="inlineStr">
        <is>
          <t>TCWS-S002;TCWS-S022</t>
        </is>
      </c>
      <c r="F49" s="2" t="inlineStr">
        <is>
          <t>paper Section 2.1 and Supplementary Table 2 p. 4</t>
        </is>
      </c>
      <c r="G49" s="2" t="inlineStr">
        <is>
          <t>T1_claims_or_field_calibrated</t>
        </is>
      </c>
      <c r="H49" s="2" t="inlineStr">
        <is>
          <t>ceferino_binary_endpoint_reproduction</t>
        </is>
      </c>
      <c r="I49" s="2" t="inlineStr">
        <is>
          <t>adopt_as_limitation</t>
        </is>
      </c>
      <c r="J49" s="2" t="inlineStr">
        <is>
          <t>Retain the discrepancy as a governed endpoint-semantics warning and do not independently reproduce the binary calibration count from the supplement.</t>
        </is>
      </c>
      <c r="K49" s="2" t="inlineStr">
        <is>
          <t>Silently classify the 50-percent row, claim that the supplement exactly reproduces the reported binary sample, or use either count in the Perry fit.</t>
        </is>
      </c>
      <c r="L49" s="2" t="inlineStr">
        <is>
          <t>The strict textual threshold and the reported proportion cannot both be reproduced from the tabulated percentages without an inclusion convention or author clarification.</t>
        </is>
      </c>
      <c r="M49" s="2" t="inlineStr">
        <is>
          <t>Authors publish a corrected threshold, exact binary labels, or a site-level calibration table.</t>
        </is>
      </c>
    </row>
    <row r="50">
      <c r="A50" s="2" t="inlineStr">
        <is>
          <t>TCWS-C201</t>
        </is>
      </c>
      <c r="B50" s="2" t="inlineStr">
        <is>
          <t>tropical_cyclone_wind</t>
        </is>
      </c>
      <c r="C50" s="2" t="inlineStr">
        <is>
          <t>Perry identifies Visual Crossing API as the study-level hurricane maximum-gust provider, while the released row-level station, product, query, duration, height, exposure, retrieval-version, time-of-maximum, and uncertainty lineage remains unresolved.</t>
        </is>
      </c>
      <c r="D50" s="2" t="inlineStr">
        <is>
          <t>source_semantics_correction</t>
        </is>
      </c>
      <c r="E50" s="2" t="inlineStr">
        <is>
          <t>TCWS-S003;TCWS-S020;TCWS-S023;TCWS-S024</t>
        </is>
      </c>
      <c r="F50" s="2" t="inlineStr">
        <is>
          <t>Perry Figure 3 journal p. 1015; released manual CSV schema; Visual Crossing wind and historical-construction documentation</t>
        </is>
      </c>
      <c r="G50" s="2" t="inlineStr">
        <is>
          <t>T3_engineering_proxy_or_adjacent_empirical</t>
        </is>
      </c>
      <c r="H50" s="2" t="inlineStr">
        <is>
          <t>perry_axis_provider_wording</t>
        </is>
      </c>
      <c r="I50" s="2" t="inlineStr">
        <is>
          <t>adopt</t>
        </is>
      </c>
      <c r="J50" s="2" t="inlineStr">
        <is>
          <t>State Visual Crossing as study-level provider and retain the exact Perry source-axis label.</t>
        </is>
      </c>
      <c r="K50" s="2" t="inlineStr">
        <is>
          <t>Call the Perry field measured at site, exact 3-second, ASCE Exposure C, reproducible from today's API, or a single station/grid product.</t>
        </is>
      </c>
      <c r="L50" s="2" t="inlineStr">
        <is>
          <t>Provider identity does not recover the discarded row-level query and reference-frame lineage.</t>
        </is>
      </c>
      <c r="M50" s="2" t="inlineStr">
        <is>
          <t>Archived author request/response records and station contributors are released.</t>
        </is>
      </c>
    </row>
    <row r="51">
      <c r="A51" s="2" t="inlineStr">
        <is>
          <t>TCWS-C202</t>
        </is>
      </c>
      <c r="B51" s="2" t="inlineStr">
        <is>
          <t>tropical_cyclone_wind</t>
        </is>
      </c>
      <c r="C51" s="2" t="inlineStr">
        <is>
          <t>No portable identity or fixed-factor bridge is supported between Hazard's modeled 3-second gust object and the Perry dataset-reported event maximum gust.</t>
        </is>
      </c>
      <c r="D51" s="2" t="inlineStr">
        <is>
          <t>axis_bridge_decision</t>
        </is>
      </c>
      <c r="E51" s="2" t="inlineStr">
        <is>
          <t>TCWS-S003;TCWS-S005;TCWS-S020;TCWS-S023;TCWS-S024;GOVERNANCE_CONTRACT</t>
        </is>
      </c>
      <c r="F51" s="2" t="inlineStr">
        <is>
          <t>axis audit dated 2026-07-29 and consumer handoff comparison</t>
        </is>
      </c>
      <c r="G51" s="2" t="inlineStr">
        <is>
          <t>T4_placeholder_or_expert_judgment</t>
        </is>
      </c>
      <c r="H51" s="2" t="inlineStr">
        <is>
          <t>hazard_to_perry_axis_bridge</t>
        </is>
      </c>
      <c r="I51" s="2" t="inlineStr">
        <is>
          <t>withhold</t>
        </is>
      </c>
      <c r="J51" s="2" t="inlineStr">
        <is>
          <t>Evaluate only the exact Perry field within the pinned source range.</t>
        </is>
      </c>
      <c r="K51" s="2" t="inlineStr">
        <is>
          <t>Pass ordinary Hazard gust, NHC sustained wind, ASCE design wind, category, or another gust product directly into the curve.</t>
        </is>
      </c>
      <c r="L51" s="2" t="inlineStr">
        <is>
          <t>Matching units cannot close duration, spatial, exposure, product, and query semantics.</t>
        </is>
      </c>
      <c r="M51" s="2" t="inlineStr">
        <is>
          <t>A versioned paired reconstruction and held-out transfer validation pass review.</t>
        </is>
      </c>
    </row>
    <row r="52">
      <c r="A52" s="2" t="inlineStr">
        <is>
          <t>TCWS-C203</t>
        </is>
      </c>
      <c r="B52" s="2" t="inlineStr">
        <is>
          <t>tropical_cyclone_wind</t>
        </is>
      </c>
      <c r="C52" s="2" t="inlineStr">
        <is>
          <t>Paper and released manual-data inconsistencies include 48 versus 47 sites, one Florence count difference, differing event-window end dates, and a combined Irma/Maria narrative whose manual rows are Maria-labeled with a Maria-only window.</t>
        </is>
      </c>
      <c r="D52" s="2" t="inlineStr">
        <is>
          <t>source_release_discrepancy</t>
        </is>
      </c>
      <c r="E52" s="2" t="inlineStr">
        <is>
          <t>TCWS-S003;TCWS-S020</t>
        </is>
      </c>
      <c r="F52" s="2" t="inlineStr">
        <is>
          <t>paper Methods and Figures 3-5 compared with pinned manual CSV</t>
        </is>
      </c>
      <c r="G52" s="2" t="inlineStr">
        <is>
          <t>T1_claims_or_field_calibrated</t>
        </is>
      </c>
      <c r="H52" s="2" t="inlineStr">
        <is>
          <t>event_window_lineage_qa</t>
        </is>
      </c>
      <c r="I52" s="2" t="inlineStr">
        <is>
          <t>adopt_as_limitation</t>
        </is>
      </c>
      <c r="J52" s="2" t="inlineStr">
        <is>
          <t>Use the pinned released CSV and record the attribution uncertainty.</t>
        </is>
      </c>
      <c r="K52" s="2" t="inlineStr">
        <is>
          <t>Silently reconstruct a missing row, relabel events, or infer portable event-window gust semantics.</t>
        </is>
      </c>
      <c r="L52" s="2" t="inlineStr">
        <is>
          <t>The numerical file is reproducible but not fully identical to the paper narrative.</t>
        </is>
      </c>
      <c r="M52" s="2" t="inlineStr">
        <is>
          <t>Authors publish a corrected versioned release and change log.</t>
        </is>
      </c>
    </row>
    <row r="53">
      <c r="A53" s="2" t="inlineStr">
        <is>
          <t>TCWS-C204</t>
        </is>
      </c>
      <c r="B53" s="2" t="inlineStr">
        <is>
          <t>tropical_cyclone_wind</t>
        </is>
      </c>
      <c r="C53" s="2" t="inlineStr">
        <is>
          <t>Typhoon Mawar ground fixed-tilt observations provide a severe-event audit but do not support a Perry tail fit or a generic gust-only solar curve.</t>
        </is>
      </c>
      <c r="D53" s="2" t="inlineStr">
        <is>
          <t>external_severe_audit</t>
        </is>
      </c>
      <c r="E53" s="2" t="inlineStr">
        <is>
          <t>TCWS-S025</t>
        </is>
      </c>
      <c r="F53" s="2" t="inlineStr">
        <is>
          <t>report pp. 9-12 and Figure A-2 p. 78</t>
        </is>
      </c>
      <c r="G53" s="2" t="inlineStr">
        <is>
          <t>T3_engineering_proxy_or_adjacent_empirical</t>
        </is>
      </c>
      <c r="H53" s="2" t="inlineStr">
        <is>
          <t>severe_tail_external_audit</t>
        </is>
      </c>
      <c r="I53" s="2" t="inlineStr">
        <is>
          <t>adopt_as_limitation</t>
        </is>
      </c>
      <c r="J53" s="2" t="inlineStr">
        <is>
          <t>Use near-zero visible ground-module loss under severe estimated winds as a transfer challenge.</t>
        </is>
      </c>
      <c r="K53" s="2" t="inlineStr">
        <is>
          <t>Pool Mawar with Perry or infer tail shape, economic DR, or immunity.</t>
        </is>
      </c>
      <c r="L53" s="2" t="inlineStr">
        <is>
          <t>Wind, architecture, installation quality, response endpoint, and measurement basis are not compatible with the Perry atom.</t>
        </is>
      </c>
      <c r="M53" s="2" t="inlineStr">
        <is>
          <t>Architecture-matched raw data and a qualified common wind axis become available.</t>
        </is>
      </c>
    </row>
    <row r="54">
      <c r="A54" s="2" t="inlineStr">
        <is>
          <t>TCWS-C205</t>
        </is>
      </c>
      <c r="B54" s="2" t="inlineStr">
        <is>
          <t>tropical_cyclone_wind</t>
        </is>
      </c>
      <c r="C54" s="2" t="inlineStr">
        <is>
          <t>Mawar's report contains conflicting ground-module damage counts and some inconsistent site wind summaries, so its rows remain audit-only pending clarification.</t>
        </is>
      </c>
      <c r="D54" s="2" t="inlineStr">
        <is>
          <t>source_internal_discrepancy</t>
        </is>
      </c>
      <c r="E54" s="2" t="inlineStr">
        <is>
          <t>TCWS-S025</t>
        </is>
      </c>
      <c r="F54" s="2" t="inlineStr">
        <is>
          <t>Table 1, Table 7, Figure A-2, and Dandan detailed assessment</t>
        </is>
      </c>
      <c r="G54" s="2" t="inlineStr">
        <is>
          <t>T1_claims_or_field_calibrated</t>
        </is>
      </c>
      <c r="H54" s="2" t="inlineStr">
        <is>
          <t>mawar_numerical_ingestion_gate</t>
        </is>
      </c>
      <c r="I54" s="2" t="inlineStr">
        <is>
          <t>withhold</t>
        </is>
      </c>
      <c r="J54" s="2" t="inlineStr">
        <is>
          <t>Retain qualitative and bounded audit conclusions.</t>
        </is>
      </c>
      <c r="K54" s="2" t="inlineStr">
        <is>
          <t>Serialize one conflicting count or wind estimate as a governed curve record.</t>
        </is>
      </c>
      <c r="L54" s="2" t="inlineStr">
        <is>
          <t>A numerical atom must have one adjudicated numerator, denominator, and demand record.</t>
        </is>
      </c>
      <c r="M54" s="2" t="inlineStr">
        <is>
          <t>Authors or repository publish corrected machine-readable data.</t>
        </is>
      </c>
    </row>
    <row r="55">
      <c r="A55" s="2" t="inlineStr">
        <is>
          <t>TCWS-C206</t>
        </is>
      </c>
      <c r="B55" s="2" t="inlineStr">
        <is>
          <t>tropical_cyclone_wind</t>
        </is>
      </c>
      <c r="C55" s="2" t="inlineStr">
        <is>
          <t>Typhoon Yagi's regional satellite-area loss and generic unit-area cost are not compatible with the Perry failure unit or the repository economic DR ordinate.</t>
        </is>
      </c>
      <c r="D55" s="2" t="inlineStr">
        <is>
          <t>cross_source_endpoint_decision</t>
        </is>
      </c>
      <c r="E55" s="2" t="inlineStr">
        <is>
          <t>TCWS-S026;TCWS-S027</t>
        </is>
      </c>
      <c r="F55" s="2" t="inlineStr">
        <is>
          <t>Methods Sections 2.1.2, 2.2.3-2.2.4, Eq. 8, results, and limitations</t>
        </is>
      </c>
      <c r="G55" s="2" t="inlineStr">
        <is>
          <t>T3_engineering_proxy_or_adjacent_empirical</t>
        </is>
      </c>
      <c r="H55" s="2" t="inlineStr">
        <is>
          <t>yagi_transfer_rule</t>
        </is>
      </c>
      <c r="I55" s="2" t="inlineStr">
        <is>
          <t>audit_only</t>
        </is>
      </c>
      <c r="J55" s="2" t="inlineStr">
        <is>
          <t>Use as a regional event-scale external screen and acquisition lesson.</t>
        </is>
      </c>
      <c r="K55" s="2" t="inlineStr">
        <is>
          <t>Transfer wind-scale coefficients, area loss, or generic costs to module, rack, plant, or same-unit DR.</t>
        </is>
      </c>
      <c r="L55" s="2" t="inlineStr">
        <is>
          <t>Architecture and component disposition are unknown and the cost is not observed same-unit repair cost.</t>
        </is>
      </c>
      <c r="M55" s="2" t="inlineStr">
        <is>
          <t>Architecture-resolved inspection and cost/value records are released.</t>
        </is>
      </c>
    </row>
    <row r="56">
      <c r="A56" s="2" t="inlineStr">
        <is>
          <t>TCWS-C207</t>
        </is>
      </c>
      <c r="B56" s="2" t="inlineStr">
        <is>
          <t>tropical_cyclone_wind</t>
        </is>
      </c>
      <c r="C56" s="2" t="inlineStr">
        <is>
          <t>Current evidence does not support a tracker route, fixed-to-tracker fallback, or generic stow credit.</t>
        </is>
      </c>
      <c r="D56" s="2" t="inlineStr">
        <is>
          <t>architecture_release_decision</t>
        </is>
      </c>
      <c r="E56" s="2" t="inlineStr">
        <is>
          <t>TCWS-S006;TCWS-S020;TCWS-S025;TCWS-S038;TCWS-S039</t>
        </is>
      </c>
      <c r="F56" s="2" t="inlineStr">
        <is>
          <t>Perry tracker count; Mawar tracker section; OEM cases</t>
        </is>
      </c>
      <c r="G56" s="2" t="inlineStr">
        <is>
          <t>T4_placeholder_or_expert_judgment</t>
        </is>
      </c>
      <c r="H56" s="2" t="inlineStr">
        <is>
          <t>tracker_route_status</t>
        </is>
      </c>
      <c r="I56" s="2" t="inlineStr">
        <is>
          <t>historical_scope_only</t>
        </is>
      </c>
      <c r="J56" s="2" t="inlineStr">
        <is>
          <t>Capture tracker identity and command/attained state for future evidence.</t>
        </is>
      </c>
      <c r="K56" s="2" t="inlineStr">
        <is>
          <t>Use the fixed Perry curve for trackers or emit favorable response from a commanded stow state.</t>
        </is>
      </c>
      <c r="L56" s="2" t="inlineStr">
        <is>
          <t>Two Perry rows, zero Mawar trackers, and incomplete OEM cases cannot define response or cost. Consolidated v2 register: prior-version conclusion is scoped/superseded by TCWS2-C001/009/010; the underlying evidence limitation is retained.</t>
        </is>
      </c>
      <c r="M56" s="2" t="inlineStr">
        <is>
          <t>A multi-event tracker cohort closes demand, attained state, inspection, disposition, and economics.</t>
        </is>
      </c>
    </row>
    <row r="57">
      <c r="A57" s="2" t="inlineStr">
        <is>
          <t>TCWS-C208</t>
        </is>
      </c>
      <c r="B57" s="2" t="inlineStr">
        <is>
          <t>tropical_cyclone_wind</t>
        </is>
      </c>
      <c r="C57" s="2" t="inlineStr">
        <is>
          <t>FPL's reported fleet panel damage or replacement fractions are censored occurrence-count observations, not economic damage ratios or site fragility points.</t>
        </is>
      </c>
      <c r="D57" s="2" t="inlineStr">
        <is>
          <t>field_occurrence_boundary</t>
        </is>
      </c>
      <c r="E57" s="2" t="inlineStr">
        <is>
          <t>TCWS-S028;TCWS-S030;TCWS-S031</t>
        </is>
      </c>
      <c r="F57" s="2" t="inlineStr">
        <is>
          <t>FPL Jarro Ian and Milton testimony and Helene/Milton testimony</t>
        </is>
      </c>
      <c r="G57" s="2" t="inlineStr">
        <is>
          <t>T1_claims_or_field_calibrated</t>
        </is>
      </c>
      <c r="H57" s="2" t="inlineStr">
        <is>
          <t>fleet_panel_fraction_use</t>
        </is>
      </c>
      <c r="I57" s="2" t="inlineStr">
        <is>
          <t>adopt_with_limits</t>
        </is>
      </c>
      <c r="J57" s="2" t="inlineStr">
        <is>
          <t>Use the stated bounds for external validation and data-request design.</t>
        </is>
      </c>
      <c r="K57" s="2" t="inlineStr">
        <is>
          <t>Treat them as site DR, pair them to an assumed gust, or multiply them by module or plant value.</t>
        </is>
      </c>
      <c r="L57" s="2" t="inlineStr">
        <is>
          <t>The reports omit a common exposed-site denominator, local intensity, architecture, and same-unit cost/value.</t>
        </is>
      </c>
      <c r="M57" s="2" t="inlineStr">
        <is>
          <t>Event/site/component records with exact denominators and wind are supplied.</t>
        </is>
      </c>
    </row>
    <row r="58">
      <c r="A58" s="2" t="inlineStr">
        <is>
          <t>TCWS-C209</t>
        </is>
      </c>
      <c r="B58" s="2" t="inlineStr">
        <is>
          <t>tropical_cyclone_wind</t>
        </is>
      </c>
      <c r="C58" s="2" t="inlineStr">
        <is>
          <t>Regulatory restoration schedules show that contractor, logistics, labor, material, vehicle, inspection, and civil scopes can be material and must be separated and allocated once.</t>
        </is>
      </c>
      <c r="D58" s="2" t="inlineStr">
        <is>
          <t>cost_scope_boundary</t>
        </is>
      </c>
      <c r="E58" s="2" t="inlineStr">
        <is>
          <t>TCWS-S028;TCWS-S029;TCWS-S030</t>
        </is>
      </c>
      <c r="F58" s="2" t="inlineStr">
        <is>
          <t>FPL restoration testimony and cost exhibits</t>
        </is>
      </c>
      <c r="G58" s="2" t="inlineStr">
        <is>
          <t>T3_engineering_proxy_or_adjacent_empirical</t>
        </is>
      </c>
      <c r="H58" s="2" t="inlineStr">
        <is>
          <t>support_allocation_rule</t>
        </is>
      </c>
      <c r="I58" s="2" t="inlineStr">
        <is>
          <t>adopt</t>
        </is>
      </c>
      <c r="J58" s="2" t="inlineStr">
        <is>
          <t>Design work-order ingestion and once-only support allocation.</t>
        </is>
      </c>
      <c r="K58" s="2" t="inlineStr">
        <is>
          <t>Use mixed generation cost shares as solar vulnerability, failure-unit DR, or default support multipliers.</t>
        </is>
      </c>
      <c r="L58" s="2" t="inlineStr">
        <is>
          <t>The cost buckets span preparation, restoration, logistics, inspection, civil work, and multiple facilities.</t>
        </is>
      </c>
      <c r="M58" s="2" t="inlineStr">
        <is>
          <t>Failure-unit-linked work orders and an approved allocation ledger become available.</t>
        </is>
      </c>
    </row>
    <row r="59">
      <c r="A59" s="2" t="inlineStr">
        <is>
          <t>TCWS-C210</t>
        </is>
      </c>
      <c r="B59" s="2" t="inlineStr">
        <is>
          <t>tropical_cyclone_wind</t>
        </is>
      </c>
      <c r="C59" s="2" t="inlineStr">
        <is>
          <t>FEMA field cases support architecture-specific module, post, purlin, connector, and rack physical states but not same-unit economic DR.</t>
        </is>
      </c>
      <c r="D59" s="2" t="inlineStr">
        <is>
          <t>physical_occurrence_evidence</t>
        </is>
      </c>
      <c r="E59" s="2" t="inlineStr">
        <is>
          <t>TCWS-S032</t>
        </is>
      </c>
      <c r="F59" s="2" t="inlineStr">
        <is>
          <t>USVI MAT Sections 7.1.2-7.1.3</t>
        </is>
      </c>
      <c r="G59" s="2" t="inlineStr">
        <is>
          <t>T1_claims_or_field_calibrated</t>
        </is>
      </c>
      <c r="H59" s="2" t="inlineStr">
        <is>
          <t>fixed_structure_occurrence_use</t>
        </is>
      </c>
      <c r="I59" s="2" t="inlineStr">
        <is>
          <t>adopt_with_limits</t>
        </is>
      </c>
      <c r="J59" s="2" t="inlineStr">
        <is>
          <t>Use physical counts and mechanisms for failure-unit and inspection design.</t>
        </is>
      </c>
      <c r="K59" s="2" t="inlineStr">
        <is>
          <t>Convert affected fractions or qualitative facility damage directly to economic DR.</t>
        </is>
      </c>
      <c r="L59" s="2" t="inlineStr">
        <is>
          <t>Repair disposition, invoices, salvage, and matching replacement value are absent.</t>
        </is>
      </c>
      <c r="M59" s="2" t="inlineStr">
        <is>
          <t>Owner/adjuster cost and value schedules join to the inspected units.</t>
        </is>
      </c>
    </row>
    <row r="60">
      <c r="A60" s="2" t="inlineStr">
        <is>
          <t>TCWS-C211</t>
        </is>
      </c>
      <c r="B60" s="2" t="inlineStr">
        <is>
          <t>tropical_cyclone_wind</t>
        </is>
      </c>
      <c r="C60" s="2" t="inlineStr">
        <is>
          <t>Owner records document removal, redesign, limited repair, and electrical replacement outcomes, but redesign and compound electrical damage prevent like-kind wind DR calibration.</t>
        </is>
      </c>
      <c r="D60" s="2" t="inlineStr">
        <is>
          <t>owner_disposition_evidence</t>
        </is>
      </c>
      <c r="E60" s="2" t="inlineStr">
        <is>
          <t>TCWS-S033;TCWS-S034</t>
        </is>
      </c>
      <c r="F60" s="2" t="inlineStr">
        <is>
          <t>BMR project Context and Process sections</t>
        </is>
      </c>
      <c r="G60" s="2" t="inlineStr">
        <is>
          <t>T1_claims_or_field_calibrated</t>
        </is>
      </c>
      <c r="H60" s="2" t="inlineStr">
        <is>
          <t>terminal_disposition_context</t>
        </is>
      </c>
      <c r="I60" s="2" t="inlineStr">
        <is>
          <t>adopt_with_limits</t>
        </is>
      </c>
      <c r="J60" s="2" t="inlineStr">
        <is>
          <t>Use as categorical disposition and selector/compound-pathway evidence.</t>
        </is>
      </c>
      <c r="K60" s="2" t="inlineStr">
        <is>
          <t>Treat redesigned replacement cost, moisture/static electrical work, or facility removal as transferable wind-only DR.</t>
        </is>
      </c>
      <c r="L60" s="2" t="inlineStr">
        <is>
          <t>The outcome scope is broader or different from like-kind direct physical repair of one declared unit.</t>
        </is>
      </c>
      <c r="M60" s="2" t="inlineStr">
        <is>
          <t>Itemized same-unit work orders and pre-event replacement values are released.</t>
        </is>
      </c>
    </row>
    <row r="61">
      <c r="A61" s="2" t="inlineStr">
        <is>
          <t>TCWS-C212</t>
        </is>
      </c>
      <c r="B61" s="2" t="inlineStr">
        <is>
          <t>tropical_cyclone_wind</t>
        </is>
      </c>
      <c r="C61" s="2" t="inlineStr">
        <is>
          <t>Plant-level SEC loss estimates and availability statements are materiality evidence but prohibited economic-DR numerators.</t>
        </is>
      </c>
      <c r="D61" s="2" t="inlineStr">
        <is>
          <t>economic_scope_boundary</t>
        </is>
      </c>
      <c r="E61" s="2" t="inlineStr">
        <is>
          <t>TCWS-S035</t>
        </is>
      </c>
      <c r="F61" s="2" t="inlineStr">
        <is>
          <t>AES 2017 Q3 Form 10-Q specified lines</t>
        </is>
      </c>
      <c r="G61" s="2" t="inlineStr">
        <is>
          <t>T1_claims_or_field_calibrated</t>
        </is>
      </c>
      <c r="H61" s="2" t="inlineStr">
        <is>
          <t>plant_loss_estimate_use</t>
        </is>
      </c>
      <c r="I61" s="2" t="inlineStr">
        <is>
          <t>audit_only</t>
        </is>
      </c>
      <c r="J61" s="2" t="inlineStr">
        <is>
          <t>Use to establish that physical and nonphysical scopes require explicit separation.</t>
        </is>
      </c>
      <c r="K61" s="2" t="inlineStr">
        <is>
          <t>Divide loss by MW, unavailable capacity, historic capex, or assumed value and call the result DR.</t>
        </is>
      </c>
      <c r="L61" s="2" t="inlineStr">
        <is>
          <t>Reported loss can include property, business interruption, cleanup, recovery, or other scope and lacks same-unit value.</t>
        </is>
      </c>
      <c r="M61" s="2" t="inlineStr">
        <is>
          <t>Audited direct physical cost and event-date replacement value are disclosed separately.</t>
        </is>
      </c>
    </row>
    <row r="62">
      <c r="A62" s="2" t="inlineStr">
        <is>
          <t>TCWS-C213</t>
        </is>
      </c>
      <c r="B62" s="2" t="inlineStr">
        <is>
          <t>tropical_cyclone_wind</t>
        </is>
      </c>
      <c r="C62" s="2" t="inlineStr">
        <is>
          <t>DOE/FEMP forensic cases extend physical coverage to modules, racks, conduit, inverters, switchgear, transformers, and compound water pathways without closing numerical economic response.</t>
        </is>
      </c>
      <c r="D62" s="2" t="inlineStr">
        <is>
          <t>multi_failure_unit_evidence</t>
        </is>
      </c>
      <c r="E62" s="2" t="inlineStr">
        <is>
          <t>TCWS-S036</t>
        </is>
      </c>
      <c r="F62" s="2" t="inlineStr">
        <is>
          <t>in-person assessment and failure analysis PDF pp. 9-15</t>
        </is>
      </c>
      <c r="G62" s="2" t="inlineStr">
        <is>
          <t>T1_claims_or_field_calibrated</t>
        </is>
      </c>
      <c r="H62" s="2" t="inlineStr">
        <is>
          <t>secondary_failure_unit_status</t>
        </is>
      </c>
      <c r="I62" s="2" t="inlineStr">
        <is>
          <t>adopt_with_limits</t>
        </is>
      </c>
      <c r="J62" s="2" t="inlineStr">
        <is>
          <t>Improve the unit inventory, pathway split, and acquisition plan.</t>
        </is>
      </c>
      <c r="K62" s="2" t="inlineStr">
        <is>
          <t>Convert total-loss wording or estimated site wind into component or whole-site economic DR.</t>
        </is>
      </c>
      <c r="L62" s="2" t="inlineStr">
        <is>
          <t>The case mixes wind, rain, flood, and design/installation weaknesses and lacks same-unit cost/value.</t>
        </is>
      </c>
      <c r="M62" s="2" t="inlineStr">
        <is>
          <t>Pathway-separated component work orders and values are supplied.</t>
        </is>
      </c>
    </row>
    <row r="63">
      <c r="A63" s="2" t="inlineStr">
        <is>
          <t>TCWS-C214</t>
        </is>
      </c>
      <c r="B63" s="2" t="inlineStr">
        <is>
          <t>tropical_cyclone_wind</t>
        </is>
      </c>
      <c r="C63" s="2" t="inlineStr">
        <is>
          <t>NLR/NREL BOM and hardening-cost evidence supports value anatomy and selectors only, not occurrence vulnerability or repair savings.</t>
        </is>
      </c>
      <c r="D63" s="2" t="inlineStr">
        <is>
          <t>value_method_boundary</t>
        </is>
      </c>
      <c r="E63" s="2" t="inlineStr">
        <is>
          <t>TCWS-S013;TCWS-S037</t>
        </is>
      </c>
      <c r="F63" s="2" t="inlineStr">
        <is>
          <t>Q1-2025 value source and NREL severe-weather Tables 1-2</t>
        </is>
      </c>
      <c r="G63" s="2" t="inlineStr">
        <is>
          <t>T2_public_lab_standard_or_physics</t>
        </is>
      </c>
      <c r="H63" s="2" t="inlineStr">
        <is>
          <t>benchmark_value_use</t>
        </is>
      </c>
      <c r="I63" s="2" t="inlineStr">
        <is>
          <t>adopt_with_limits</t>
        </is>
      </c>
      <c r="J63" s="2" t="inlineStr">
        <is>
          <t>Reconcile physical value buckets and define data-request fields.</t>
        </is>
      </c>
      <c r="K63" s="2" t="inlineStr">
        <is>
          <t>Use benchmark weights or hardening premiums as damage probabilities, DRs, reinstatement values, or mitigation credits.</t>
        </is>
      </c>
      <c r="L63" s="2" t="inlineStr">
        <is>
          <t>New-build anatomy and prospective premiums do not observe event damage consequence.</t>
        </is>
      </c>
      <c r="M63" s="2" t="inlineStr">
        <is>
          <t>Site-specific event-date replacement values and outcome data are provided.</t>
        </is>
      </c>
    </row>
    <row r="64">
      <c r="A64" s="2" t="inlineStr">
        <is>
          <t>TCWS-C215</t>
        </is>
      </c>
      <c r="B64" s="2" t="inlineStr">
        <is>
          <t>tropical_cyclone_wind</t>
        </is>
      </c>
      <c r="C64" s="2" t="inlineStr">
        <is>
          <t>Every generic fixed, tracker, support-structure, foundation, electrical, GSU, SCADA, civil, and support numerical route remains withheld in docs r2.</t>
        </is>
      </c>
      <c r="D64" s="2" t="inlineStr">
        <is>
          <t>coverage_release_decision</t>
        </is>
      </c>
      <c r="E64" s="2" t="inlineStr">
        <is>
          <t>TCWS-S025;TCWS-S028;TCWS-S030;TCWS-S032;TCWS-S036;TCWS-S040;GOVERNANCE_CONTRACT</t>
        </is>
      </c>
      <c r="F64" s="2" t="inlineStr">
        <is>
          <t>docs-r2 failure-unit gap matrix</t>
        </is>
      </c>
      <c r="G64" s="2" t="inlineStr">
        <is>
          <t>T4_placeholder_or_expert_judgment</t>
        </is>
      </c>
      <c r="H64" s="2" t="inlineStr">
        <is>
          <t>expanded_failure_unit_release_status</t>
        </is>
      </c>
      <c r="I64" s="2" t="inlineStr">
        <is>
          <t>historical_scope_only</t>
        </is>
      </c>
      <c r="J64" s="2" t="inlineStr">
        <is>
          <t>Use the evidence to improve coverage documentation and acquisition requirements.</t>
        </is>
      </c>
      <c r="K64" s="2" t="inlineStr">
        <is>
          <t>Infer zero damage, borrow the Perry module screen, or blend cross-source physical fractions and costs.</t>
        </is>
      </c>
      <c r="L64" s="2" t="inlineStr">
        <is>
          <t>No reviewed source closes the complete target chain for any additional atom. Consolidated v2 register: prior-version conclusion is scoped/superseded by TCWS2-C001/005/012/013; the underlying evidence limitation is retained.</t>
        </is>
      </c>
      <c r="M64" s="2" t="inlineStr">
        <is>
          <t>A failure-unit-specific evidence package passes every promotion gate.</t>
        </is>
      </c>
    </row>
    <row r="65">
      <c r="A65" s="2" t="inlineStr">
        <is>
          <t>TCWS-C216</t>
        </is>
      </c>
      <c r="B65" s="2" t="inlineStr">
        <is>
          <t>tropical_cyclone_wind</t>
        </is>
      </c>
      <c r="C65" s="2" t="inlineStr">
        <is>
          <t>Strong-wind solar work is reusable for anatomy, demand framing, selectors, value ledgers, dependency rules, evaluators, and KAT structure, but not for numerical tropical-cyclone response.</t>
        </is>
      </c>
      <c r="D65" s="2" t="inlineStr">
        <is>
          <t>cross_cell_reuse_decision</t>
        </is>
      </c>
      <c r="E65" s="2" t="inlineStr">
        <is>
          <t>GOVERNANCE_CONTRACT</t>
        </is>
      </c>
      <c r="F65" s="2" t="inlineStr">
        <is>
          <t>docs-r2 reuse blueprint and neighboring strong_wind_solar package</t>
        </is>
      </c>
      <c r="G65" s="2" t="inlineStr">
        <is>
          <t>T4_placeholder_or_expert_judgment</t>
        </is>
      </c>
      <c r="H65" s="2" t="inlineStr">
        <is>
          <t>strong_wind_reuse_scope</t>
        </is>
      </c>
      <c r="I65" s="2" t="inlineStr">
        <is>
          <t>historical_scope_only</t>
        </is>
      </c>
      <c r="J65" s="2" t="inlineStr">
        <is>
          <t>Reuse structure and controls with tropical-cyclone-specific evidence.</t>
        </is>
      </c>
      <c r="K65" s="2" t="inlineStr">
        <is>
          <t>Copy convective knots, coefficients, state credits, or tail behavior into the TC cell.</t>
        </is>
      </c>
      <c r="L65" s="2" t="inlineStr">
        <is>
          <t>Duration, direction history, rain, debris, cycling, and compound pathways differ. Consolidated v2 register: prior-version conclusion is scoped/superseded by TCWS2-C005/006; the underlying evidence limitation is retained.</t>
        </is>
      </c>
      <c r="M65" s="2" t="inlineStr">
        <is>
          <t>A qualified cross-hazard transfer study passes independent review.</t>
        </is>
      </c>
    </row>
    <row r="66">
      <c r="A66" s="2" t="inlineStr">
        <is>
          <t>TCWS-C217</t>
        </is>
      </c>
      <c r="B66" s="2" t="inlineStr">
        <is>
          <t>tropical_cyclone_wind</t>
        </is>
      </c>
      <c r="C66" s="2" t="inlineStr">
        <is>
          <t>The deep-curation result is an evidence-only docs-r2 revision; model v1.1 and model v2.0 are not earned and docs-r1 runtime behavior remains unchanged.</t>
        </is>
      </c>
      <c r="D66" s="2" t="inlineStr">
        <is>
          <t>versioning_decision</t>
        </is>
      </c>
      <c r="E66" s="2" t="inlineStr">
        <is>
          <t>TCWS-S020;TCWS-S023;TCWS-S025;TCWS-S028;TCWS-S032;TCWS-S036;GOVERNANCE_CONTRACT</t>
        </is>
      </c>
      <c r="F66" s="2" t="inlineStr">
        <is>
          <t>change classification and deep-curation decision dated 2026-07-29</t>
        </is>
      </c>
      <c r="G66" s="2" t="inlineStr">
        <is>
          <t>T4_placeholder_or_expert_judgment</t>
        </is>
      </c>
      <c r="H66" s="2" t="inlineStr">
        <is>
          <t>version_action</t>
        </is>
      </c>
      <c r="I66" s="2" t="inlineStr">
        <is>
          <t>historical_scope_only</t>
        </is>
      </c>
      <c r="J66" s="2" t="inlineStr">
        <is>
          <t>Retain model v1.0 as a noncanonical exact-source screening atom and model v0.1 as strict fail-closed alternative.</t>
        </is>
      </c>
      <c r="K66" s="2" t="inlineStr">
        <is>
          <t>Change knots, range, axis, selectors, outputs, package, index, or consumer pin under a docs-only label.</t>
        </is>
      </c>
      <c r="L66" s="2" t="inlineStr">
        <is>
          <t>New evidence sharpens limitations and design but supplies no adopted numerical parameter. Consolidated v2 register: prior-version conclusion is scoped/superseded by TCWS2-C001/002; the underlying evidence limitation is retained.</t>
        </is>
      </c>
      <c r="M66" s="2" t="inlineStr">
        <is>
          <t>An output-bearing evidence package passes review and is classified separately.</t>
        </is>
      </c>
    </row>
    <row r="67">
      <c r="A67" s="2" t="inlineStr">
        <is>
          <t>TCWS-C218</t>
        </is>
      </c>
      <c r="B67" s="2" t="inlineStr">
        <is>
          <t>tropical_cyclone_wind</t>
        </is>
      </c>
      <c r="C67" s="2" t="inlineStr">
        <is>
          <t>The minimum v2 package requires portable local wind, exact architecture and attained state, affected and unaffected inspections, terminal disposition, same-unit direct cost and replacement value, separated support, and compound-pathway attribution.</t>
        </is>
      </c>
      <c r="D67" s="2" t="inlineStr">
        <is>
          <t>acquisition_requirement</t>
        </is>
      </c>
      <c r="E67" s="2" t="inlineStr">
        <is>
          <t>TCWS-S025;TCWS-S028;TCWS-S030;TCWS-S032;TCWS-S036;TCWS-S038;TCWS-S040;GOVERNANCE_CONTRACT</t>
        </is>
      </c>
      <c r="F67" s="2" t="inlineStr">
        <is>
          <t>docs-r2 v2 acquisition blueprint</t>
        </is>
      </c>
      <c r="G67" s="2" t="inlineStr">
        <is>
          <t>T4_placeholder_or_expert_judgment</t>
        </is>
      </c>
      <c r="H67" s="2" t="inlineStr">
        <is>
          <t>v2_minimum_evidence_package</t>
        </is>
      </c>
      <c r="I67" s="2" t="inlineStr">
        <is>
          <t>adopt</t>
        </is>
      </c>
      <c r="J67" s="2" t="inlineStr">
        <is>
          <t>Use as acceptance criteria for owner, adjuster, OEM, or contractor data.</t>
        </is>
      </c>
      <c r="K67" s="2" t="inlineStr">
        <is>
          <t>Promote a candidate merely because one field or one public case becomes available.</t>
        </is>
      </c>
      <c r="L67" s="2" t="inlineStr">
        <is>
          <t>Every current blocker maps to a missing field or linkage in this package.</t>
        </is>
      </c>
      <c r="M67" s="2" t="inlineStr">
        <is>
          <t>The package is acquired, validated, and independently reviewed.</t>
        </is>
      </c>
    </row>
    <row r="68">
      <c r="A68" s="2" t="inlineStr">
        <is>
          <t>TCWS-C219</t>
        </is>
      </c>
      <c r="B68" s="2" t="inlineStr">
        <is>
          <t>tropical_cyclone_wind</t>
        </is>
      </c>
      <c r="C68" s="2" t="inlineStr">
        <is>
          <t>No interpolation, monotonicity, selector, range, or evaluator defect was identified in the existing Perry source-specific screening atom within its exact declared domain.</t>
        </is>
      </c>
      <c r="D68" s="2" t="inlineStr">
        <is>
          <t>independent_review_finding</t>
        </is>
      </c>
      <c r="E68" s="2" t="inlineStr">
        <is>
          <t>TCWS-S003;TCWS-S020;GOVERNANCE_CONTRACT</t>
        </is>
      </c>
      <c r="F68" s="2" t="inlineStr">
        <is>
          <t>docs-r1 validator and docs-r2 independent review synthesis</t>
        </is>
      </c>
      <c r="G68" s="2" t="inlineStr">
        <is>
          <t>T4_placeholder_or_expert_judgment</t>
        </is>
      </c>
      <c r="H68" s="2" t="inlineStr">
        <is>
          <t>existing_curve_internal_status</t>
        </is>
      </c>
      <c r="I68" s="2" t="inlineStr">
        <is>
          <t>adopt_with_limits</t>
        </is>
      </c>
      <c r="J68" s="2" t="inlineStr">
        <is>
          <t>Retain the exact noncanonical research atom unchanged.</t>
        </is>
      </c>
      <c r="K68" s="2" t="inlineStr">
        <is>
          <t>Describe it as general hurricane-solar, utility-scale, CONUS, tracker, whole-plant, dollar, or tail coverage.</t>
        </is>
      </c>
      <c r="L68" s="2" t="inlineStr">
        <is>
          <t>The numerical implementation is coherent; its applicability is deliberately narrow and its strict economic-evidence gate remains NO-GO.</t>
        </is>
      </c>
      <c r="M68" s="2" t="inlineStr">
        <is>
          <t>A reproducibility defect or changed source artifact is found.</t>
        </is>
      </c>
    </row>
    <row r="69">
      <c r="A69" s="2" t="inlineStr">
        <is>
          <t>TCWS-C220</t>
        </is>
      </c>
      <c r="B69" s="2" t="inlineStr">
        <is>
          <t>tropical_cyclone_wind</t>
        </is>
      </c>
      <c r="C69" s="2" t="inlineStr">
        <is>
          <t>The Perry PAVA fit is equal-record weighted rather than strictly unique-site weighted because at least one physical site recurs across storm records.</t>
        </is>
      </c>
      <c r="D69" s="2" t="inlineStr">
        <is>
          <t>source_cohort_dependence_finding</t>
        </is>
      </c>
      <c r="E69" s="2" t="inlineStr">
        <is>
          <t>TCWS-S020</t>
        </is>
      </c>
      <c r="F69" s="2" t="inlineStr">
        <is>
          <t>manual CSV sites 7 and 14; coordinates, area, installation year, and event labels; docs-r2 independent source replay</t>
        </is>
      </c>
      <c r="G69" s="2" t="inlineStr">
        <is>
          <t>T1_claims_or_field_calibrated</t>
        </is>
      </c>
      <c r="H69" s="2" t="inlineStr">
        <is>
          <t>fit_weighting_interpretation</t>
        </is>
      </c>
      <c r="I69" s="2" t="inlineStr">
        <is>
          <t>adopt_as_limitation</t>
        </is>
      </c>
      <c r="J69" s="2" t="inlineStr">
        <is>
          <t>Describe each retained record as one vote and disclose repeated physical sites across events.</t>
        </is>
      </c>
      <c r="K69" s="2" t="inlineStr">
        <is>
          <t>Claim 34 independent sites or interpret the historical EQUAL_SITE_WEIGHT_NOT_MODULE_WEIGHTED flag as proof of unique-site independence.</t>
        </is>
      </c>
      <c r="L69" s="2" t="inlineStr">
        <is>
          <t>The implementation weights rows equally; physical-site and event dependence remain in the cohort.</t>
        </is>
      </c>
      <c r="M69" s="2" t="inlineStr">
        <is>
          <t>A governed unique-site/event identifier and cluster-aware refit replace the current cohort.</t>
        </is>
      </c>
    </row>
    <row r="70">
      <c r="A70" s="2" t="inlineStr">
        <is>
          <t>TCWS-C221</t>
        </is>
      </c>
      <c r="B70" s="2" t="inlineStr">
        <is>
          <t>tropical_cyclone_wind</t>
        </is>
      </c>
      <c r="C70" s="2" t="inlineStr">
        <is>
          <t>The pinned PAVA is a reproducible finite-sample descriptive smoother, but no scientifically validated predictive relationship is established even for an unseen source-compatible site.</t>
        </is>
      </c>
      <c r="D70" s="2" t="inlineStr">
        <is>
          <t>predictive_validity_decision</t>
        </is>
      </c>
      <c r="E70" s="2" t="inlineStr">
        <is>
          <t>TCWS-S003;TCWS-S020;GOVERNANCE_CONTRACT</t>
        </is>
      </c>
      <c r="F70" s="2" t="inlineStr">
        <is>
          <t>manual convenience cohort, six-event cluster counts, leave-one-event sensitivity, repeated-site audit, and interpolation method</t>
        </is>
      </c>
      <c r="G70" s="2" t="inlineStr">
        <is>
          <t>T4_placeholder_or_expert_judgment</t>
        </is>
      </c>
      <c r="H70" s="2" t="inlineStr">
        <is>
          <t>predictive_use_status</t>
        </is>
      </c>
      <c r="I70" s="2" t="inlineStr">
        <is>
          <t>withhold</t>
        </is>
      </c>
      <c r="J70" s="2" t="inlineStr">
        <is>
          <t>Use the curve only for governed descriptive replay or explicitly experimental screening with all limitations.</t>
        </is>
      </c>
      <c r="K70" s="2" t="inlineStr">
        <is>
          <t>Call it a validated predictive vulnerability relationship, population expectation, or calibrated response for a new site.</t>
        </is>
      </c>
      <c r="L70" s="2" t="inlineStr">
        <is>
          <t>No sampling frame, selection model, independent validation event, cluster-aware inference, or controlled architecture/design adjustment exists; PAVA and block-edge interpolation impose shape.</t>
        </is>
      </c>
      <c r="M70" s="2" t="inlineStr">
        <is>
          <t>Representative architecture-resolved event cohorts and event-held-out predictive validation pass review.</t>
        </is>
      </c>
    </row>
    <row r="71">
      <c r="A71" s="2" t="inlineStr">
        <is>
          <t>TCWS2-C001</t>
        </is>
      </c>
      <c r="B71" s="2" t="inlineStr">
        <is>
          <t>tropical_cyclone_wind</t>
        </is>
      </c>
      <c r="C71" s="2" t="inlineStr">
        <is>
          <t>The requested v2 is a deliberate coverage-first synthetic Tier-4 exception, not an evidence-earned hurricane calibration.</t>
        </is>
      </c>
      <c r="D71" s="2" t="inlineStr">
        <is>
          <t>governance_decision</t>
        </is>
      </c>
      <c r="E71" s="2" t="inlineStr">
        <is>
          <t>GOVERNANCE_CONTRACT;TCWS2_CELL_LOCAL_SYNTHETIC_DECISION;NO_DIRECT_TC_CALIBRATION_SOURCE</t>
        </is>
      </c>
      <c r="F71" s="2" t="inlineStr">
        <is>
          <t>DECISION_LOG model-v2 docs-r1 § TCWS2-D001</t>
        </is>
      </c>
      <c r="G71" s="2" t="inlineStr">
        <is>
          <t>T4_placeholder_or_expert_judgment</t>
        </is>
      </c>
      <c r="H71" s="2" t="inlineStr">
        <is>
          <t>model_grade=experimental_synthetic_T4_scenario</t>
        </is>
      </c>
      <c r="I71" s="2" t="inlineStr">
        <is>
          <t>adopt</t>
        </is>
      </c>
      <c r="J71" s="2" t="inlineStr">
        <is>
          <t>Evaluate the proposal for bounded research and contract integration.</t>
        </is>
      </c>
      <c r="K71" s="2" t="inlineStr">
        <is>
          <t>Describe any generic curve as empirical, calibrated, conservative, or production ready.</t>
        </is>
      </c>
      <c r="L71" s="2" t="inlineStr">
        <is>
          <t>The v2 package prioritizes explicit coverage while keeping missing calibration visible and machine enforced.</t>
        </is>
      </c>
      <c r="M71" s="2" t="inlineStr">
        <is>
          <t>Formal elicitation or matched field/claims calibration replaces the synthetic parameters.</t>
        </is>
      </c>
    </row>
    <row r="72">
      <c r="A72" s="2" t="inlineStr">
        <is>
          <t>TCWS2-C002</t>
        </is>
      </c>
      <c r="B72" s="2" t="inlineStr">
        <is>
          <t>tropical_cyclone_wind</t>
        </is>
      </c>
      <c r="C72" s="2" t="inlineStr">
        <is>
          <t>Model v2.0 is a major behavior change because it adds architecture-specific normalized-demand routes and generic fixed/tracker failure-unit outputs.</t>
        </is>
      </c>
      <c r="D72" s="2" t="inlineStr">
        <is>
          <t>governance_decision</t>
        </is>
      </c>
      <c r="E72" s="2" t="inlineStr">
        <is>
          <t>GOVERNANCE_CONTRACT</t>
        </is>
      </c>
      <c r="F72" s="2" t="inlineStr">
        <is>
          <t>CHANGE_CLASSIFICATION model-v2 docs-r1 § Why this is a major model change</t>
        </is>
      </c>
      <c r="G72" s="2" t="inlineStr">
        <is>
          <t>T4_placeholder_or_expert_judgment</t>
        </is>
      </c>
      <c r="H72" s="2" t="inlineStr">
        <is>
          <t>semantic_damage_model_version=model v2.0</t>
        </is>
      </c>
      <c r="I72" s="2" t="inlineStr">
        <is>
          <t>adopt</t>
        </is>
      </c>
      <c r="J72" s="2" t="inlineStr">
        <is>
          <t>Keep v0.1 and v1 artifacts unchanged while researching v2.</t>
        </is>
      </c>
      <c r="K72" s="2" t="inlineStr">
        <is>
          <t>Call the change docs-only or silently overwrite v1.</t>
        </is>
      </c>
      <c r="L72" s="2" t="inlineStr">
        <is>
          <t>The v2 package prioritizes explicit coverage while keeping missing calibration visible and machine enforced.</t>
        </is>
      </c>
      <c r="M72" s="2" t="inlineStr">
        <is>
          <t>Version policy or runtime behavior changes.</t>
        </is>
      </c>
    </row>
    <row r="73">
      <c r="A73" s="2" t="inlineStr">
        <is>
          <t>TCWS2-C003</t>
        </is>
      </c>
      <c r="B73" s="2" t="inlineStr">
        <is>
          <t>tropical_cyclone_wind</t>
        </is>
      </c>
      <c r="C73" s="2" t="inlineStr">
        <is>
          <t>The Perry 13-knot source route is carried byte-for-value and remains source specific.</t>
        </is>
      </c>
      <c r="D73" s="2" t="inlineStr">
        <is>
          <t>governance_decision</t>
        </is>
      </c>
      <c r="E73" s="2" t="inlineStr">
        <is>
          <t>TCWS-S020;TCWS-S021</t>
        </is>
      </c>
      <c r="F73" s="2" t="inlineStr">
        <is>
          <t>derivation dossier §12 Perry preservation</t>
        </is>
      </c>
      <c r="G73" s="2" t="inlineStr">
        <is>
          <t>T3_engineering_proxy_or_adjacent_empirical</t>
        </is>
      </c>
      <c r="H73" s="2" t="inlineStr">
        <is>
          <t>Perry_compatibility_route</t>
        </is>
      </c>
      <c r="I73" s="2" t="inlineStr">
        <is>
          <t>adopt</t>
        </is>
      </c>
      <c r="J73" s="2" t="inlineStr">
        <is>
          <t>Use the route only with its exact axis, range, and six acknowledgements.</t>
        </is>
      </c>
      <c r="K73" s="2" t="inlineStr">
        <is>
          <t>Alias it to generic fixed tilt or ordinary Hazard gust.</t>
        </is>
      </c>
      <c r="L73" s="2" t="inlineStr">
        <is>
          <t>The v2 package prioritizes explicit coverage while keeping missing calibration visible and machine enforced.</t>
        </is>
      </c>
      <c r="M73" s="2" t="inlineStr">
        <is>
          <t>The Perry source package or v1 governed fit changes.</t>
        </is>
      </c>
    </row>
    <row r="74">
      <c r="A74" s="2" t="inlineStr">
        <is>
          <t>TCWS2-C004</t>
        </is>
      </c>
      <c r="B74" s="2" t="inlineStr">
        <is>
          <t>tropical_cyclone_wind</t>
        </is>
      </c>
      <c r="C74" s="2" t="inlineStr">
        <is>
          <t>A failure-state probability becomes DR only through explicit exact-state probabilities and separately listed same-unit state-cost ratios.</t>
        </is>
      </c>
      <c r="D74" s="2" t="inlineStr">
        <is>
          <t>governance_decision</t>
        </is>
      </c>
      <c r="E74" s="2" t="inlineStr">
        <is>
          <t>GOVERNANCE_CONTRACT;NO_DIRECT_TC_CALIBRATION_SOURCE</t>
        </is>
      </c>
      <c r="F74" s="2" t="inlineStr">
        <is>
          <t>derivation dossier §8 Curve form and probability-to-DR typing</t>
        </is>
      </c>
      <c r="G74" s="2" t="inlineStr">
        <is>
          <t>T4_placeholder_or_expert_judgment</t>
        </is>
      </c>
      <c r="H74" s="2" t="inlineStr">
        <is>
          <t>sum_state_probability_times_cost_ratio</t>
        </is>
      </c>
      <c r="I74" s="2" t="inlineStr">
        <is>
          <t>adopt</t>
        </is>
      </c>
      <c r="J74" s="2" t="inlineStr">
        <is>
          <t>Audit the probability-to-consequence bridge parameter by parameter.</t>
        </is>
      </c>
      <c r="K74" s="2" t="inlineStr">
        <is>
          <t>Relabel Ceferino extensive-failure probability or another exceedance probability as DR.</t>
        </is>
      </c>
      <c r="L74" s="2" t="inlineStr">
        <is>
          <t>The v2 package prioritizes explicit coverage while keeping missing calibration visible and machine enforced.</t>
        </is>
      </c>
      <c r="M74" s="2" t="inlineStr">
        <is>
          <t>Observed same-unit state costs replace the T4 ratios.</t>
        </is>
      </c>
    </row>
    <row r="75">
      <c r="A75" s="2" t="inlineStr">
        <is>
          <t>TCWS2-C005</t>
        </is>
      </c>
      <c r="B75" s="2" t="inlineStr">
        <is>
          <t>tropical_cyclone_wind</t>
        </is>
      </c>
      <c r="C75" s="2" t="inlineStr">
        <is>
          <t>All generic beta, medians, and state cost ratios are synthetic T4 assumptions.</t>
        </is>
      </c>
      <c r="D75" s="2" t="inlineStr">
        <is>
          <t>governance_decision</t>
        </is>
      </c>
      <c r="E75" s="2" t="inlineStr">
        <is>
          <t>TCWS2_CELL_LOCAL_SYNTHETIC_DECISION;NO_DIRECT_TC_CALIBRATION_SOURCE</t>
        </is>
      </c>
      <c r="F75" s="2" t="inlineStr">
        <is>
          <t>derivation dossier §§7-9 and parameter-tier register TCWS2 curve rows</t>
        </is>
      </c>
      <c r="G75" s="2" t="inlineStr">
        <is>
          <t>T4_placeholder_or_expert_judgment</t>
        </is>
      </c>
      <c r="H75" s="2" t="inlineStr">
        <is>
          <t>generic_curve_parameters</t>
        </is>
      </c>
      <c r="I75" s="2" t="inlineStr">
        <is>
          <t>adopt</t>
        </is>
      </c>
      <c r="J75" s="2" t="inlineStr">
        <is>
          <t>Use them as unweighted research scenarios with always-on limitations.</t>
        </is>
      </c>
      <c r="K75" s="2" t="inlineStr">
        <is>
          <t>Treat them as fitted estimates, percentiles, posterior draws, or uncertainty bands.</t>
        </is>
      </c>
      <c r="L75" s="2" t="inlineStr">
        <is>
          <t>The v2 package prioritizes explicit coverage while keeping missing calibration visible and machine enforced.</t>
        </is>
      </c>
      <c r="M75" s="2" t="inlineStr">
        <is>
          <t>Calibration or structured elicitation is completed.</t>
        </is>
      </c>
    </row>
    <row r="76">
      <c r="A76" s="2" t="inlineStr">
        <is>
          <t>TCWS2-C006</t>
        </is>
      </c>
      <c r="B76" s="2" t="inlineStr">
        <is>
          <t>tropical_cyclone_wind</t>
        </is>
      </c>
      <c r="C76" s="2" t="inlineStr">
        <is>
          <t>After the cell-local T4 values are adopted, the shared profile provides an audit-only cross-hazard comparison fingerprint.</t>
        </is>
      </c>
      <c r="D76" s="2" t="inlineStr">
        <is>
          <t>governance_decision</t>
        </is>
      </c>
      <c r="E76" s="2" t="inlineStr">
        <is>
          <t>SHARED_SOLAR_WIND_PROXY_V0_1;TCWS2_CELL_LOCAL_SYNTHETIC_DECISION;TCWS-S015;GOVERNANCE_CONTRACT</t>
        </is>
      </c>
      <c r="F76" s="2" t="inlineStr">
        <is>
          <t>DECISION_LOG model-v2 docs-r1 § TCWS2-D003</t>
        </is>
      </c>
      <c r="G76" s="2" t="inlineStr">
        <is>
          <t>T4_placeholder_or_expert_judgment</t>
        </is>
      </c>
      <c r="H76" s="2" t="inlineStr">
        <is>
          <t>audit_comparison_profile_only</t>
        </is>
      </c>
      <c r="I76" s="2" t="inlineStr">
        <is>
          <t>adopt</t>
        </is>
      </c>
      <c r="J76" s="2" t="inlineStr">
        <is>
          <t>Compare the adopted cell-local parameter payload to the pinned hazard-neutral solar profile.</t>
        </is>
      </c>
      <c r="K76" s="2" t="inlineStr">
        <is>
          <t>Load the candidate as a runtime dependency or claim numerical evidence transfer from convective wind.</t>
        </is>
      </c>
      <c r="L76" s="2" t="inlineStr">
        <is>
          <t>The v2 package prioritizes explicit coverage while keeping missing calibration visible and machine enforced.</t>
        </is>
      </c>
      <c r="M76" s="2" t="inlineStr">
        <is>
          <t>A formal equivalence or hazard-specific response calibration changes the reuse decision.</t>
        </is>
      </c>
    </row>
    <row r="77">
      <c r="A77" s="2" t="inlineStr">
        <is>
          <t>TCWS2-C007</t>
        </is>
      </c>
      <c r="B77" s="2" t="inlineStr">
        <is>
          <t>tropical_cyclone_wind</t>
        </is>
      </c>
      <c r="C77" s="2" t="inlineStr">
        <is>
          <t>Historical v0.1/v1 claims remain source-version facts and are scoped by the complete v2 supersession map.</t>
        </is>
      </c>
      <c r="D77" s="2" t="inlineStr">
        <is>
          <t>governance_decision</t>
        </is>
      </c>
      <c r="E77" s="2" t="inlineStr">
        <is>
          <t>TCWS2_CELL_LOCAL_SYNTHETIC_DECISION;GOVERNANCE_CONTRACT</t>
        </is>
      </c>
      <c r="F77" s="2" t="inlineStr">
        <is>
          <t>CLAIM_SUPERSESSION_MAP model-v2 docs-r1 complete file</t>
        </is>
      </c>
      <c r="G77" s="2" t="inlineStr">
        <is>
          <t>T4_placeholder_or_expert_judgment</t>
        </is>
      </c>
      <c r="H77" s="2" t="inlineStr">
        <is>
          <t>historical_claim_scope</t>
        </is>
      </c>
      <c r="I77" s="2" t="inlineStr">
        <is>
          <t>adopt</t>
        </is>
      </c>
      <c r="J77" s="2" t="inlineStr">
        <is>
          <t>Apply each prior claim only to its recorded model/docs scope and retain its evidence limitation.</t>
        </is>
      </c>
      <c r="K77" s="2" t="inlineStr">
        <is>
          <t>Treat historical withhold/version statements as the active v2 output contract or erase their retained scientific truth.</t>
        </is>
      </c>
      <c r="L77" s="2" t="inlineStr">
        <is>
          <t>The v2 package prioritizes explicit coverage while keeping missing calibration visible and machine enforced.</t>
        </is>
      </c>
      <c r="M77" s="2" t="inlineStr">
        <is>
          <t>A later model version explicitly replaces the map.</t>
        </is>
      </c>
    </row>
    <row r="78">
      <c r="A78" s="2" t="inlineStr">
        <is>
          <t>TCWS2-C008</t>
        </is>
      </c>
      <c r="B78" s="2" t="inlineStr">
        <is>
          <t>tropical_cyclone_wind</t>
        </is>
      </c>
      <c r="C78" s="2" t="inlineStr">
        <is>
          <t>Fixed tilt requires a qualified same-zone TC event/design pressure ratio or a fully bridged array-height speed-squared proxy.</t>
        </is>
      </c>
      <c r="D78" s="2" t="inlineStr">
        <is>
          <t>governance_decision</t>
        </is>
      </c>
      <c r="E78" s="2" t="inlineStr">
        <is>
          <t>TCWS-S005;TCWS-S010;GOVERNANCE_CONTRACT</t>
        </is>
      </c>
      <c r="F78" s="2" t="inlineStr">
        <is>
          <t>derivation dossier §6.1 Fixed tilt</t>
        </is>
      </c>
      <c r="G78" s="2" t="inlineStr">
        <is>
          <t>T3_engineering_proxy_or_adjacent_empirical</t>
        </is>
      </c>
      <c r="H78" s="2" t="inlineStr">
        <is>
          <t>fixed_axis_contract</t>
        </is>
      </c>
      <c r="I78" s="2" t="inlineStr">
        <is>
          <t>adopt</t>
        </is>
      </c>
      <c r="J78" s="2" t="inlineStr">
        <is>
          <t>Use a named wind-field, direction, duration, and aerodynamic bridge.</t>
        </is>
      </c>
      <c r="K78" s="2" t="inlineStr">
        <is>
          <t>Pass an ordinary 10 m gust directly or call design wind failure capacity.</t>
        </is>
      </c>
      <c r="L78" s="2" t="inlineStr">
        <is>
          <t>The v2 package prioritizes explicit coverage while keeping missing calibration visible and machine enforced.</t>
        </is>
      </c>
      <c r="M78" s="2" t="inlineStr">
        <is>
          <t>A validated direct local-demand adapter replaces the proxy.</t>
        </is>
      </c>
    </row>
    <row r="79">
      <c r="A79" s="2" t="inlineStr">
        <is>
          <t>TCWS2-C009</t>
        </is>
      </c>
      <c r="B79" s="2" t="inlineStr">
        <is>
          <t>tropical_cyclone_wind</t>
        </is>
      </c>
      <c r="C79" s="2" t="inlineStr">
        <is>
          <t>Tracker evaluation requires exact-system Ucrit and attained state matched to the qualification basis.</t>
        </is>
      </c>
      <c r="D79" s="2" t="inlineStr">
        <is>
          <t>governance_decision</t>
        </is>
      </c>
      <c r="E79" s="2" t="inlineStr">
        <is>
          <t>TCWS-S006;TCWS-S007;TCWS-S011;TCWS-S012</t>
        </is>
      </c>
      <c r="F79" s="2" t="inlineStr">
        <is>
          <t>derivation dossier §6.2 Tracker and metadata contract tracker request</t>
        </is>
      </c>
      <c r="G79" s="2" t="inlineStr">
        <is>
          <t>T2_public_lab_standard_or_physics</t>
        </is>
      </c>
      <c r="H79" s="2" t="inlineStr">
        <is>
          <t>tracker_axis_contract</t>
        </is>
      </c>
      <c r="I79" s="2" t="inlineStr">
        <is>
          <t>adopt</t>
        </is>
      </c>
      <c r="J79" s="2" t="inlineStr">
        <is>
          <t>Evaluate Vnormal/Ucrit only after exact configuration, layout, angle, position, zone, lock, duration, direction, and speed-reference matching.</t>
        </is>
      </c>
      <c r="K79" s="2" t="inlineStr">
        <is>
          <t>Use generic Ucrit, command-only stow, fixed-to-tracker fallback, or a stow multiplier.</t>
        </is>
      </c>
      <c r="L79" s="2" t="inlineStr">
        <is>
          <t>The v2 package prioritizes explicit coverage while keeping missing calibration visible and machine enforced.</t>
        </is>
      </c>
      <c r="M79" s="2" t="inlineStr">
        <is>
          <t>Architecture-matched TC tracker calibration becomes available.</t>
        </is>
      </c>
    </row>
    <row r="80">
      <c r="A80" s="2" t="inlineStr">
        <is>
          <t>TCWS2-C010</t>
        </is>
      </c>
      <c r="B80" s="2" t="inlineStr">
        <is>
          <t>tropical_cyclone_wind</t>
        </is>
      </c>
      <c r="C80" s="2" t="inlineStr">
        <is>
          <t>The 0.75 Ucrit rule is an operational-action flag and never a damage threshold.</t>
        </is>
      </c>
      <c r="D80" s="2" t="inlineStr">
        <is>
          <t>governance_decision</t>
        </is>
      </c>
      <c r="E80" s="2" t="inlineStr">
        <is>
          <t>TCWS-S006</t>
        </is>
      </c>
      <c r="F80" s="2" t="inlineStr">
        <is>
          <t>metadata contract § Tracker route</t>
        </is>
      </c>
      <c r="G80" s="2" t="inlineStr">
        <is>
          <t>T2_public_lab_standard_or_physics</t>
        </is>
      </c>
      <c r="H80" s="2" t="inlineStr">
        <is>
          <t>stow_action_flag</t>
        </is>
      </c>
      <c r="I80" s="2" t="inlineStr">
        <is>
          <t>adopt</t>
        </is>
      </c>
      <c r="J80" s="2" t="inlineStr">
        <is>
          <t>Emit a warning flag after qualification matching.</t>
        </is>
      </c>
      <c r="K80" s="2" t="inlineStr">
        <is>
          <t>Force damage, force zero damage, or assign mitigation credit at 0.75 Ucrit.</t>
        </is>
      </c>
      <c r="L80" s="2" t="inlineStr">
        <is>
          <t>The v2 package prioritizes explicit coverage while keeping missing calibration visible and machine enforced.</t>
        </is>
      </c>
      <c r="M80" s="2" t="inlineStr">
        <is>
          <t>A source calibrates damage conditional on the action threshold.</t>
        </is>
      </c>
    </row>
    <row r="81">
      <c r="A81" s="2" t="inlineStr">
        <is>
          <t>TCWS2-C011</t>
        </is>
      </c>
      <c r="B81" s="2" t="inlineStr">
        <is>
          <t>tropical_cyclone_wind</t>
        </is>
      </c>
      <c r="C81" s="2" t="inlineStr">
        <is>
          <t>Generic ordered-state curves have exact zero only at zero normalized demand and no positive hard-zero threshold.</t>
        </is>
      </c>
      <c r="D81" s="2" t="inlineStr">
        <is>
          <t>governance_decision</t>
        </is>
      </c>
      <c r="E81" s="2" t="inlineStr">
        <is>
          <t>GOVERNANCE_CONTRACT;TCWS2_CELL_LOCAL_SYNTHETIC_DECISION</t>
        </is>
      </c>
      <c r="F81" s="2" t="inlineStr">
        <is>
          <t>DECISION_LOG model-v2 docs-r1 § TCWS2-D005</t>
        </is>
      </c>
      <c r="G81" s="2" t="inlineStr">
        <is>
          <t>T4_placeholder_or_expert_judgment</t>
        </is>
      </c>
      <c r="H81" s="2" t="inlineStr">
        <is>
          <t>zero_demand_boundary</t>
        </is>
      </c>
      <c r="I81" s="2" t="inlineStr">
        <is>
          <t>adopt</t>
        </is>
      </c>
      <c r="J81" s="2" t="inlineStr">
        <is>
          <t>Use the native lognormal state form without intercept subtraction.</t>
        </is>
      </c>
      <c r="K81" s="2" t="inlineStr">
        <is>
          <t>Claim immunity below an invented threshold or alter the asymptote by anchoring subtraction.</t>
        </is>
      </c>
      <c r="L81" s="2" t="inlineStr">
        <is>
          <t>The v2 package prioritizes explicit coverage while keeping missing calibration visible and machine enforced.</t>
        </is>
      </c>
      <c r="M81" s="2" t="inlineStr">
        <is>
          <t>A calibrated physical threshold is adopted.</t>
        </is>
      </c>
    </row>
    <row r="82">
      <c r="A82" s="2" t="inlineStr">
        <is>
          <t>TCWS2-C012</t>
        </is>
      </c>
      <c r="B82" s="2" t="inlineStr">
        <is>
          <t>tropical_cyclone_wind</t>
        </is>
      </c>
      <c r="C82" s="2" t="inlineStr">
        <is>
          <t>Unsupported physical units remain null, not zero.</t>
        </is>
      </c>
      <c r="D82" s="2" t="inlineStr">
        <is>
          <t>governance_decision</t>
        </is>
      </c>
      <c r="E82" s="2" t="inlineStr">
        <is>
          <t>GOVERNANCE_CONTRACT</t>
        </is>
      </c>
      <c r="F82" s="2" t="inlineStr">
        <is>
          <t>DECISION_LOG model-v2 docs-r1 § TCWS2-D006</t>
        </is>
      </c>
      <c r="G82" s="2" t="inlineStr">
        <is>
          <t>T4_placeholder_or_expert_judgment</t>
        </is>
      </c>
      <c r="H82" s="2" t="inlineStr">
        <is>
          <t>withhold_not_zero</t>
        </is>
      </c>
      <c r="I82" s="2" t="inlineStr">
        <is>
          <t>adopt</t>
        </is>
      </c>
      <c r="J82" s="2" t="inlineStr">
        <is>
          <t>Expose incomplete plant coverage and withhold aggregate physical loss.</t>
        </is>
      </c>
      <c r="K82" s="2" t="inlineStr">
        <is>
          <t>Assign zero DR to absent curves or recreate the legacy 42-percent immune remainder.</t>
        </is>
      </c>
      <c r="L82" s="2" t="inlineStr">
        <is>
          <t>The v2 package prioritizes explicit coverage while keeping missing calibration visible and machine enforced.</t>
        </is>
      </c>
      <c r="M82" s="2" t="inlineStr">
        <is>
          <t>Each unit receives a governed curve or an evidence-backed near-zero treatment.</t>
        </is>
      </c>
    </row>
    <row r="83">
      <c r="A83" s="2" t="inlineStr">
        <is>
          <t>TCWS2-C013</t>
        </is>
      </c>
      <c r="B83" s="2" t="inlineStr">
        <is>
          <t>tropical_cyclone_wind</t>
        </is>
      </c>
      <c r="C83" s="2" t="inlineStr">
        <is>
          <t>PV_GSU_SUBSTATION is a separately located yard/point unit and inherits neither array DR nor exposure.</t>
        </is>
      </c>
      <c r="D83" s="2" t="inlineStr">
        <is>
          <t>governance_decision</t>
        </is>
      </c>
      <c r="E83" s="2" t="inlineStr">
        <is>
          <t>TCWS-S004;GOVERNANCE_CONTRACT</t>
        </is>
      </c>
      <c r="F83" s="2" t="inlineStr">
        <is>
          <t>DECISION_LOG model-v2 docs-r1 § TCWS2-D008</t>
        </is>
      </c>
      <c r="G83" s="2" t="inlineStr">
        <is>
          <t>T3_engineering_proxy_or_adjacent_empirical</t>
        </is>
      </c>
      <c r="H83" s="2" t="inlineStr">
        <is>
          <t>GSU_withholding</t>
        </is>
      </c>
      <c r="I83" s="2" t="inlineStr">
        <is>
          <t>adopt</t>
        </is>
      </c>
      <c r="J83" s="2" t="inlineStr">
        <is>
          <t>Retain identity, value, and acquisition fields for a future GSU route.</t>
        </is>
      </c>
      <c r="K83" s="2" t="inlineStr">
        <is>
          <t>Copy flood, wind-farm, legacy substation, array module, or mounting response.</t>
        </is>
      </c>
      <c r="L83" s="2" t="inlineStr">
        <is>
          <t>The v2 package prioritizes explicit coverage while keeping missing calibration visible and machine enforced.</t>
        </is>
      </c>
      <c r="M83" s="2" t="inlineStr">
        <is>
          <t>Matched TC-wind GSU demand, disposition, cost, and value evidence arrives.</t>
        </is>
      </c>
    </row>
    <row r="84">
      <c r="A84" s="2" t="inlineStr">
        <is>
          <t>TCWS2-C014</t>
        </is>
      </c>
      <c r="B84" s="2" t="inlineStr">
        <is>
          <t>tropical_cyclone_wind</t>
        </is>
      </c>
      <c r="C84" s="2" t="inlineStr">
        <is>
          <t>Scenario dollars and whole-plant DR remain withheld even for valid generic curves.</t>
        </is>
      </c>
      <c r="D84" s="2" t="inlineStr">
        <is>
          <t>governance_decision</t>
        </is>
      </c>
      <c r="E84" s="2" t="inlineStr">
        <is>
          <t>GOVERNANCE_CONTRACT;NO_DIRECT_TC_CALIBRATION_SOURCE</t>
        </is>
      </c>
      <c r="F84" s="2" t="inlineStr">
        <is>
          <t>derivation dossier §13 Capability and reportability</t>
        </is>
      </c>
      <c r="G84" s="2" t="inlineStr">
        <is>
          <t>T4_placeholder_or_expert_judgment</t>
        </is>
      </c>
      <c r="H84" s="2" t="inlineStr">
        <is>
          <t>scenario_loss_withheld</t>
        </is>
      </c>
      <c r="I84" s="2" t="inlineStr">
        <is>
          <t>adopt</t>
        </is>
      </c>
      <c r="J84" s="2" t="inlineStr">
        <is>
          <t>Use scalar/state DRs only for research and interface testing.</t>
        </is>
      </c>
      <c r="K84" s="2" t="inlineStr">
        <is>
          <t>Multiply by TIV or reference values and report economic loss.</t>
        </is>
      </c>
      <c r="L84" s="2" t="inlineStr">
        <is>
          <t>The v2 package prioritizes explicit coverage while keeping missing calibration visible and machine enforced.</t>
        </is>
      </c>
      <c r="M84" s="2" t="inlineStr">
        <is>
          <t>Same-unit state costs, values, exposure, support, and full coverage pass review.</t>
        </is>
      </c>
    </row>
    <row r="85">
      <c r="A85" s="2" t="inlineStr">
        <is>
          <t>TCWS2-C015</t>
        </is>
      </c>
      <c r="B85" s="2" t="inlineStr">
        <is>
          <t>tropical_cyclone_wind</t>
        </is>
      </c>
      <c r="C85" s="2" t="inlineStr">
        <is>
          <t>TC duration, direction evolution, cycling, rain, debris, tornado, flood, and surge have no numerical modifier in v2.</t>
        </is>
      </c>
      <c r="D85" s="2" t="inlineStr">
        <is>
          <t>governance_decision</t>
        </is>
      </c>
      <c r="E85" s="2" t="inlineStr">
        <is>
          <t>TCWS-S004;TCWS-S025;TCWS-S026;GOVERNANCE_CONTRACT</t>
        </is>
      </c>
      <c r="F85" s="2" t="inlineStr">
        <is>
          <t>neighboring-wind and compound-boundary memo § Compound occurrence</t>
        </is>
      </c>
      <c r="G85" s="2" t="inlineStr">
        <is>
          <t>T3_engineering_proxy_or_adjacent_empirical</t>
        </is>
      </c>
      <c r="H85" s="2" t="inlineStr">
        <is>
          <t>conditioner_and_compound_boundary</t>
        </is>
      </c>
      <c r="I85" s="2" t="inlineStr">
        <is>
          <t>adopt</t>
        </is>
      </c>
      <c r="J85" s="2" t="inlineStr">
        <is>
          <t>Carry them as bridge inputs, flags, or separate pathways under one event family.</t>
        </is>
      </c>
      <c r="K85" s="2" t="inlineStr">
        <is>
          <t>Stack an uncalibrated uplift/discount or double count physical loss.</t>
        </is>
      </c>
      <c r="L85" s="2" t="inlineStr">
        <is>
          <t>The v2 package prioritizes explicit coverage while keeping missing calibration visible and machine enforced.</t>
        </is>
      </c>
      <c r="M85" s="2" t="inlineStr">
        <is>
          <t>Pathway-specific calibration and precedence rules pass review.</t>
        </is>
      </c>
    </row>
    <row r="86">
      <c r="A86" s="2" t="inlineStr">
        <is>
          <t>TCWS2-C016</t>
        </is>
      </c>
      <c r="B86" s="2" t="inlineStr">
        <is>
          <t>tropical_cyclone_wind</t>
        </is>
      </c>
      <c r="C86" s="2" t="inlineStr">
        <is>
          <t>The old legacy asset DR is denominator- and coverage-incompatible with v2 failure-unit DR.</t>
        </is>
      </c>
      <c r="D86" s="2" t="inlineStr">
        <is>
          <t>governance_decision</t>
        </is>
      </c>
      <c r="E86" s="2" t="inlineStr">
        <is>
          <t>LEG-TCWS-001;LEG-TCWS-002;GOVERNANCE_CONTRACT</t>
        </is>
      </c>
      <c r="F86" s="2" t="inlineStr">
        <is>
          <t>legacy and adjacent-model audit § Legacy hurricane-solar implementation</t>
        </is>
      </c>
      <c r="G86" s="2" t="inlineStr">
        <is>
          <t>T4_placeholder_or_expert_judgment</t>
        </is>
      </c>
      <c r="H86" s="2" t="inlineStr">
        <is>
          <t>old_new_comparison_rule</t>
        </is>
      </c>
      <c r="I86" s="2" t="inlineStr">
        <is>
          <t>adopt</t>
        </is>
      </c>
      <c r="J86" s="2" t="inlineStr">
        <is>
          <t>Preserve the old curve only as a migration fixture and compare behavior qualitatively.</t>
        </is>
      </c>
      <c r="K86" s="2" t="inlineStr">
        <is>
          <t>Claim a v2 increase/decrease without matching axis, unit, denominator, and covered value.</t>
        </is>
      </c>
      <c r="L86" s="2" t="inlineStr">
        <is>
          <t>The v2 package prioritizes explicit coverage while keeping missing calibration visible and machine enforced.</t>
        </is>
      </c>
      <c r="M86" s="2" t="inlineStr">
        <is>
          <t>A common scenario assembly with complete coverage is governed.</t>
        </is>
      </c>
    </row>
    <row r="87">
      <c r="A87" s="2" t="inlineStr">
        <is>
          <t>TCWS2-C017</t>
        </is>
      </c>
      <c r="B87" s="2" t="inlineStr">
        <is>
          <t>tropical_cyclone_wind</t>
        </is>
      </c>
      <c r="C87" s="2" t="inlineStr">
        <is>
          <t>The v2 artifact remains absent from current/, the artifact index, package releases, and Hazard cutover.</t>
        </is>
      </c>
      <c r="D87" s="2" t="inlineStr">
        <is>
          <t>governance_decision</t>
        </is>
      </c>
      <c r="E87" s="2" t="inlineStr">
        <is>
          <t>GOVERNANCE_CONTRACT</t>
        </is>
      </c>
      <c r="F87" s="2" t="inlineStr">
        <is>
          <t>DECISION_LOG model-v2 docs-r1 § TCWS2-D009</t>
        </is>
      </c>
      <c r="G87" s="2" t="inlineStr">
        <is>
          <t>T4_placeholder_or_expert_judgment</t>
        </is>
      </c>
      <c r="H87" s="2" t="inlineStr">
        <is>
          <t>promotion_status</t>
        </is>
      </c>
      <c r="I87" s="2" t="inlineStr">
        <is>
          <t>adopt</t>
        </is>
      </c>
      <c r="J87" s="2" t="inlineStr">
        <is>
          <t>Review and validate the proposal without changing consumer state.</t>
        </is>
      </c>
      <c r="K87" s="2" t="inlineStr">
        <is>
          <t>Load it as canonical merely because it exists in the repository.</t>
        </is>
      </c>
      <c r="L87" s="2" t="inlineStr">
        <is>
          <t>The v2 package prioritizes explicit coverage while keeping missing calibration visible and machine enforced.</t>
        </is>
      </c>
      <c r="M87" s="2" t="inlineStr">
        <is>
          <t>Every promotion gate and maintainer decision closes.</t>
        </is>
      </c>
    </row>
    <row r="88">
      <c r="A88" s="2" t="inlineStr">
        <is>
          <t>TCWS2-C018</t>
        </is>
      </c>
      <c r="B88" s="2" t="inlineStr">
        <is>
          <t>tropical_cyclone_wind</t>
        </is>
      </c>
      <c r="C88" s="2" t="inlineStr">
        <is>
          <t>The v2 supersession map is mandatory provenance for every consolidated historical claim whose output or version conclusion differs in v2.</t>
        </is>
      </c>
      <c r="D88" s="2" t="inlineStr">
        <is>
          <t>governance_decision</t>
        </is>
      </c>
      <c r="E88" s="2" t="inlineStr">
        <is>
          <t>TCWS2_CELL_LOCAL_SYNTHETIC_DECISION;GOVERNANCE_CONTRACT</t>
        </is>
      </c>
      <c r="F88" s="2" t="inlineStr">
        <is>
          <t>CLAIM_SUPERSESSION_MAP model-v2 docs-r1 complete file</t>
        </is>
      </c>
      <c r="G88" s="2" t="inlineStr">
        <is>
          <t>T4_placeholder_or_expert_judgment</t>
        </is>
      </c>
      <c r="H88" s="2" t="inlineStr">
        <is>
          <t>claim_supersession_map_required</t>
        </is>
      </c>
      <c r="I88" s="2" t="inlineStr">
        <is>
          <t>adopt</t>
        </is>
      </c>
      <c r="J88" s="2" t="inlineStr">
        <is>
          <t>Use the map to distinguish retained evidence limitations from superseded noncanonical output behavior.</t>
        </is>
      </c>
      <c r="K88" s="2" t="inlineStr">
        <is>
          <t>Read the consolidated register as if every row were simultaneously active for model v2.</t>
        </is>
      </c>
      <c r="L88" s="2" t="inlineStr">
        <is>
          <t>The v2 package prioritizes explicit coverage while keeping missing calibration visible and machine enforced.</t>
        </is>
      </c>
      <c r="M88" s="2" t="inlineStr">
        <is>
          <t>The consolidated-register format gains native version-scope and supersession fields.</t>
        </is>
      </c>
    </row>
  </sheetData>
  <autoFilter ref="A1:M8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1" customWidth="1" min="2" max="2"/>
    <col width="55" customWidth="1" min="3" max="3"/>
    <col width="45" customWidth="1" min="4" max="4"/>
    <col width="55" customWidth="1" min="5" max="5"/>
  </cols>
  <sheetData>
    <row r="1">
      <c r="A1" s="1" t="inlineStr">
        <is>
          <t>prior_claim_id</t>
        </is>
      </c>
      <c r="B1" s="1" t="inlineStr">
        <is>
          <t>prior_version_scope</t>
        </is>
      </c>
      <c r="C1" s="1" t="inlineStr">
        <is>
          <t>v2_status</t>
        </is>
      </c>
      <c r="D1" s="1" t="inlineStr">
        <is>
          <t>superseding_claim_id</t>
        </is>
      </c>
      <c r="E1" s="1" t="inlineStr">
        <is>
          <t>retained_truth</t>
        </is>
      </c>
    </row>
    <row r="2">
      <c r="A2" s="2" t="inlineStr">
        <is>
          <t>TCWS-C003</t>
        </is>
      </c>
      <c r="B2" s="2" t="inlineStr">
        <is>
          <t>model v0.1/docs r1 scaffold</t>
        </is>
      </c>
      <c r="C2" s="2" t="inlineStr">
        <is>
          <t>historical_scope_only_output_conclusion_superseded</t>
        </is>
      </c>
      <c r="D2" s="2" t="inlineStr">
        <is>
          <t>TCWS2-C002;TCWS2-C008;TCWS2-C009</t>
        </is>
      </c>
      <c r="E2" s="2" t="inlineStr">
        <is>
          <t>The evidence limitation remains true; only the noncanonical output/version decision changes in v2.</t>
        </is>
      </c>
    </row>
    <row r="3">
      <c r="A3" s="2" t="inlineStr">
        <is>
          <t>TCWS-C025</t>
        </is>
      </c>
      <c r="B3" s="2" t="inlineStr">
        <is>
          <t>model v0.1/docs r1 evidence-transfer gate</t>
        </is>
      </c>
      <c r="C3" s="2" t="inlineStr">
        <is>
          <t>evidence_prohibition_retained_cell_local_assumption_decision_added</t>
        </is>
      </c>
      <c r="D3" s="2" t="inlineStr">
        <is>
          <t>TCWS2-C001;TCWS2-C005;TCWS2-C006</t>
        </is>
      </c>
      <c r="E3" s="2" t="inlineStr">
        <is>
          <t>Strong-wind evidence and calibration do not transfer; v2 adopts byte-equal values as cell-local Tier-4 assumptions.</t>
        </is>
      </c>
    </row>
    <row r="4">
      <c r="A4" s="2" t="inlineStr">
        <is>
          <t>TCWS-C107</t>
        </is>
      </c>
      <c r="B4" s="2" t="inlineStr">
        <is>
          <t>model v1.0/docs r1 PAVA wording</t>
        </is>
      </c>
      <c r="C4" s="2" t="inlineStr">
        <is>
          <t>historical_wording_corrected</t>
        </is>
      </c>
      <c r="D4" s="2" t="inlineStr">
        <is>
          <t>TCWS-C220</t>
        </is>
      </c>
      <c r="E4" s="2" t="inlineStr">
        <is>
          <t>The fit is equal-record weighted; repeated physical sites mean it is not unique-site weighting.</t>
        </is>
      </c>
    </row>
    <row r="5">
      <c r="A5" s="2" t="inlineStr">
        <is>
          <t>TCWS-C111</t>
        </is>
      </c>
      <c r="B5" s="2" t="inlineStr">
        <is>
          <t>model v1.0/docs r1 Perry curve</t>
        </is>
      </c>
      <c r="C5" s="2" t="inlineStr">
        <is>
          <t>Perry_route_truth_retained_generic_v2_output_conclusion_superseded</t>
        </is>
      </c>
      <c r="D5" s="2" t="inlineStr">
        <is>
          <t>TCWS2-C005;TCWS2-C009</t>
        </is>
      </c>
      <c r="E5" s="2" t="inlineStr">
        <is>
          <t>Perry supplies no tracker evidence and cannot route trackers; the v2 tracker route is synthetic Tier 4.</t>
        </is>
      </c>
    </row>
    <row r="6">
      <c r="A6" s="2" t="inlineStr">
        <is>
          <t>TCWS-C207</t>
        </is>
      </c>
      <c r="B6" s="2" t="inlineStr">
        <is>
          <t>model v1.0/docs r2 evidence-earned decision</t>
        </is>
      </c>
      <c r="C6" s="2" t="inlineStr">
        <is>
          <t>evidence_gate_retained_owner_assumption_output_added</t>
        </is>
      </c>
      <c r="D6" s="2" t="inlineStr">
        <is>
          <t>TCWS2-C001;TCWS2-C009;TCWS2-C010</t>
        </is>
      </c>
      <c r="E6" s="2" t="inlineStr">
        <is>
          <t>No reviewed evidence earned a tracker curve or generic stow credit; v2 remains uncalibrated and requires attained state.</t>
        </is>
      </c>
    </row>
    <row r="7">
      <c r="A7" s="2" t="inlineStr">
        <is>
          <t>TCWS-C215</t>
        </is>
      </c>
      <c r="B7" s="2" t="inlineStr">
        <is>
          <t>model v1.0/docs r2 coverage decision</t>
        </is>
      </c>
      <c r="C7" s="2" t="inlineStr">
        <is>
          <t>generic_fixed_tracker_output_conclusion_superseded_other_units_retained</t>
        </is>
      </c>
      <c r="D7" s="2" t="inlineStr">
        <is>
          <t>TCWS2-C001;TCWS2-C005;TCWS2-C012;TCWS2-C013</t>
        </is>
      </c>
      <c r="E7" s="2" t="inlineStr">
        <is>
          <t>Foundation, electrical, GSU, SCADA, civil, support, value, and evidence-earned promotion remain withheld.</t>
        </is>
      </c>
    </row>
    <row r="8">
      <c r="A8" s="2" t="inlineStr">
        <is>
          <t>TCWS-C216</t>
        </is>
      </c>
      <c r="B8" s="2" t="inlineStr">
        <is>
          <t>model v1.0/docs r2 cross-cell reuse decision</t>
        </is>
      </c>
      <c r="C8" s="2" t="inlineStr">
        <is>
          <t>evidence_transfer_prohibition_retained_cell_local_numeric_decision_added</t>
        </is>
      </c>
      <c r="D8" s="2" t="inlineStr">
        <is>
          <t>TCWS2-C005;TCWS2-C006</t>
        </is>
      </c>
      <c r="E8" s="2" t="inlineStr">
        <is>
          <t>Convective response is not TC evidence; the shared profile is audit-only and not a runtime dependency.</t>
        </is>
      </c>
    </row>
    <row r="9">
      <c r="A9" s="2" t="inlineStr">
        <is>
          <t>TCWS-C217</t>
        </is>
      </c>
      <c r="B9" s="2" t="inlineStr">
        <is>
          <t>model v1.0/docs r2 evidence-only version decision</t>
        </is>
      </c>
      <c r="C9" s="2" t="inlineStr">
        <is>
          <t>historical_evidence_decision_retained_version_action_superseded_by_owner_choice</t>
        </is>
      </c>
      <c r="D9" s="2" t="inlineStr">
        <is>
          <t>TCWS2-C001;TCWS2-C002</t>
        </is>
      </c>
      <c r="E9" s="2" t="inlineStr">
        <is>
          <t>Public evidence did not earn v2; model v2 is a separately classified owner-authorized synthetic proposal.</t>
        </is>
      </c>
    </row>
  </sheetData>
  <autoFilter ref="A1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54" customWidth="1" min="3" max="3"/>
    <col width="55" customWidth="1" min="4" max="4"/>
    <col width="20" customWidth="1" min="5" max="5"/>
    <col width="44" customWidth="1" min="6" max="6"/>
    <col width="55" customWidth="1" min="7" max="7"/>
    <col width="55" customWidth="1" min="8" max="8"/>
    <col width="20" customWidth="1" min="9" max="9"/>
    <col width="55" customWidth="1" min="10" max="10"/>
  </cols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s="2" t="inlineStr">
        <is>
          <t>Perry_compatibility_source_derived_record_count</t>
        </is>
      </c>
      <c r="B2" s="2" t="inlineStr">
        <is>
          <t>tropical_cyclone_wind</t>
        </is>
      </c>
      <c r="C2" s="2" t="inlineStr">
        <is>
          <t>TCWS_PERRY_GROUND_FIXED_VISIBLE_REPLACEMENT_PROXY_V1</t>
        </is>
      </c>
      <c r="D2" s="2" t="inlineStr">
        <is>
          <t>1</t>
        </is>
      </c>
      <c r="E2" s="2" t="inlineStr">
        <is>
          <t>capability</t>
        </is>
      </c>
      <c r="F2" s="2" t="inlineStr">
        <is>
          <t>T4_placeholder_or_expert_judgment</t>
        </is>
      </c>
      <c r="G2" s="2" t="inlineStr">
        <is>
          <t>GOVERNANCE_CONTRACT</t>
        </is>
      </c>
      <c r="H2" s="2" t="inlineStr">
        <is>
          <t>One narrow noncanonical source-unit curve passes the screening gate. This count is scoped to the preserved Perry route, not the v2 package.</t>
        </is>
      </c>
      <c r="I2" s="2" t="inlineStr">
        <is>
          <t>adopt</t>
        </is>
      </c>
      <c r="J2" s="2" t="inlineStr">
        <is>
          <t>Promotion or model revision.</t>
        </is>
      </c>
    </row>
    <row r="3">
      <c r="A3" s="2" t="inlineStr">
        <is>
          <t>source_manual_csv_sha256</t>
        </is>
      </c>
      <c r="B3" s="2" t="inlineStr">
        <is>
          <t>tropical_cyclone_wind</t>
        </is>
      </c>
      <c r="C3" s="2" t="inlineStr">
        <is>
          <t>TCWS_PERRY_GROUND_FIXED_VISIBLE_REPLACEMENT_PROXY_V1</t>
        </is>
      </c>
      <c r="D3" s="2" t="inlineStr">
        <is>
          <t>edb34e74cc078bba1fdbe34463abadc794fd416caa66eb64ac3d0ed176ac5e00</t>
        </is>
      </c>
      <c r="E3" s="2" t="inlineStr">
        <is>
          <t>provenance_pin</t>
        </is>
      </c>
      <c r="F3" s="2" t="inlineStr">
        <is>
          <t>T1_claims_or_field_calibrated</t>
        </is>
      </c>
      <c r="G3" s="2" t="inlineStr">
        <is>
          <t>TCWS-S020</t>
        </is>
      </c>
      <c r="H3" s="2" t="inlineStr">
        <is>
          <t>Pins the exact reviewed source file.</t>
        </is>
      </c>
      <c r="I3" s="2" t="inlineStr">
        <is>
          <t>adopt</t>
        </is>
      </c>
      <c r="J3" s="2" t="inlineStr">
        <is>
          <t>Source file changes.</t>
        </is>
      </c>
    </row>
    <row r="4">
      <c r="A4" s="2" t="inlineStr">
        <is>
          <t>source_cohort_filter</t>
        </is>
      </c>
      <c r="B4" s="2" t="inlineStr">
        <is>
          <t>tropical_cyclone_wind</t>
        </is>
      </c>
      <c r="C4" s="2" t="inlineStr">
        <is>
          <t>TCWS_PERRY_GROUND_FIXED_VISIBLE_REPLACEMENT_PROXY_V1</t>
        </is>
      </c>
      <c r="D4" s="2" t="inlineStr">
        <is>
          <t>mounting_type=ground AND tracking=false</t>
        </is>
      </c>
      <c r="E4" s="2" t="inlineStr">
        <is>
          <t>selector</t>
        </is>
      </c>
      <c r="F4" s="2" t="inlineStr">
        <is>
          <t>T1_claims_or_field_calibrated</t>
        </is>
      </c>
      <c r="G4" s="2" t="inlineStr">
        <is>
          <t>TCWS-S020</t>
        </is>
      </c>
      <c r="H4" s="2" t="inlineStr">
        <is>
          <t>Separates the only adequately populated explicit architecture cohort.</t>
        </is>
      </c>
      <c r="I4" s="2" t="inlineStr">
        <is>
          <t>adopt_with_limits</t>
        </is>
      </c>
      <c r="J4" s="2" t="inlineStr">
        <is>
          <t>Architecture labels or source population changes.</t>
        </is>
      </c>
    </row>
    <row r="5">
      <c r="A5" s="2" t="inlineStr">
        <is>
          <t>source_cohort_n</t>
        </is>
      </c>
      <c r="B5" s="2" t="inlineStr">
        <is>
          <t>tropical_cyclone_wind</t>
        </is>
      </c>
      <c r="C5" s="2" t="inlineStr">
        <is>
          <t>TCWS_PERRY_GROUND_FIXED_VISIBLE_REPLACEMENT_PROXY_V1</t>
        </is>
      </c>
      <c r="D5" s="2" t="inlineStr">
        <is>
          <t>35</t>
        </is>
      </c>
      <c r="E5" s="2" t="inlineStr">
        <is>
          <t>sample_size</t>
        </is>
      </c>
      <c r="F5" s="2" t="inlineStr">
        <is>
          <t>T1_claims_or_field_calibrated</t>
        </is>
      </c>
      <c r="G5" s="2" t="inlineStr">
        <is>
          <t>TCWS-S020</t>
        </is>
      </c>
      <c r="H5" s="2" t="inlineStr">
        <is>
          <t>All fixed ground source-cohort records including the tail audit point.</t>
        </is>
      </c>
      <c r="I5" s="2" t="inlineStr">
        <is>
          <t>adopt</t>
        </is>
      </c>
      <c r="J5" s="2" t="inlineStr">
        <is>
          <t>Source changes.</t>
        </is>
      </c>
    </row>
    <row r="6">
      <c r="A6" s="2" t="inlineStr">
        <is>
          <t>runtime_fit_n</t>
        </is>
      </c>
      <c r="B6" s="2" t="inlineStr">
        <is>
          <t>tropical_cyclone_wind</t>
        </is>
      </c>
      <c r="C6" s="2" t="inlineStr">
        <is>
          <t>TCWS_PERRY_GROUND_FIXED_VISIBLE_REPLACEMENT_PROXY_V1</t>
        </is>
      </c>
      <c r="D6" s="2" t="inlineStr">
        <is>
          <t>34</t>
        </is>
      </c>
      <c r="E6" s="2" t="inlineStr">
        <is>
          <t>sample_size</t>
        </is>
      </c>
      <c r="F6" s="2" t="inlineStr">
        <is>
          <t>T3_engineering_proxy_or_adjacent_empirical</t>
        </is>
      </c>
      <c r="G6" s="2" t="inlineStr">
        <is>
          <t>TCWS-S020;GOVERNANCE_CONTRACT</t>
        </is>
      </c>
      <c r="H6" s="2" t="inlineStr">
        <is>
          <t>Excludes the single 48.2 m/s sparse-tail observation.</t>
        </is>
      </c>
      <c r="I6" s="2" t="inlineStr">
        <is>
          <t>adopt_with_limits</t>
        </is>
      </c>
      <c r="J6" s="2" t="inlineStr">
        <is>
          <t>Tail evidence improves.</t>
        </is>
      </c>
    </row>
    <row r="7">
      <c r="A7" s="2" t="inlineStr">
        <is>
          <t>source_axis_id</t>
        </is>
      </c>
      <c r="B7" s="2" t="inlineStr">
        <is>
          <t>tropical_cyclone_wind</t>
        </is>
      </c>
      <c r="C7" s="2" t="inlineStr">
        <is>
          <t>TCWS_PERRY_GROUND_FIXED_VISIBLE_REPLACEMENT_PROXY_V1</t>
        </is>
      </c>
      <c r="D7" s="2" t="inlineStr">
        <is>
          <t>PERRY_DATASET_REPORTED_EVENT_MAX_GUST_MPS</t>
        </is>
      </c>
      <c r="E7" s="2" t="inlineStr">
        <is>
          <t>axis</t>
        </is>
      </c>
      <c r="F7" s="2" t="inlineStr">
        <is>
          <t>T1_claims_or_field_calibrated</t>
        </is>
      </c>
      <c r="G7" s="2" t="inlineStr">
        <is>
          <t>TCWS-S020;TCWS-S021</t>
        </is>
      </c>
      <c r="H7" s="2" t="inlineStr">
        <is>
          <t>Preserves the dataset-reported field without attributing one provider or inventing averaging, height, station, or query semantics for the full manual cohort.</t>
        </is>
      </c>
      <c r="I7" s="2" t="inlineStr">
        <is>
          <t>adopt_with_limits</t>
        </is>
      </c>
      <c r="J7" s="2" t="inlineStr">
        <is>
          <t>Source documentation clarifies the full manual-cohort weather lineage.</t>
        </is>
      </c>
    </row>
    <row r="8">
      <c r="A8" s="2" t="inlineStr">
        <is>
          <t>valid_range_mps</t>
        </is>
      </c>
      <c r="B8" s="2" t="inlineStr">
        <is>
          <t>tropical_cyclone_wind</t>
        </is>
      </c>
      <c r="C8" s="2" t="inlineStr">
        <is>
          <t>TCWS_PERRY_GROUND_FIXED_VISIBLE_REPLACEMENT_PROXY_V1</t>
        </is>
      </c>
      <c r="D8" s="2" t="inlineStr">
        <is>
          <t>17.4|39.1</t>
        </is>
      </c>
      <c r="E8" s="2" t="inlineStr">
        <is>
          <t>boundary_or_cap</t>
        </is>
      </c>
      <c r="F8" s="2" t="inlineStr">
        <is>
          <t>T3_engineering_proxy_or_adjacent_empirical</t>
        </is>
      </c>
      <c r="G8" s="2" t="inlineStr">
        <is>
          <t>TCWS-S020;GOVERNANCE_CONTRACT</t>
        </is>
      </c>
      <c r="H8" s="2" t="inlineStr">
        <is>
          <t>Source-bounded fit domain before the isolated severe-tail gap.</t>
        </is>
      </c>
      <c r="I8" s="2" t="inlineStr">
        <is>
          <t>adopt_with_limits</t>
        </is>
      </c>
      <c r="J8" s="2" t="inlineStr">
        <is>
          <t>Tail evidence improves.</t>
        </is>
      </c>
    </row>
    <row r="9">
      <c r="A9" s="2" t="inlineStr">
        <is>
          <t>fit_method</t>
        </is>
      </c>
      <c r="B9" s="2" t="inlineStr">
        <is>
          <t>tropical_cyclone_wind</t>
        </is>
      </c>
      <c r="C9" s="2" t="inlineStr">
        <is>
          <t>TCWS_PERRY_GROUND_FIXED_VISIBLE_REPLACEMENT_PROXY_V1</t>
        </is>
      </c>
      <c r="D9" s="2" t="inlineStr">
        <is>
          <t>equal_record_weighted_PAVA_then_block_edge_linearization</t>
        </is>
      </c>
      <c r="E9" s="2" t="inlineStr">
        <is>
          <t>curve_fit_shape</t>
        </is>
      </c>
      <c r="F9" s="2" t="inlineStr">
        <is>
          <t>T3_engineering_proxy_or_adjacent_empirical</t>
        </is>
      </c>
      <c r="G9" s="2" t="inlineStr">
        <is>
          <t>TCWS-S020;GOVERNANCE_CONTRACT</t>
        </is>
      </c>
      <c r="H9" s="2" t="inlineStr">
        <is>
          <t>The 34 retained event/site records receive equal record weight; repeated physical sites mean this is not unique-site weighting.</t>
        </is>
      </c>
      <c r="I9" s="2" t="inlineStr">
        <is>
          <t>adopt_with_limits</t>
        </is>
      </c>
      <c r="J9" s="2" t="inlineStr">
        <is>
          <t>Reviewed predictive method replaces screening fit.</t>
        </is>
      </c>
    </row>
    <row r="10">
      <c r="A10" s="2" t="inlineStr">
        <is>
          <t>interpolation_policy</t>
        </is>
      </c>
      <c r="B10" s="2" t="inlineStr">
        <is>
          <t>tropical_cyclone_wind</t>
        </is>
      </c>
      <c r="C10" s="2" t="inlineStr">
        <is>
          <t>TCWS_PERRY_GROUND_FIXED_VISIBLE_REPLACEMENT_PROXY_V1</t>
        </is>
      </c>
      <c r="D10" s="2" t="inlineStr">
        <is>
          <t>linear_between_source_knots</t>
        </is>
      </c>
      <c r="E10" s="2" t="inlineStr">
        <is>
          <t>curve_fit_shape</t>
        </is>
      </c>
      <c r="F10" s="2" t="inlineStr">
        <is>
          <t>T3_engineering_proxy_or_adjacent_empirical</t>
        </is>
      </c>
      <c r="G10" s="2" t="inlineStr">
        <is>
          <t>GOVERNANCE_CONTRACT</t>
        </is>
      </c>
      <c r="H10" s="2" t="inlineStr">
        <is>
          <t>Continuous deterministic interpolation between governed block edges.</t>
        </is>
      </c>
      <c r="I10" s="2" t="inlineStr">
        <is>
          <t>adopt_with_limits</t>
        </is>
      </c>
      <c r="J10" s="2" t="inlineStr">
        <is>
          <t>Method revision.</t>
        </is>
      </c>
    </row>
    <row r="11">
      <c r="A11" s="2" t="inlineStr">
        <is>
          <t>extrapolation_policy</t>
        </is>
      </c>
      <c r="B11" s="2" t="inlineStr">
        <is>
          <t>tropical_cyclone_wind</t>
        </is>
      </c>
      <c r="C11" s="2" t="inlineStr">
        <is>
          <t>TCWS_PERRY_GROUND_FIXED_VISIBLE_REPLACEMENT_PROXY_V1</t>
        </is>
      </c>
      <c r="D11" s="2" t="inlineStr">
        <is>
          <t>withhold outside 17.4-39.1 m/s</t>
        </is>
      </c>
      <c r="E11" s="2" t="inlineStr">
        <is>
          <t>boundary_or_cap</t>
        </is>
      </c>
      <c r="F11" s="2" t="inlineStr">
        <is>
          <t>T4_placeholder_or_expert_judgment</t>
        </is>
      </c>
      <c r="G11" s="2" t="inlineStr">
        <is>
          <t>GOVERNANCE_CONTRACT</t>
        </is>
      </c>
      <c r="H11" s="2" t="inlineStr">
        <is>
          <t>No source-supported tail or low-end extrapolation.</t>
        </is>
      </c>
      <c r="I11" s="2" t="inlineStr">
        <is>
          <t>adopt</t>
        </is>
      </c>
      <c r="J11" s="2" t="inlineStr">
        <is>
          <t>New evidence expands range.</t>
        </is>
      </c>
    </row>
    <row r="12">
      <c r="A12" s="2" t="inlineStr">
        <is>
          <t>ordinate_percent_conversion</t>
        </is>
      </c>
      <c r="B12" s="2" t="inlineStr">
        <is>
          <t>tropical_cyclone_wind</t>
        </is>
      </c>
      <c r="C12" s="2" t="inlineStr">
        <is>
          <t>TCWS_PERRY_GROUND_FIXED_VISIBLE_REPLACEMENT_PROXY_V1</t>
        </is>
      </c>
      <c r="D12" s="2" t="inlineStr">
        <is>
          <t>damage_ratio=pct_modules_damaged/100</t>
        </is>
      </c>
      <c r="E12" s="2" t="inlineStr">
        <is>
          <t>ordinate_bridge</t>
        </is>
      </c>
      <c r="F12" s="2" t="inlineStr">
        <is>
          <t>T1_claims_or_field_calibrated</t>
        </is>
      </c>
      <c r="G12" s="2" t="inlineStr">
        <is>
          <t>TCWS-S020;TCWS-S021</t>
        </is>
      </c>
      <c r="H12" s="2" t="inlineStr">
        <is>
          <t>Exact unit conversion from percent to fraction.</t>
        </is>
      </c>
      <c r="I12" s="2" t="inlineStr">
        <is>
          <t>adopt</t>
        </is>
      </c>
      <c r="J12" s="2" t="inlineStr">
        <is>
          <t>Source units change.</t>
        </is>
      </c>
    </row>
    <row r="13">
      <c r="A13" s="2" t="inlineStr">
        <is>
          <t>uniform_module_value</t>
        </is>
      </c>
      <c r="B13" s="2" t="inlineStr">
        <is>
          <t>tropical_cyclone_wind</t>
        </is>
      </c>
      <c r="C13" s="2" t="inlineStr">
        <is>
          <t>TCWS_PERRY_GROUND_FIXED_VISIBLE_REPLACEMENT_PROXY_V1</t>
        </is>
      </c>
      <c r="D13" s="2" t="inlineStr">
        <is>
          <t>required_true</t>
        </is>
      </c>
      <c r="E13" s="2" t="inlineStr">
        <is>
          <t>value_bridge</t>
        </is>
      </c>
      <c r="F13" s="2" t="inlineStr">
        <is>
          <t>T4_placeholder_or_expert_judgment</t>
        </is>
      </c>
      <c r="G13" s="2" t="inlineStr">
        <is>
          <t>GOVERNANCE_CONTRACT</t>
        </is>
      </c>
      <c r="H13" s="2" t="inlineStr">
        <is>
          <t>Makes module-count or equal-area fraction align with module-hardware value fraction.</t>
        </is>
      </c>
      <c r="I13" s="2" t="inlineStr">
        <is>
          <t>adopt_with_limits</t>
        </is>
      </c>
      <c r="J13" s="2" t="inlineStr">
        <is>
          <t>Observed module value distribution replaces assumption.</t>
        </is>
      </c>
    </row>
    <row r="14">
      <c r="A14" s="2" t="inlineStr">
        <is>
          <t>full_replacement_if_visible</t>
        </is>
      </c>
      <c r="B14" s="2" t="inlineStr">
        <is>
          <t>tropical_cyclone_wind</t>
        </is>
      </c>
      <c r="C14" s="2" t="inlineStr">
        <is>
          <t>TCWS_PERRY_GROUND_FIXED_VISIBLE_REPLACEMENT_PROXY_V1</t>
        </is>
      </c>
      <c r="D14" s="2" t="inlineStr">
        <is>
          <t>required_true</t>
        </is>
      </c>
      <c r="E14" s="2" t="inlineStr">
        <is>
          <t>disposition_bridge</t>
        </is>
      </c>
      <c r="F14" s="2" t="inlineStr">
        <is>
          <t>T4_placeholder_or_expert_judgment</t>
        </is>
      </c>
      <c r="G14" s="2" t="inlineStr">
        <is>
          <t>GOVERNANCE_CONTRACT</t>
        </is>
      </c>
      <c r="H14" s="2" t="inlineStr">
        <is>
          <t>Maps visible or missing module physical fraction to material replacement proxy.</t>
        </is>
      </c>
      <c r="I14" s="2" t="inlineStr">
        <is>
          <t>adopt_with_limits</t>
        </is>
      </c>
      <c r="J14" s="2" t="inlineStr">
        <is>
          <t>Inspected repair-versus-replace data replaces assumption.</t>
        </is>
      </c>
    </row>
    <row r="15">
      <c r="A15" s="2" t="inlineStr">
        <is>
          <t>extra_exposure_fraction</t>
        </is>
      </c>
      <c r="B15" s="2" t="inlineStr">
        <is>
          <t>tropical_cyclone_wind</t>
        </is>
      </c>
      <c r="C15" s="2" t="inlineStr">
        <is>
          <t>TCWS_PERRY_GROUND_FIXED_VISIBLE_REPLACEMENT_PROXY_V1</t>
        </is>
      </c>
      <c r="D15" s="2" t="inlineStr">
        <is>
          <t>prohibited</t>
        </is>
      </c>
      <c r="E15" s="2" t="inlineStr">
        <is>
          <t>exposure_modifier</t>
        </is>
      </c>
      <c r="F15" s="2" t="inlineStr">
        <is>
          <t>T3_engineering_proxy_or_adjacent_empirical</t>
        </is>
      </c>
      <c r="G15" s="2" t="inlineStr">
        <is>
          <t>TCWS-S020;TCWS-S021</t>
        </is>
      </c>
      <c r="H15" s="2" t="inlineStr">
        <is>
          <t>The site response already measures realized affected fraction.</t>
        </is>
      </c>
      <c r="I15" s="2" t="inlineStr">
        <is>
          <t>adopt</t>
        </is>
      </c>
      <c r="J15" s="2" t="inlineStr">
        <is>
          <t>Response grain changes.</t>
        </is>
      </c>
    </row>
    <row r="16">
      <c r="A16" s="2" t="inlineStr">
        <is>
          <t>Perry_compatibility_curve_intrinsic_spread</t>
        </is>
      </c>
      <c r="B16" s="2" t="inlineStr">
        <is>
          <t>tropical_cyclone_wind</t>
        </is>
      </c>
      <c r="C16" s="2" t="inlineStr">
        <is>
          <t>TCWS_PERRY_GROUND_FIXED_VISIBLE_REPLACEMENT_PROXY_V1</t>
        </is>
      </c>
      <c r="D16" s="2" t="inlineStr">
        <is>
          <t>not_carried</t>
        </is>
      </c>
      <c r="E16" s="2" t="inlineStr">
        <is>
          <t>uncertainty</t>
        </is>
      </c>
      <c r="F16" s="2" t="inlineStr">
        <is>
          <t>T4_placeholder_or_expert_judgment</t>
        </is>
      </c>
      <c r="G16" s="2" t="inlineStr">
        <is>
          <t>GOVERNANCE_CONTRACT</t>
        </is>
      </c>
      <c r="H16" s="2" t="inlineStr">
        <is>
          <t>Cluster-aware uncertainty is not identified by the sparse event sample.</t>
        </is>
      </c>
      <c r="I16" s="2" t="inlineStr">
        <is>
          <t>withhold</t>
        </is>
      </c>
      <c r="J16" s="2" t="inlineStr">
        <is>
          <t>Validated hierarchical uncertainty model.</t>
        </is>
      </c>
    </row>
    <row r="17">
      <c r="A17" s="2" t="inlineStr">
        <is>
          <t>tail_audit_point</t>
        </is>
      </c>
      <c r="B17" s="2" t="inlineStr">
        <is>
          <t>tropical_cyclone_wind</t>
        </is>
      </c>
      <c r="C17" s="2" t="inlineStr">
        <is>
          <t>TCWS_PERRY_GROUND_FIXED_VISIBLE_REPLACEMENT_PROXY_V1</t>
        </is>
      </c>
      <c r="D17" s="2" t="inlineStr">
        <is>
          <t>48.2 m/s|0.4142383192 DR|n=1</t>
        </is>
      </c>
      <c r="E17" s="2" t="inlineStr">
        <is>
          <t>audit_only</t>
        </is>
      </c>
      <c r="F17" s="2" t="inlineStr">
        <is>
          <t>T1_claims_or_field_calibrated</t>
        </is>
      </c>
      <c r="G17" s="2" t="inlineStr">
        <is>
          <t>TCWS-S020</t>
        </is>
      </c>
      <c r="H17" s="2" t="inlineStr">
        <is>
          <t>Retains the severe observation without granting runtime interpolation.</t>
        </is>
      </c>
      <c r="I17" s="2" t="inlineStr">
        <is>
          <t>withhold_runtime</t>
        </is>
      </c>
      <c r="J17" s="2" t="inlineStr">
        <is>
          <t>Tail cohort grows.</t>
        </is>
      </c>
    </row>
    <row r="18">
      <c r="A18" s="2" t="inlineStr">
        <is>
          <t>Perry_compatibility_model_grade</t>
        </is>
      </c>
      <c r="B18" s="2" t="inlineStr">
        <is>
          <t>tropical_cyclone_wind</t>
        </is>
      </c>
      <c r="C18" s="2" t="inlineStr">
        <is>
          <t>TCWS_PERRY_GROUND_FIXED_VISIBLE_REPLACEMENT_PROXY_V1</t>
        </is>
      </c>
      <c r="D18" s="2" t="inlineStr">
        <is>
          <t>screening_remote_sensing_labeled_visible_fraction_with_T4_economic_bridge</t>
        </is>
      </c>
      <c r="E18" s="2" t="inlineStr">
        <is>
          <t>release_state</t>
        </is>
      </c>
      <c r="F18" s="2" t="inlineStr">
        <is>
          <t>T4_placeholder_or_expert_judgment</t>
        </is>
      </c>
      <c r="G18" s="2" t="inlineStr">
        <is>
          <t>TCWS-S020;GOVERNANCE_CONTRACT</t>
        </is>
      </c>
      <c r="H18" s="2" t="inlineStr">
        <is>
          <t>Separates remote-sensing-labeled visible physical severity from assumed economic disposition.</t>
        </is>
      </c>
      <c r="I18" s="2" t="inlineStr">
        <is>
          <t>adopt</t>
        </is>
      </c>
      <c r="J18" s="2" t="inlineStr">
        <is>
          <t>Evidence chain improves.</t>
        </is>
      </c>
    </row>
    <row r="19">
      <c r="A19" s="2" t="inlineStr">
        <is>
          <t>TCWS2-P000 | package curve-record count</t>
        </is>
      </c>
      <c r="B19" s="2" t="inlineStr">
        <is>
          <t>tropical_cyclone_wind</t>
        </is>
      </c>
      <c r="C19" s="2" t="inlineStr">
        <is>
          <t>CELL_CONTRACT</t>
        </is>
      </c>
      <c r="D19" s="2" t="inlineStr">
        <is>
          <t>5</t>
        </is>
      </c>
      <c r="E19" s="2" t="inlineStr">
        <is>
          <t>capability</t>
        </is>
      </c>
      <c r="F19" s="2" t="inlineStr">
        <is>
          <t>T4_placeholder_or_expert_judgment</t>
        </is>
      </c>
      <c r="G19" s="2" t="inlineStr">
        <is>
          <t>TCWS2_CELL_LOCAL_SYNTHETIC_DECISION;GOVERNANCE_CONTRACT</t>
        </is>
      </c>
      <c r="H19" s="2" t="inlineStr">
        <is>
          <t>One preserved Perry record plus four cell-local generic synthetic records.</t>
        </is>
      </c>
      <c r="I19" s="2" t="inlineStr">
        <is>
          <t>adopt_synthetic_T4</t>
        </is>
      </c>
      <c r="J19" s="2" t="inlineStr">
        <is>
          <t>Formal elicitation or matched TC field/claims calibration replaces this value.</t>
        </is>
      </c>
    </row>
    <row r="20">
      <c r="A20" s="2" t="inlineStr">
        <is>
          <t>TCWS2-P001 | audit comparison profile</t>
        </is>
      </c>
      <c r="B20" s="2" t="inlineStr">
        <is>
          <t>tropical_cyclone_wind</t>
        </is>
      </c>
      <c r="C20" s="2" t="inlineStr">
        <is>
          <t>CELL_CONTRACT</t>
        </is>
      </c>
      <c r="D20" s="2" t="inlineStr">
        <is>
          <t>SHARED_SOLAR_WIND_NORMALIZED_RESPONSE_SYNTHETIC_T4_V0_1</t>
        </is>
      </c>
      <c r="E20" s="2" t="inlineStr">
        <is>
          <t>provenance_pin</t>
        </is>
      </c>
      <c r="F20" s="2" t="inlineStr">
        <is>
          <t>T4_placeholder_or_expert_judgment</t>
        </is>
      </c>
      <c r="G20" s="2" t="inlineStr">
        <is>
          <t>SHARED_SOLAR_WIND_PROXY_V0_1;TCWS2_CELL_LOCAL_SYNTHETIC_DECISION</t>
        </is>
      </c>
      <c r="H20" s="2" t="inlineStr">
        <is>
          <t>Audit-only byte-value comparison after cell-local adoption; never a runtime parameter source.</t>
        </is>
      </c>
      <c r="I20" s="2" t="inlineStr">
        <is>
          <t>adopt_synthetic_T4</t>
        </is>
      </c>
      <c r="J20" s="2" t="inlineStr">
        <is>
          <t>Formal elicitation or matched TC field/claims calibration replaces this value.</t>
        </is>
      </c>
    </row>
    <row r="21">
      <c r="A21" s="2" t="inlineStr">
        <is>
          <t>TCWS2-P000B | generic synthetic record count</t>
        </is>
      </c>
      <c r="B21" s="2" t="inlineStr">
        <is>
          <t>tropical_cyclone_wind</t>
        </is>
      </c>
      <c r="C21" s="2" t="inlineStr">
        <is>
          <t>CELL_CONTRACT</t>
        </is>
      </c>
      <c r="D21" s="2" t="inlineStr">
        <is>
          <t>4</t>
        </is>
      </c>
      <c r="E21" s="2" t="inlineStr">
        <is>
          <t>capability</t>
        </is>
      </c>
      <c r="F21" s="2" t="inlineStr">
        <is>
          <t>T4_placeholder_or_expert_judgment</t>
        </is>
      </c>
      <c r="G21" s="2" t="inlineStr">
        <is>
          <t>TCWS2_CELL_LOCAL_SYNTHETIC_DECISION;GOVERNANCE_CONTRACT</t>
        </is>
      </c>
      <c r="H21" s="2" t="inlineStr">
        <is>
          <t>Two fixed-tilt and two tracker records; all are cell-local Tier-4 scenarios.</t>
        </is>
      </c>
      <c r="I21" s="2" t="inlineStr">
        <is>
          <t>adopt_synthetic_T4</t>
        </is>
      </c>
      <c r="J21" s="2" t="inlineStr">
        <is>
          <t>Formal elicitation or matched TC field/claims calibration replaces this value.</t>
        </is>
      </c>
    </row>
    <row r="22">
      <c r="A22" s="2" t="inlineStr">
        <is>
          <t>TCWS2-P002 | generic demand range</t>
        </is>
      </c>
      <c r="B22" s="2" t="inlineStr">
        <is>
          <t>tropical_cyclone_wind</t>
        </is>
      </c>
      <c r="C22" s="2" t="inlineStr">
        <is>
          <t>CELL_AXIS_CONTRACT</t>
        </is>
      </c>
      <c r="D22" s="2" t="inlineStr">
        <is>
          <t>0.0 to 2.0</t>
        </is>
      </c>
      <c r="E22" s="2" t="inlineStr">
        <is>
          <t>boundary_or_cap</t>
        </is>
      </c>
      <c r="F22" s="2" t="inlineStr">
        <is>
          <t>T4_placeholder_or_expert_judgment</t>
        </is>
      </c>
      <c r="G22" s="2" t="inlineStr">
        <is>
          <t>TCWS2_CELL_LOCAL_SYNTHETIC_DECISION;NO_DIRECT_TC_CALIBRATION_SOURCE</t>
        </is>
      </c>
      <c r="H22" s="2" t="inlineStr">
        <is>
          <t>The entire [0,2] interval is a bounded synthetic research domain with no internal evidence-anchored high-range threshold; values above 2 are withheld.</t>
        </is>
      </c>
      <c r="I22" s="2" t="inlineStr">
        <is>
          <t>adopt_synthetic_T4</t>
        </is>
      </c>
      <c r="J22" s="2" t="inlineStr">
        <is>
          <t>Formal elicitation or matched TC field/claims calibration replaces this value.</t>
        </is>
      </c>
    </row>
    <row r="23">
      <c r="A23" s="2" t="inlineStr">
        <is>
          <t>TCWS2-P003 | hard-zero treatment</t>
        </is>
      </c>
      <c r="B23" s="2" t="inlineStr">
        <is>
          <t>tropical_cyclone_wind</t>
        </is>
      </c>
      <c r="C23" s="2" t="inlineStr">
        <is>
          <t>ALL_GENERIC_RECORDS</t>
        </is>
      </c>
      <c r="D23" s="2" t="inlineStr">
        <is>
          <t>none above zero; exact x=0 only</t>
        </is>
      </c>
      <c r="E23" s="2" t="inlineStr">
        <is>
          <t>curve_fit_shape</t>
        </is>
      </c>
      <c r="F23" s="2" t="inlineStr">
        <is>
          <t>T4_placeholder_or_expert_judgment</t>
        </is>
      </c>
      <c r="G23" s="2" t="inlineStr">
        <is>
          <t>GOVERNANCE_CONTRACT;TCWS2_CELL_LOCAL_SYNTHETIC_DECISION</t>
        </is>
      </c>
      <c r="H23" s="2" t="inlineStr">
        <is>
          <t>Avoid an invented immunity band and avoid intercept subtraction that changes parameter meaning.</t>
        </is>
      </c>
      <c r="I23" s="2" t="inlineStr">
        <is>
          <t>adopt_synthetic_T4</t>
        </is>
      </c>
      <c r="J23" s="2" t="inlineStr">
        <is>
          <t>Formal elicitation or matched TC field/claims calibration replaces this value.</t>
        </is>
      </c>
    </row>
    <row r="24">
      <c r="A24" s="2" t="inlineStr">
        <is>
          <t>TCWS2-P004 | scenario loss</t>
        </is>
      </c>
      <c r="B24" s="2" t="inlineStr">
        <is>
          <t>tropical_cyclone_wind</t>
        </is>
      </c>
      <c r="C24" s="2" t="inlineStr">
        <is>
          <t>CELL_EMIT_CONTRACT</t>
        </is>
      </c>
      <c r="D24" s="2" t="inlineStr">
        <is>
          <t>withheld</t>
        </is>
      </c>
      <c r="E24" s="2" t="inlineStr">
        <is>
          <t>value_linkage</t>
        </is>
      </c>
      <c r="F24" s="2" t="inlineStr">
        <is>
          <t>T4_placeholder_or_expert_judgment</t>
        </is>
      </c>
      <c r="G24" s="2" t="inlineStr">
        <is>
          <t>GOVERNANCE_CONTRACT;NO_DIRECT_TC_CALIBRATION_SOURCE</t>
        </is>
      </c>
      <c r="H24" s="2" t="inlineStr">
        <is>
          <t>Synthetic state costs do not authorize reportable dollars or whole-plant DR.</t>
        </is>
      </c>
      <c r="I24" s="2" t="inlineStr">
        <is>
          <t>withhold</t>
        </is>
      </c>
      <c r="J24" s="2" t="inlineStr">
        <is>
          <t>Formal elicitation or matched TC field/claims calibration replaces this value.</t>
        </is>
      </c>
    </row>
    <row r="25">
      <c r="A25" s="2" t="inlineStr">
        <is>
          <t>TCWS2_FIXED_MODULE_SYNTHETIC_T4_ORDERED_STATES | beta_ln</t>
        </is>
      </c>
      <c r="B25" s="2" t="inlineStr">
        <is>
          <t>tropical_cyclone_wind</t>
        </is>
      </c>
      <c r="C25" s="2" t="inlineStr">
        <is>
          <t>TCWS2_FIXED_MODULE_SYNTHETIC_T4_ORDERED_STATES</t>
        </is>
      </c>
      <c r="D25" s="2" t="inlineStr">
        <is>
          <t>0.3</t>
        </is>
      </c>
      <c r="E25" s="2" t="inlineStr">
        <is>
          <t>curve_fit_shape</t>
        </is>
      </c>
      <c r="F25" s="2" t="inlineStr">
        <is>
          <t>T4_placeholder_or_expert_judgment</t>
        </is>
      </c>
      <c r="G25" s="2" t="inlineStr">
        <is>
          <t>TCWS2_CELL_LOCAL_SYNTHETIC_DECISION;NO_DIRECT_TC_CALIBRATION_SOURCE</t>
        </is>
      </c>
      <c r="H25" s="2" t="inlineStr">
        <is>
          <t>Synthetic log-space transition width; not fitted dispersion.</t>
        </is>
      </c>
      <c r="I25" s="2" t="inlineStr">
        <is>
          <t>adopt_synthetic_T4</t>
        </is>
      </c>
      <c r="J25" s="2" t="inlineStr">
        <is>
          <t>Formal elicitation or matched TC field/claims calibration replaces this value.</t>
        </is>
      </c>
    </row>
    <row r="26">
      <c r="A26" s="2" t="inlineStr">
        <is>
          <t>TCWS2_FIXED_MODULE_SYNTHETIC_T4_ORDERED_STATES | MODULE_DS0_NO_DIRECT_DAMAGE cost_ratio</t>
        </is>
      </c>
      <c r="B26" s="2" t="inlineStr">
        <is>
          <t>tropical_cyclone_wind</t>
        </is>
      </c>
      <c r="C26" s="2" t="inlineStr">
        <is>
          <t>TCWS2_FIXED_MODULE_SYNTHETIC_T4_ORDERED_STATES</t>
        </is>
      </c>
      <c r="D26" s="2" t="inlineStr">
        <is>
          <t>0.0</t>
        </is>
      </c>
      <c r="E26" s="2" t="inlineStr">
        <is>
          <t>state_cost_ratio</t>
        </is>
      </c>
      <c r="F26" s="2" t="inlineStr">
        <is>
          <t>T4_placeholder_or_expert_judgment</t>
        </is>
      </c>
      <c r="G26" s="2" t="inlineStr">
        <is>
          <t>TCWS2_CELL_LOCAL_SYNTHETIC_DECISION;NO_DIRECT_TC_CALIBRATION_SOURCE</t>
        </is>
      </c>
      <c r="H26" s="2" t="inlineStr">
        <is>
          <t>Explicit synthetic same-unit consequence ratio keeps probability and DR typed separately.</t>
        </is>
      </c>
      <c r="I26" s="2" t="inlineStr">
        <is>
          <t>adopt_synthetic_T4</t>
        </is>
      </c>
      <c r="J26" s="2" t="inlineStr">
        <is>
          <t>Formal elicitation or matched TC field/claims calibration replaces this value.</t>
        </is>
      </c>
    </row>
    <row r="27">
      <c r="A27" s="2" t="inlineStr">
        <is>
          <t>TCWS2_FIXED_MODULE_SYNTHETIC_T4_ORDERED_STATES | MODULE_DS1_LOCALIZED_REPLACEMENT cost_ratio</t>
        </is>
      </c>
      <c r="B27" s="2" t="inlineStr">
        <is>
          <t>tropical_cyclone_wind</t>
        </is>
      </c>
      <c r="C27" s="2" t="inlineStr">
        <is>
          <t>TCWS2_FIXED_MODULE_SYNTHETIC_T4_ORDERED_STATES</t>
        </is>
      </c>
      <c r="D27" s="2" t="inlineStr">
        <is>
          <t>0.1</t>
        </is>
      </c>
      <c r="E27" s="2" t="inlineStr">
        <is>
          <t>state_cost_ratio</t>
        </is>
      </c>
      <c r="F27" s="2" t="inlineStr">
        <is>
          <t>T4_placeholder_or_expert_judgment</t>
        </is>
      </c>
      <c r="G27" s="2" t="inlineStr">
        <is>
          <t>TCWS2_CELL_LOCAL_SYNTHETIC_DECISION;NO_DIRECT_TC_CALIBRATION_SOURCE</t>
        </is>
      </c>
      <c r="H27" s="2" t="inlineStr">
        <is>
          <t>Explicit synthetic same-unit consequence ratio keeps probability and DR typed separately.</t>
        </is>
      </c>
      <c r="I27" s="2" t="inlineStr">
        <is>
          <t>adopt_synthetic_T4</t>
        </is>
      </c>
      <c r="J27" s="2" t="inlineStr">
        <is>
          <t>Formal elicitation or matched TC field/claims calibration replaces this value.</t>
        </is>
      </c>
    </row>
    <row r="28">
      <c r="A28" s="2" t="inlineStr">
        <is>
          <t>TCWS2_FIXED_MODULE_SYNTHETIC_T4_ORDERED_STATES | MODULE_DS2_FIELD_REPLACEMENT cost_ratio</t>
        </is>
      </c>
      <c r="B28" s="2" t="inlineStr">
        <is>
          <t>tropical_cyclone_wind</t>
        </is>
      </c>
      <c r="C28" s="2" t="inlineStr">
        <is>
          <t>TCWS2_FIXED_MODULE_SYNTHETIC_T4_ORDERED_STATES</t>
        </is>
      </c>
      <c r="D28" s="2" t="inlineStr">
        <is>
          <t>1.0</t>
        </is>
      </c>
      <c r="E28" s="2" t="inlineStr">
        <is>
          <t>state_cost_ratio</t>
        </is>
      </c>
      <c r="F28" s="2" t="inlineStr">
        <is>
          <t>T4_placeholder_or_expert_judgment</t>
        </is>
      </c>
      <c r="G28" s="2" t="inlineStr">
        <is>
          <t>TCWS2_CELL_LOCAL_SYNTHETIC_DECISION;NO_DIRECT_TC_CALIBRATION_SOURCE</t>
        </is>
      </c>
      <c r="H28" s="2" t="inlineStr">
        <is>
          <t>Explicit synthetic same-unit consequence ratio keeps probability and DR typed separately.</t>
        </is>
      </c>
      <c r="I28" s="2" t="inlineStr">
        <is>
          <t>adopt_synthetic_T4</t>
        </is>
      </c>
      <c r="J28" s="2" t="inlineStr">
        <is>
          <t>Formal elicitation or matched TC field/claims calibration replaces this value.</t>
        </is>
      </c>
    </row>
    <row r="29">
      <c r="A29" s="2" t="inlineStr">
        <is>
          <t>TCWS2_FIXED_MODULE_SYNTHETIC_T4_ORDERED_STATES | lower_resistance medians</t>
        </is>
      </c>
      <c r="B29" s="2" t="inlineStr">
        <is>
          <t>tropical_cyclone_wind</t>
        </is>
      </c>
      <c r="C29" s="2" t="inlineStr">
        <is>
          <t>TCWS2_FIXED_MODULE_SYNTHETIC_T4_ORDERED_STATES</t>
        </is>
      </c>
      <c r="D29" s="2" t="inlineStr">
        <is>
          <t>[0.65, 1.2]</t>
        </is>
      </c>
      <c r="E29" s="2" t="inlineStr">
        <is>
          <t>curve_fit_shape</t>
        </is>
      </c>
      <c r="F29" s="2" t="inlineStr">
        <is>
          <t>T4_placeholder_or_expert_judgment</t>
        </is>
      </c>
      <c r="G29" s="2" t="inlineStr">
        <is>
          <t>TCWS2_CELL_LOCAL_SYNTHETIC_DECISION;NO_DIRECT_TC_CALIBRATION_SOURCE</t>
        </is>
      </c>
      <c r="H29" s="2" t="inlineStr">
        <is>
          <t>Unweighted synthetic resistance scenario; not a percentile or fitted hurricane parameter.</t>
        </is>
      </c>
      <c r="I29" s="2" t="inlineStr">
        <is>
          <t>adopt_synthetic_T4</t>
        </is>
      </c>
      <c r="J29" s="2" t="inlineStr">
        <is>
          <t>Formal elicitation or matched TC field/claims calibration replaces this value.</t>
        </is>
      </c>
    </row>
    <row r="30">
      <c r="A30" s="2" t="inlineStr">
        <is>
          <t>TCWS2_FIXED_MODULE_SYNTHETIC_T4_ORDERED_STATES | central_screening medians</t>
        </is>
      </c>
      <c r="B30" s="2" t="inlineStr">
        <is>
          <t>tropical_cyclone_wind</t>
        </is>
      </c>
      <c r="C30" s="2" t="inlineStr">
        <is>
          <t>TCWS2_FIXED_MODULE_SYNTHETIC_T4_ORDERED_STATES</t>
        </is>
      </c>
      <c r="D30" s="2" t="inlineStr">
        <is>
          <t>[0.85, 1.55]</t>
        </is>
      </c>
      <c r="E30" s="2" t="inlineStr">
        <is>
          <t>curve_fit_shape</t>
        </is>
      </c>
      <c r="F30" s="2" t="inlineStr">
        <is>
          <t>T4_placeholder_or_expert_judgment</t>
        </is>
      </c>
      <c r="G30" s="2" t="inlineStr">
        <is>
          <t>TCWS2_CELL_LOCAL_SYNTHETIC_DECISION;NO_DIRECT_TC_CALIBRATION_SOURCE</t>
        </is>
      </c>
      <c r="H30" s="2" t="inlineStr">
        <is>
          <t>Unweighted synthetic resistance scenario; not a percentile or fitted hurricane parameter.</t>
        </is>
      </c>
      <c r="I30" s="2" t="inlineStr">
        <is>
          <t>adopt_synthetic_T4</t>
        </is>
      </c>
      <c r="J30" s="2" t="inlineStr">
        <is>
          <t>Formal elicitation or matched TC field/claims calibration replaces this value.</t>
        </is>
      </c>
    </row>
    <row r="31">
      <c r="A31" s="2" t="inlineStr">
        <is>
          <t>TCWS2_FIXED_MODULE_SYNTHETIC_T4_ORDERED_STATES | upper_resistance medians</t>
        </is>
      </c>
      <c r="B31" s="2" t="inlineStr">
        <is>
          <t>tropical_cyclone_wind</t>
        </is>
      </c>
      <c r="C31" s="2" t="inlineStr">
        <is>
          <t>TCWS2_FIXED_MODULE_SYNTHETIC_T4_ORDERED_STATES</t>
        </is>
      </c>
      <c r="D31" s="2" t="inlineStr">
        <is>
          <t>[1.05, 1.95]</t>
        </is>
      </c>
      <c r="E31" s="2" t="inlineStr">
        <is>
          <t>curve_fit_shape</t>
        </is>
      </c>
      <c r="F31" s="2" t="inlineStr">
        <is>
          <t>T4_placeholder_or_expert_judgment</t>
        </is>
      </c>
      <c r="G31" s="2" t="inlineStr">
        <is>
          <t>TCWS2_CELL_LOCAL_SYNTHETIC_DECISION;NO_DIRECT_TC_CALIBRATION_SOURCE</t>
        </is>
      </c>
      <c r="H31" s="2" t="inlineStr">
        <is>
          <t>Unweighted synthetic resistance scenario; not a percentile or fitted hurricane parameter.</t>
        </is>
      </c>
      <c r="I31" s="2" t="inlineStr">
        <is>
          <t>adopt_synthetic_T4</t>
        </is>
      </c>
      <c r="J31" s="2" t="inlineStr">
        <is>
          <t>Formal elicitation or matched TC field/claims calibration replaces this value.</t>
        </is>
      </c>
    </row>
    <row r="32">
      <c r="A32" s="2" t="inlineStr">
        <is>
          <t>TCWS2_FIXED_STRUCTURE_SYNTHETIC_T4_ORDERED_STATES | beta_ln</t>
        </is>
      </c>
      <c r="B32" s="2" t="inlineStr">
        <is>
          <t>tropical_cyclone_wind</t>
        </is>
      </c>
      <c r="C32" s="2" t="inlineStr">
        <is>
          <t>TCWS2_FIXED_STRUCTURE_SYNTHETIC_T4_ORDERED_STATES</t>
        </is>
      </c>
      <c r="D32" s="2" t="inlineStr">
        <is>
          <t>0.3</t>
        </is>
      </c>
      <c r="E32" s="2" t="inlineStr">
        <is>
          <t>curve_fit_shape</t>
        </is>
      </c>
      <c r="F32" s="2" t="inlineStr">
        <is>
          <t>T4_placeholder_or_expert_judgment</t>
        </is>
      </c>
      <c r="G32" s="2" t="inlineStr">
        <is>
          <t>TCWS2_CELL_LOCAL_SYNTHETIC_DECISION;NO_DIRECT_TC_CALIBRATION_SOURCE</t>
        </is>
      </c>
      <c r="H32" s="2" t="inlineStr">
        <is>
          <t>Synthetic log-space transition width; not fitted dispersion.</t>
        </is>
      </c>
      <c r="I32" s="2" t="inlineStr">
        <is>
          <t>adopt_synthetic_T4</t>
        </is>
      </c>
      <c r="J32" s="2" t="inlineStr">
        <is>
          <t>Formal elicitation or matched TC field/claims calibration replaces this value.</t>
        </is>
      </c>
    </row>
    <row r="33">
      <c r="A33" s="2" t="inlineStr">
        <is>
          <t>TCWS2_FIXED_STRUCTURE_SYNTHETIC_T4_ORDERED_STATES | STRUCT_DS0_NO_DIRECT_DAMAGE cost_ratio</t>
        </is>
      </c>
      <c r="B33" s="2" t="inlineStr">
        <is>
          <t>tropical_cyclone_wind</t>
        </is>
      </c>
      <c r="C33" s="2" t="inlineStr">
        <is>
          <t>TCWS2_FIXED_STRUCTURE_SYNTHETIC_T4_ORDERED_STATES</t>
        </is>
      </c>
      <c r="D33" s="2" t="inlineStr">
        <is>
          <t>0.0</t>
        </is>
      </c>
      <c r="E33" s="2" t="inlineStr">
        <is>
          <t>state_cost_ratio</t>
        </is>
      </c>
      <c r="F33" s="2" t="inlineStr">
        <is>
          <t>T4_placeholder_or_expert_judgment</t>
        </is>
      </c>
      <c r="G33" s="2" t="inlineStr">
        <is>
          <t>TCWS2_CELL_LOCAL_SYNTHETIC_DECISION;NO_DIRECT_TC_CALIBRATION_SOURCE</t>
        </is>
      </c>
      <c r="H33" s="2" t="inlineStr">
        <is>
          <t>Explicit synthetic same-unit consequence ratio keeps probability and DR typed separately.</t>
        </is>
      </c>
      <c r="I33" s="2" t="inlineStr">
        <is>
          <t>adopt_synthetic_T4</t>
        </is>
      </c>
      <c r="J33" s="2" t="inlineStr">
        <is>
          <t>Formal elicitation or matched TC field/claims calibration replaces this value.</t>
        </is>
      </c>
    </row>
    <row r="34">
      <c r="A34" s="2" t="inlineStr">
        <is>
          <t>TCWS2_FIXED_STRUCTURE_SYNTHETIC_T4_ORDERED_STATES | STRUCT_DS1_LOCALIZED_REPAIR cost_ratio</t>
        </is>
      </c>
      <c r="B34" s="2" t="inlineStr">
        <is>
          <t>tropical_cyclone_wind</t>
        </is>
      </c>
      <c r="C34" s="2" t="inlineStr">
        <is>
          <t>TCWS2_FIXED_STRUCTURE_SYNTHETIC_T4_ORDERED_STATES</t>
        </is>
      </c>
      <c r="D34" s="2" t="inlineStr">
        <is>
          <t>0.15</t>
        </is>
      </c>
      <c r="E34" s="2" t="inlineStr">
        <is>
          <t>state_cost_ratio</t>
        </is>
      </c>
      <c r="F34" s="2" t="inlineStr">
        <is>
          <t>T4_placeholder_or_expert_judgment</t>
        </is>
      </c>
      <c r="G34" s="2" t="inlineStr">
        <is>
          <t>TCWS2_CELL_LOCAL_SYNTHETIC_DECISION;NO_DIRECT_TC_CALIBRATION_SOURCE</t>
        </is>
      </c>
      <c r="H34" s="2" t="inlineStr">
        <is>
          <t>Explicit synthetic same-unit consequence ratio keeps probability and DR typed separately.</t>
        </is>
      </c>
      <c r="I34" s="2" t="inlineStr">
        <is>
          <t>adopt_synthetic_T4</t>
        </is>
      </c>
      <c r="J34" s="2" t="inlineStr">
        <is>
          <t>Formal elicitation or matched TC field/claims calibration replaces this value.</t>
        </is>
      </c>
    </row>
    <row r="35">
      <c r="A35" s="2" t="inlineStr">
        <is>
          <t>TCWS2_FIXED_STRUCTURE_SYNTHETIC_T4_ORDERED_STATES | STRUCT_DS2_FULL_UNIT_REPLACEMENT cost_ratio</t>
        </is>
      </c>
      <c r="B35" s="2" t="inlineStr">
        <is>
          <t>tropical_cyclone_wind</t>
        </is>
      </c>
      <c r="C35" s="2" t="inlineStr">
        <is>
          <t>TCWS2_FIXED_STRUCTURE_SYNTHETIC_T4_ORDERED_STATES</t>
        </is>
      </c>
      <c r="D35" s="2" t="inlineStr">
        <is>
          <t>1.0</t>
        </is>
      </c>
      <c r="E35" s="2" t="inlineStr">
        <is>
          <t>state_cost_ratio</t>
        </is>
      </c>
      <c r="F35" s="2" t="inlineStr">
        <is>
          <t>T4_placeholder_or_expert_judgment</t>
        </is>
      </c>
      <c r="G35" s="2" t="inlineStr">
        <is>
          <t>TCWS2_CELL_LOCAL_SYNTHETIC_DECISION;NO_DIRECT_TC_CALIBRATION_SOURCE</t>
        </is>
      </c>
      <c r="H35" s="2" t="inlineStr">
        <is>
          <t>Explicit synthetic same-unit consequence ratio keeps probability and DR typed separately.</t>
        </is>
      </c>
      <c r="I35" s="2" t="inlineStr">
        <is>
          <t>adopt_synthetic_T4</t>
        </is>
      </c>
      <c r="J35" s="2" t="inlineStr">
        <is>
          <t>Formal elicitation or matched TC field/claims calibration replaces this value.</t>
        </is>
      </c>
    </row>
    <row r="36">
      <c r="A36" s="2" t="inlineStr">
        <is>
          <t>TCWS2_FIXED_STRUCTURE_SYNTHETIC_T4_ORDERED_STATES | STRUCT_DS3_TERMINAL_UNIT_FAILURE cost_ratio</t>
        </is>
      </c>
      <c r="B36" s="2" t="inlineStr">
        <is>
          <t>tropical_cyclone_wind</t>
        </is>
      </c>
      <c r="C36" s="2" t="inlineStr">
        <is>
          <t>TCWS2_FIXED_STRUCTURE_SYNTHETIC_T4_ORDERED_STATES</t>
        </is>
      </c>
      <c r="D36" s="2" t="inlineStr">
        <is>
          <t>1.0</t>
        </is>
      </c>
      <c r="E36" s="2" t="inlineStr">
        <is>
          <t>state_cost_ratio</t>
        </is>
      </c>
      <c r="F36" s="2" t="inlineStr">
        <is>
          <t>T4_placeholder_or_expert_judgment</t>
        </is>
      </c>
      <c r="G36" s="2" t="inlineStr">
        <is>
          <t>TCWS2_CELL_LOCAL_SYNTHETIC_DECISION;NO_DIRECT_TC_CALIBRATION_SOURCE</t>
        </is>
      </c>
      <c r="H36" s="2" t="inlineStr">
        <is>
          <t>Explicit synthetic same-unit consequence ratio keeps probability and DR typed separately.</t>
        </is>
      </c>
      <c r="I36" s="2" t="inlineStr">
        <is>
          <t>adopt_synthetic_T4</t>
        </is>
      </c>
      <c r="J36" s="2" t="inlineStr">
        <is>
          <t>Formal elicitation or matched TC field/claims calibration replaces this value.</t>
        </is>
      </c>
    </row>
    <row r="37">
      <c r="A37" s="2" t="inlineStr">
        <is>
          <t>TCWS2_FIXED_STRUCTURE_SYNTHETIC_T4_ORDERED_STATES | lower_resistance medians</t>
        </is>
      </c>
      <c r="B37" s="2" t="inlineStr">
        <is>
          <t>tropical_cyclone_wind</t>
        </is>
      </c>
      <c r="C37" s="2" t="inlineStr">
        <is>
          <t>TCWS2_FIXED_STRUCTURE_SYNTHETIC_T4_ORDERED_STATES</t>
        </is>
      </c>
      <c r="D37" s="2" t="inlineStr">
        <is>
          <t>[0.9, 1.2, 1.5]</t>
        </is>
      </c>
      <c r="E37" s="2" t="inlineStr">
        <is>
          <t>curve_fit_shape</t>
        </is>
      </c>
      <c r="F37" s="2" t="inlineStr">
        <is>
          <t>T4_placeholder_or_expert_judgment</t>
        </is>
      </c>
      <c r="G37" s="2" t="inlineStr">
        <is>
          <t>TCWS2_CELL_LOCAL_SYNTHETIC_DECISION;NO_DIRECT_TC_CALIBRATION_SOURCE</t>
        </is>
      </c>
      <c r="H37" s="2" t="inlineStr">
        <is>
          <t>Unweighted synthetic resistance scenario; not a percentile or fitted hurricane parameter.</t>
        </is>
      </c>
      <c r="I37" s="2" t="inlineStr">
        <is>
          <t>adopt_synthetic_T4</t>
        </is>
      </c>
      <c r="J37" s="2" t="inlineStr">
        <is>
          <t>Formal elicitation or matched TC field/claims calibration replaces this value.</t>
        </is>
      </c>
    </row>
    <row r="38">
      <c r="A38" s="2" t="inlineStr">
        <is>
          <t>TCWS2_FIXED_STRUCTURE_SYNTHETIC_T4_ORDERED_STATES | central_screening medians</t>
        </is>
      </c>
      <c r="B38" s="2" t="inlineStr">
        <is>
          <t>tropical_cyclone_wind</t>
        </is>
      </c>
      <c r="C38" s="2" t="inlineStr">
        <is>
          <t>TCWS2_FIXED_STRUCTURE_SYNTHETIC_T4_ORDERED_STATES</t>
        </is>
      </c>
      <c r="D38" s="2" t="inlineStr">
        <is>
          <t>[1.15, 1.55, 1.9]</t>
        </is>
      </c>
      <c r="E38" s="2" t="inlineStr">
        <is>
          <t>curve_fit_shape</t>
        </is>
      </c>
      <c r="F38" s="2" t="inlineStr">
        <is>
          <t>T4_placeholder_or_expert_judgment</t>
        </is>
      </c>
      <c r="G38" s="2" t="inlineStr">
        <is>
          <t>TCWS2_CELL_LOCAL_SYNTHETIC_DECISION;NO_DIRECT_TC_CALIBRATION_SOURCE</t>
        </is>
      </c>
      <c r="H38" s="2" t="inlineStr">
        <is>
          <t>Unweighted synthetic resistance scenario; not a percentile or fitted hurricane parameter.</t>
        </is>
      </c>
      <c r="I38" s="2" t="inlineStr">
        <is>
          <t>adopt_synthetic_T4</t>
        </is>
      </c>
      <c r="J38" s="2" t="inlineStr">
        <is>
          <t>Formal elicitation or matched TC field/claims calibration replaces this value.</t>
        </is>
      </c>
    </row>
    <row r="39">
      <c r="A39" s="2" t="inlineStr">
        <is>
          <t>TCWS2_FIXED_STRUCTURE_SYNTHETIC_T4_ORDERED_STATES | upper_resistance medians</t>
        </is>
      </c>
      <c r="B39" s="2" t="inlineStr">
        <is>
          <t>tropical_cyclone_wind</t>
        </is>
      </c>
      <c r="C39" s="2" t="inlineStr">
        <is>
          <t>TCWS2_FIXED_STRUCTURE_SYNTHETIC_T4_ORDERED_STATES</t>
        </is>
      </c>
      <c r="D39" s="2" t="inlineStr">
        <is>
          <t>[1.45, 1.95, 2.35]</t>
        </is>
      </c>
      <c r="E39" s="2" t="inlineStr">
        <is>
          <t>curve_fit_shape</t>
        </is>
      </c>
      <c r="F39" s="2" t="inlineStr">
        <is>
          <t>T4_placeholder_or_expert_judgment</t>
        </is>
      </c>
      <c r="G39" s="2" t="inlineStr">
        <is>
          <t>TCWS2_CELL_LOCAL_SYNTHETIC_DECISION;NO_DIRECT_TC_CALIBRATION_SOURCE</t>
        </is>
      </c>
      <c r="H39" s="2" t="inlineStr">
        <is>
          <t>Unweighted synthetic resistance scenario; not a percentile or fitted hurricane parameter.</t>
        </is>
      </c>
      <c r="I39" s="2" t="inlineStr">
        <is>
          <t>adopt_synthetic_T4</t>
        </is>
      </c>
      <c r="J39" s="2" t="inlineStr">
        <is>
          <t>Formal elicitation or matched TC field/claims calibration replaces this value.</t>
        </is>
      </c>
    </row>
    <row r="40">
      <c r="A40" s="2" t="inlineStr">
        <is>
          <t>TCWS2_TRACKER_MODULE_SYNTHETIC_T4_ORDERED_STATES | beta_ln</t>
        </is>
      </c>
      <c r="B40" s="2" t="inlineStr">
        <is>
          <t>tropical_cyclone_wind</t>
        </is>
      </c>
      <c r="C40" s="2" t="inlineStr">
        <is>
          <t>TCWS2_TRACKER_MODULE_SYNTHETIC_T4_ORDERED_STATES</t>
        </is>
      </c>
      <c r="D40" s="2" t="inlineStr">
        <is>
          <t>0.275</t>
        </is>
      </c>
      <c r="E40" s="2" t="inlineStr">
        <is>
          <t>curve_fit_shape</t>
        </is>
      </c>
      <c r="F40" s="2" t="inlineStr">
        <is>
          <t>T4_placeholder_or_expert_judgment</t>
        </is>
      </c>
      <c r="G40" s="2" t="inlineStr">
        <is>
          <t>TCWS2_CELL_LOCAL_SYNTHETIC_DECISION;NO_DIRECT_TC_CALIBRATION_SOURCE</t>
        </is>
      </c>
      <c r="H40" s="2" t="inlineStr">
        <is>
          <t>Synthetic log-space transition width; not fitted dispersion.</t>
        </is>
      </c>
      <c r="I40" s="2" t="inlineStr">
        <is>
          <t>adopt_synthetic_T4</t>
        </is>
      </c>
      <c r="J40" s="2" t="inlineStr">
        <is>
          <t>Formal elicitation or matched TC field/claims calibration replaces this value.</t>
        </is>
      </c>
    </row>
    <row r="41">
      <c r="A41" s="2" t="inlineStr">
        <is>
          <t>TCWS2_TRACKER_MODULE_SYNTHETIC_T4_ORDERED_STATES | MODULE_DS0_NO_DIRECT_DAMAGE cost_ratio</t>
        </is>
      </c>
      <c r="B41" s="2" t="inlineStr">
        <is>
          <t>tropical_cyclone_wind</t>
        </is>
      </c>
      <c r="C41" s="2" t="inlineStr">
        <is>
          <t>TCWS2_TRACKER_MODULE_SYNTHETIC_T4_ORDERED_STATES</t>
        </is>
      </c>
      <c r="D41" s="2" t="inlineStr">
        <is>
          <t>0.0</t>
        </is>
      </c>
      <c r="E41" s="2" t="inlineStr">
        <is>
          <t>state_cost_ratio</t>
        </is>
      </c>
      <c r="F41" s="2" t="inlineStr">
        <is>
          <t>T4_placeholder_or_expert_judgment</t>
        </is>
      </c>
      <c r="G41" s="2" t="inlineStr">
        <is>
          <t>TCWS2_CELL_LOCAL_SYNTHETIC_DECISION;NO_DIRECT_TC_CALIBRATION_SOURCE</t>
        </is>
      </c>
      <c r="H41" s="2" t="inlineStr">
        <is>
          <t>Explicit synthetic same-unit consequence ratio keeps probability and DR typed separately.</t>
        </is>
      </c>
      <c r="I41" s="2" t="inlineStr">
        <is>
          <t>adopt_synthetic_T4</t>
        </is>
      </c>
      <c r="J41" s="2" t="inlineStr">
        <is>
          <t>Formal elicitation or matched TC field/claims calibration replaces this value.</t>
        </is>
      </c>
    </row>
    <row r="42">
      <c r="A42" s="2" t="inlineStr">
        <is>
          <t>TCWS2_TRACKER_MODULE_SYNTHETIC_T4_ORDERED_STATES | MODULE_DS1_LOCALIZED_REPLACEMENT cost_ratio</t>
        </is>
      </c>
      <c r="B42" s="2" t="inlineStr">
        <is>
          <t>tropical_cyclone_wind</t>
        </is>
      </c>
      <c r="C42" s="2" t="inlineStr">
        <is>
          <t>TCWS2_TRACKER_MODULE_SYNTHETIC_T4_ORDERED_STATES</t>
        </is>
      </c>
      <c r="D42" s="2" t="inlineStr">
        <is>
          <t>0.1</t>
        </is>
      </c>
      <c r="E42" s="2" t="inlineStr">
        <is>
          <t>state_cost_ratio</t>
        </is>
      </c>
      <c r="F42" s="2" t="inlineStr">
        <is>
          <t>T4_placeholder_or_expert_judgment</t>
        </is>
      </c>
      <c r="G42" s="2" t="inlineStr">
        <is>
          <t>TCWS2_CELL_LOCAL_SYNTHETIC_DECISION;NO_DIRECT_TC_CALIBRATION_SOURCE</t>
        </is>
      </c>
      <c r="H42" s="2" t="inlineStr">
        <is>
          <t>Explicit synthetic same-unit consequence ratio keeps probability and DR typed separately.</t>
        </is>
      </c>
      <c r="I42" s="2" t="inlineStr">
        <is>
          <t>adopt_synthetic_T4</t>
        </is>
      </c>
      <c r="J42" s="2" t="inlineStr">
        <is>
          <t>Formal elicitation or matched TC field/claims calibration replaces this value.</t>
        </is>
      </c>
    </row>
    <row r="43">
      <c r="A43" s="2" t="inlineStr">
        <is>
          <t>TCWS2_TRACKER_MODULE_SYNTHETIC_T4_ORDERED_STATES | MODULE_DS2_FIELD_REPLACEMENT cost_ratio</t>
        </is>
      </c>
      <c r="B43" s="2" t="inlineStr">
        <is>
          <t>tropical_cyclone_wind</t>
        </is>
      </c>
      <c r="C43" s="2" t="inlineStr">
        <is>
          <t>TCWS2_TRACKER_MODULE_SYNTHETIC_T4_ORDERED_STATES</t>
        </is>
      </c>
      <c r="D43" s="2" t="inlineStr">
        <is>
          <t>1.0</t>
        </is>
      </c>
      <c r="E43" s="2" t="inlineStr">
        <is>
          <t>state_cost_ratio</t>
        </is>
      </c>
      <c r="F43" s="2" t="inlineStr">
        <is>
          <t>T4_placeholder_or_expert_judgment</t>
        </is>
      </c>
      <c r="G43" s="2" t="inlineStr">
        <is>
          <t>TCWS2_CELL_LOCAL_SYNTHETIC_DECISION;NO_DIRECT_TC_CALIBRATION_SOURCE</t>
        </is>
      </c>
      <c r="H43" s="2" t="inlineStr">
        <is>
          <t>Explicit synthetic same-unit consequence ratio keeps probability and DR typed separately.</t>
        </is>
      </c>
      <c r="I43" s="2" t="inlineStr">
        <is>
          <t>adopt_synthetic_T4</t>
        </is>
      </c>
      <c r="J43" s="2" t="inlineStr">
        <is>
          <t>Formal elicitation or matched TC field/claims calibration replaces this value.</t>
        </is>
      </c>
    </row>
    <row r="44">
      <c r="A44" s="2" t="inlineStr">
        <is>
          <t>TCWS2_TRACKER_MODULE_SYNTHETIC_T4_ORDERED_STATES | lower_resistance medians</t>
        </is>
      </c>
      <c r="B44" s="2" t="inlineStr">
        <is>
          <t>tropical_cyclone_wind</t>
        </is>
      </c>
      <c r="C44" s="2" t="inlineStr">
        <is>
          <t>TCWS2_TRACKER_MODULE_SYNTHETIC_T4_ORDERED_STATES</t>
        </is>
      </c>
      <c r="D44" s="2" t="inlineStr">
        <is>
          <t>[0.8, 1.15]</t>
        </is>
      </c>
      <c r="E44" s="2" t="inlineStr">
        <is>
          <t>curve_fit_shape</t>
        </is>
      </c>
      <c r="F44" s="2" t="inlineStr">
        <is>
          <t>T4_placeholder_or_expert_judgment</t>
        </is>
      </c>
      <c r="G44" s="2" t="inlineStr">
        <is>
          <t>TCWS2_CELL_LOCAL_SYNTHETIC_DECISION;NO_DIRECT_TC_CALIBRATION_SOURCE</t>
        </is>
      </c>
      <c r="H44" s="2" t="inlineStr">
        <is>
          <t>Unweighted synthetic resistance scenario; not a percentile or fitted hurricane parameter.</t>
        </is>
      </c>
      <c r="I44" s="2" t="inlineStr">
        <is>
          <t>adopt_synthetic_T4</t>
        </is>
      </c>
      <c r="J44" s="2" t="inlineStr">
        <is>
          <t>Formal elicitation or matched TC field/claims calibration replaces this value.</t>
        </is>
      </c>
    </row>
    <row r="45">
      <c r="A45" s="2" t="inlineStr">
        <is>
          <t>TCWS2_TRACKER_MODULE_SYNTHETIC_T4_ORDERED_STATES | central_screening medians</t>
        </is>
      </c>
      <c r="B45" s="2" t="inlineStr">
        <is>
          <t>tropical_cyclone_wind</t>
        </is>
      </c>
      <c r="C45" s="2" t="inlineStr">
        <is>
          <t>TCWS2_TRACKER_MODULE_SYNTHETIC_T4_ORDERED_STATES</t>
        </is>
      </c>
      <c r="D45" s="2" t="inlineStr">
        <is>
          <t>[0.95, 1.4]</t>
        </is>
      </c>
      <c r="E45" s="2" t="inlineStr">
        <is>
          <t>curve_fit_shape</t>
        </is>
      </c>
      <c r="F45" s="2" t="inlineStr">
        <is>
          <t>T4_placeholder_or_expert_judgment</t>
        </is>
      </c>
      <c r="G45" s="2" t="inlineStr">
        <is>
          <t>TCWS2_CELL_LOCAL_SYNTHETIC_DECISION;NO_DIRECT_TC_CALIBRATION_SOURCE</t>
        </is>
      </c>
      <c r="H45" s="2" t="inlineStr">
        <is>
          <t>Unweighted synthetic resistance scenario; not a percentile or fitted hurricane parameter.</t>
        </is>
      </c>
      <c r="I45" s="2" t="inlineStr">
        <is>
          <t>adopt_synthetic_T4</t>
        </is>
      </c>
      <c r="J45" s="2" t="inlineStr">
        <is>
          <t>Formal elicitation or matched TC field/claims calibration replaces this value.</t>
        </is>
      </c>
    </row>
    <row r="46">
      <c r="A46" s="2" t="inlineStr">
        <is>
          <t>TCWS2_TRACKER_MODULE_SYNTHETIC_T4_ORDERED_STATES | upper_resistance medians</t>
        </is>
      </c>
      <c r="B46" s="2" t="inlineStr">
        <is>
          <t>tropical_cyclone_wind</t>
        </is>
      </c>
      <c r="C46" s="2" t="inlineStr">
        <is>
          <t>TCWS2_TRACKER_MODULE_SYNTHETIC_T4_ORDERED_STATES</t>
        </is>
      </c>
      <c r="D46" s="2" t="inlineStr">
        <is>
          <t>[1.1, 1.7]</t>
        </is>
      </c>
      <c r="E46" s="2" t="inlineStr">
        <is>
          <t>curve_fit_shape</t>
        </is>
      </c>
      <c r="F46" s="2" t="inlineStr">
        <is>
          <t>T4_placeholder_or_expert_judgment</t>
        </is>
      </c>
      <c r="G46" s="2" t="inlineStr">
        <is>
          <t>TCWS2_CELL_LOCAL_SYNTHETIC_DECISION;NO_DIRECT_TC_CALIBRATION_SOURCE</t>
        </is>
      </c>
      <c r="H46" s="2" t="inlineStr">
        <is>
          <t>Unweighted synthetic resistance scenario; not a percentile or fitted hurricane parameter.</t>
        </is>
      </c>
      <c r="I46" s="2" t="inlineStr">
        <is>
          <t>adopt_synthetic_T4</t>
        </is>
      </c>
      <c r="J46" s="2" t="inlineStr">
        <is>
          <t>Formal elicitation or matched TC field/claims calibration replaces this value.</t>
        </is>
      </c>
    </row>
    <row r="47">
      <c r="A47" s="2" t="inlineStr">
        <is>
          <t>TCWS2_TRACKER_SBOS_SYNTHETIC_T4_ORDERED_STATES | beta_ln</t>
        </is>
      </c>
      <c r="B47" s="2" t="inlineStr">
        <is>
          <t>tropical_cyclone_wind</t>
        </is>
      </c>
      <c r="C47" s="2" t="inlineStr">
        <is>
          <t>TCWS2_TRACKER_SBOS_SYNTHETIC_T4_ORDERED_STATES</t>
        </is>
      </c>
      <c r="D47" s="2" t="inlineStr">
        <is>
          <t>0.275</t>
        </is>
      </c>
      <c r="E47" s="2" t="inlineStr">
        <is>
          <t>curve_fit_shape</t>
        </is>
      </c>
      <c r="F47" s="2" t="inlineStr">
        <is>
          <t>T4_placeholder_or_expert_judgment</t>
        </is>
      </c>
      <c r="G47" s="2" t="inlineStr">
        <is>
          <t>TCWS2_CELL_LOCAL_SYNTHETIC_DECISION;NO_DIRECT_TC_CALIBRATION_SOURCE</t>
        </is>
      </c>
      <c r="H47" s="2" t="inlineStr">
        <is>
          <t>Synthetic log-space transition width; not fitted dispersion.</t>
        </is>
      </c>
      <c r="I47" s="2" t="inlineStr">
        <is>
          <t>adopt_synthetic_T4</t>
        </is>
      </c>
      <c r="J47" s="2" t="inlineStr">
        <is>
          <t>Formal elicitation or matched TC field/claims calibration replaces this value.</t>
        </is>
      </c>
    </row>
    <row r="48">
      <c r="A48" s="2" t="inlineStr">
        <is>
          <t>TCWS2_TRACKER_SBOS_SYNTHETIC_T4_ORDERED_STATES | STRUCT_DS0_NO_DIRECT_DAMAGE cost_ratio</t>
        </is>
      </c>
      <c r="B48" s="2" t="inlineStr">
        <is>
          <t>tropical_cyclone_wind</t>
        </is>
      </c>
      <c r="C48" s="2" t="inlineStr">
        <is>
          <t>TCWS2_TRACKER_SBOS_SYNTHETIC_T4_ORDERED_STATES</t>
        </is>
      </c>
      <c r="D48" s="2" t="inlineStr">
        <is>
          <t>0.0</t>
        </is>
      </c>
      <c r="E48" s="2" t="inlineStr">
        <is>
          <t>state_cost_ratio</t>
        </is>
      </c>
      <c r="F48" s="2" t="inlineStr">
        <is>
          <t>T4_placeholder_or_expert_judgment</t>
        </is>
      </c>
      <c r="G48" s="2" t="inlineStr">
        <is>
          <t>TCWS2_CELL_LOCAL_SYNTHETIC_DECISION;NO_DIRECT_TC_CALIBRATION_SOURCE</t>
        </is>
      </c>
      <c r="H48" s="2" t="inlineStr">
        <is>
          <t>Explicit synthetic same-unit consequence ratio keeps probability and DR typed separately.</t>
        </is>
      </c>
      <c r="I48" s="2" t="inlineStr">
        <is>
          <t>adopt_synthetic_T4</t>
        </is>
      </c>
      <c r="J48" s="2" t="inlineStr">
        <is>
          <t>Formal elicitation or matched TC field/claims calibration replaces this value.</t>
        </is>
      </c>
    </row>
    <row r="49">
      <c r="A49" s="2" t="inlineStr">
        <is>
          <t>TCWS2_TRACKER_SBOS_SYNTHETIC_T4_ORDERED_STATES | STRUCT_DS1_LOCALIZED_REPAIR cost_ratio</t>
        </is>
      </c>
      <c r="B49" s="2" t="inlineStr">
        <is>
          <t>tropical_cyclone_wind</t>
        </is>
      </c>
      <c r="C49" s="2" t="inlineStr">
        <is>
          <t>TCWS2_TRACKER_SBOS_SYNTHETIC_T4_ORDERED_STATES</t>
        </is>
      </c>
      <c r="D49" s="2" t="inlineStr">
        <is>
          <t>0.15</t>
        </is>
      </c>
      <c r="E49" s="2" t="inlineStr">
        <is>
          <t>state_cost_ratio</t>
        </is>
      </c>
      <c r="F49" s="2" t="inlineStr">
        <is>
          <t>T4_placeholder_or_expert_judgment</t>
        </is>
      </c>
      <c r="G49" s="2" t="inlineStr">
        <is>
          <t>TCWS2_CELL_LOCAL_SYNTHETIC_DECISION;NO_DIRECT_TC_CALIBRATION_SOURCE</t>
        </is>
      </c>
      <c r="H49" s="2" t="inlineStr">
        <is>
          <t>Explicit synthetic same-unit consequence ratio keeps probability and DR typed separately.</t>
        </is>
      </c>
      <c r="I49" s="2" t="inlineStr">
        <is>
          <t>adopt_synthetic_T4</t>
        </is>
      </c>
      <c r="J49" s="2" t="inlineStr">
        <is>
          <t>Formal elicitation or matched TC field/claims calibration replaces this value.</t>
        </is>
      </c>
    </row>
    <row r="50">
      <c r="A50" s="2" t="inlineStr">
        <is>
          <t>TCWS2_TRACKER_SBOS_SYNTHETIC_T4_ORDERED_STATES | STRUCT_DS2_FULL_UNIT_REPLACEMENT cost_ratio</t>
        </is>
      </c>
      <c r="B50" s="2" t="inlineStr">
        <is>
          <t>tropical_cyclone_wind</t>
        </is>
      </c>
      <c r="C50" s="2" t="inlineStr">
        <is>
          <t>TCWS2_TRACKER_SBOS_SYNTHETIC_T4_ORDERED_STATES</t>
        </is>
      </c>
      <c r="D50" s="2" t="inlineStr">
        <is>
          <t>1.0</t>
        </is>
      </c>
      <c r="E50" s="2" t="inlineStr">
        <is>
          <t>state_cost_ratio</t>
        </is>
      </c>
      <c r="F50" s="2" t="inlineStr">
        <is>
          <t>T4_placeholder_or_expert_judgment</t>
        </is>
      </c>
      <c r="G50" s="2" t="inlineStr">
        <is>
          <t>TCWS2_CELL_LOCAL_SYNTHETIC_DECISION;NO_DIRECT_TC_CALIBRATION_SOURCE</t>
        </is>
      </c>
      <c r="H50" s="2" t="inlineStr">
        <is>
          <t>Explicit synthetic same-unit consequence ratio keeps probability and DR typed separately.</t>
        </is>
      </c>
      <c r="I50" s="2" t="inlineStr">
        <is>
          <t>adopt_synthetic_T4</t>
        </is>
      </c>
      <c r="J50" s="2" t="inlineStr">
        <is>
          <t>Formal elicitation or matched TC field/claims calibration replaces this value.</t>
        </is>
      </c>
    </row>
    <row r="51">
      <c r="A51" s="2" t="inlineStr">
        <is>
          <t>TCWS2_TRACKER_SBOS_SYNTHETIC_T4_ORDERED_STATES | STRUCT_DS3_TERMINAL_UNIT_FAILURE cost_ratio</t>
        </is>
      </c>
      <c r="B51" s="2" t="inlineStr">
        <is>
          <t>tropical_cyclone_wind</t>
        </is>
      </c>
      <c r="C51" s="2" t="inlineStr">
        <is>
          <t>TCWS2_TRACKER_SBOS_SYNTHETIC_T4_ORDERED_STATES</t>
        </is>
      </c>
      <c r="D51" s="2" t="inlineStr">
        <is>
          <t>1.0</t>
        </is>
      </c>
      <c r="E51" s="2" t="inlineStr">
        <is>
          <t>state_cost_ratio</t>
        </is>
      </c>
      <c r="F51" s="2" t="inlineStr">
        <is>
          <t>T4_placeholder_or_expert_judgment</t>
        </is>
      </c>
      <c r="G51" s="2" t="inlineStr">
        <is>
          <t>TCWS2_CELL_LOCAL_SYNTHETIC_DECISION;NO_DIRECT_TC_CALIBRATION_SOURCE</t>
        </is>
      </c>
      <c r="H51" s="2" t="inlineStr">
        <is>
          <t>Explicit synthetic same-unit consequence ratio keeps probability and DR typed separately.</t>
        </is>
      </c>
      <c r="I51" s="2" t="inlineStr">
        <is>
          <t>adopt_synthetic_T4</t>
        </is>
      </c>
      <c r="J51" s="2" t="inlineStr">
        <is>
          <t>Formal elicitation or matched TC field/claims calibration replaces this value.</t>
        </is>
      </c>
    </row>
    <row r="52">
      <c r="A52" s="2" t="inlineStr">
        <is>
          <t>TCWS2_TRACKER_SBOS_SYNTHETIC_T4_ORDERED_STATES | lower_resistance medians</t>
        </is>
      </c>
      <c r="B52" s="2" t="inlineStr">
        <is>
          <t>tropical_cyclone_wind</t>
        </is>
      </c>
      <c r="C52" s="2" t="inlineStr">
        <is>
          <t>TCWS2_TRACKER_SBOS_SYNTHETIC_T4_ORDERED_STATES</t>
        </is>
      </c>
      <c r="D52" s="2" t="inlineStr">
        <is>
          <t>[0.95, 1.15, 1.35]</t>
        </is>
      </c>
      <c r="E52" s="2" t="inlineStr">
        <is>
          <t>curve_fit_shape</t>
        </is>
      </c>
      <c r="F52" s="2" t="inlineStr">
        <is>
          <t>T4_placeholder_or_expert_judgment</t>
        </is>
      </c>
      <c r="G52" s="2" t="inlineStr">
        <is>
          <t>TCWS2_CELL_LOCAL_SYNTHETIC_DECISION;NO_DIRECT_TC_CALIBRATION_SOURCE</t>
        </is>
      </c>
      <c r="H52" s="2" t="inlineStr">
        <is>
          <t>Unweighted synthetic resistance scenario; not a percentile or fitted hurricane parameter.</t>
        </is>
      </c>
      <c r="I52" s="2" t="inlineStr">
        <is>
          <t>adopt_synthetic_T4</t>
        </is>
      </c>
      <c r="J52" s="2" t="inlineStr">
        <is>
          <t>Formal elicitation or matched TC field/claims calibration replaces this value.</t>
        </is>
      </c>
    </row>
    <row r="53">
      <c r="A53" s="2" t="inlineStr">
        <is>
          <t>TCWS2_TRACKER_SBOS_SYNTHETIC_T4_ORDERED_STATES | central_screening medians</t>
        </is>
      </c>
      <c r="B53" s="2" t="inlineStr">
        <is>
          <t>tropical_cyclone_wind</t>
        </is>
      </c>
      <c r="C53" s="2" t="inlineStr">
        <is>
          <t>TCWS2_TRACKER_SBOS_SYNTHETIC_T4_ORDERED_STATES</t>
        </is>
      </c>
      <c r="D53" s="2" t="inlineStr">
        <is>
          <t>[1.15, 1.4, 1.65]</t>
        </is>
      </c>
      <c r="E53" s="2" t="inlineStr">
        <is>
          <t>curve_fit_shape</t>
        </is>
      </c>
      <c r="F53" s="2" t="inlineStr">
        <is>
          <t>T4_placeholder_or_expert_judgment</t>
        </is>
      </c>
      <c r="G53" s="2" t="inlineStr">
        <is>
          <t>TCWS2_CELL_LOCAL_SYNTHETIC_DECISION;NO_DIRECT_TC_CALIBRATION_SOURCE</t>
        </is>
      </c>
      <c r="H53" s="2" t="inlineStr">
        <is>
          <t>Unweighted synthetic resistance scenario; not a percentile or fitted hurricane parameter.</t>
        </is>
      </c>
      <c r="I53" s="2" t="inlineStr">
        <is>
          <t>adopt_synthetic_T4</t>
        </is>
      </c>
      <c r="J53" s="2" t="inlineStr">
        <is>
          <t>Formal elicitation or matched TC field/claims calibration replaces this value.</t>
        </is>
      </c>
    </row>
    <row r="54">
      <c r="A54" s="2" t="inlineStr">
        <is>
          <t>TCWS2_TRACKER_SBOS_SYNTHETIC_T4_ORDERED_STATES | upper_resistance medians</t>
        </is>
      </c>
      <c r="B54" s="2" t="inlineStr">
        <is>
          <t>tropical_cyclone_wind</t>
        </is>
      </c>
      <c r="C54" s="2" t="inlineStr">
        <is>
          <t>TCWS2_TRACKER_SBOS_SYNTHETIC_T4_ORDERED_STATES</t>
        </is>
      </c>
      <c r="D54" s="2" t="inlineStr">
        <is>
          <t>[1.35, 1.7, 2.0]</t>
        </is>
      </c>
      <c r="E54" s="2" t="inlineStr">
        <is>
          <t>curve_fit_shape</t>
        </is>
      </c>
      <c r="F54" s="2" t="inlineStr">
        <is>
          <t>T4_placeholder_or_expert_judgment</t>
        </is>
      </c>
      <c r="G54" s="2" t="inlineStr">
        <is>
          <t>TCWS2_CELL_LOCAL_SYNTHETIC_DECISION;NO_DIRECT_TC_CALIBRATION_SOURCE</t>
        </is>
      </c>
      <c r="H54" s="2" t="inlineStr">
        <is>
          <t>Unweighted synthetic resistance scenario; not a percentile or fitted hurricane parameter.</t>
        </is>
      </c>
      <c r="I54" s="2" t="inlineStr">
        <is>
          <t>adopt_synthetic_T4</t>
        </is>
      </c>
      <c r="J54" s="2" t="inlineStr">
        <is>
          <t>Formal elicitation or matched TC field/claims calibration replaces this value.</t>
        </is>
      </c>
    </row>
  </sheetData>
  <autoFilter ref="A1:J5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5" customWidth="1" min="2" max="2"/>
    <col width="55" customWidth="1" min="3" max="3"/>
    <col width="33" customWidth="1" min="4" max="4"/>
    <col width="24" customWidth="1" min="5" max="5"/>
    <col width="17" customWidth="1" min="6" max="6"/>
    <col width="32" customWidth="1" min="7" max="7"/>
    <col width="55" customWidth="1" min="8" max="8"/>
  </cols>
  <sheetData>
    <row r="1">
      <c r="A1" s="1" t="inlineStr">
        <is>
          <t>comparison_id</t>
        </is>
      </c>
      <c r="B1" s="1" t="inlineStr">
        <is>
          <t>input_basis</t>
        </is>
      </c>
      <c r="C1" s="1" t="inlineStr">
        <is>
          <t>failure_unit_id</t>
        </is>
      </c>
      <c r="D1" s="1" t="inlineStr">
        <is>
          <t>prior_model_output</t>
        </is>
      </c>
      <c r="E1" s="1" t="inlineStr">
        <is>
          <t>v2_output</t>
        </is>
      </c>
      <c r="F1" s="1" t="inlineStr">
        <is>
          <t>delta</t>
        </is>
      </c>
      <c r="G1" s="1" t="inlineStr">
        <is>
          <t>comparability</t>
        </is>
      </c>
      <c r="H1" s="1" t="inlineStr">
        <is>
          <t>reason</t>
        </is>
      </c>
    </row>
    <row r="2">
      <c r="A2" s="2" t="inlineStr">
        <is>
          <t>PERRY_17.4</t>
        </is>
      </c>
      <c r="B2" s="2" t="inlineStr">
        <is>
          <t>perry_event_max_gust_mps=17.4</t>
        </is>
      </c>
      <c r="C2" s="2" t="inlineStr">
        <is>
          <t>PV_PERRY_GROUND_FIXED_VISIBLE_MODULE_HARDWARE_SOURCE_UNIT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exact_compatibility</t>
        </is>
      </c>
      <c r="H2" s="2" t="inlineStr">
        <is>
          <t>v2 carries the v1 source record byte-for-value</t>
        </is>
      </c>
    </row>
    <row r="3">
      <c r="A3" s="2" t="inlineStr">
        <is>
          <t>PERRY_30.0</t>
        </is>
      </c>
      <c r="B3" s="2" t="inlineStr">
        <is>
          <t>perry_event_max_gust_mps=30.0</t>
        </is>
      </c>
      <c r="C3" s="2" t="inlineStr">
        <is>
          <t>PV_PERRY_GROUND_FIXED_VISIBLE_MODULE_HARDWARE_SOURCE_UNIT</t>
        </is>
      </c>
      <c r="D3" s="2" t="inlineStr">
        <is>
          <t>0.00409264665710526</t>
        </is>
      </c>
      <c r="E3" s="2" t="inlineStr">
        <is>
          <t>0.00409264665710526</t>
        </is>
      </c>
      <c r="F3" s="2" t="inlineStr">
        <is>
          <t>0</t>
        </is>
      </c>
      <c r="G3" s="2" t="inlineStr">
        <is>
          <t>exact_compatibility</t>
        </is>
      </c>
      <c r="H3" s="2" t="inlineStr">
        <is>
          <t>v2 carries the v1 source record byte-for-value</t>
        </is>
      </c>
    </row>
    <row r="4">
      <c r="A4" s="2" t="inlineStr">
        <is>
          <t>PERRY_39.1</t>
        </is>
      </c>
      <c r="B4" s="2" t="inlineStr">
        <is>
          <t>perry_event_max_gust_mps=39.1</t>
        </is>
      </c>
      <c r="C4" s="2" t="inlineStr">
        <is>
          <t>PV_PERRY_GROUND_FIXED_VISIBLE_MODULE_HARDWARE_SOURCE_UNIT</t>
        </is>
      </c>
      <c r="D4" s="2" t="inlineStr">
        <is>
          <t>0.0182729376325</t>
        </is>
      </c>
      <c r="E4" s="2" t="inlineStr">
        <is>
          <t>0.0182729376325</t>
        </is>
      </c>
      <c r="F4" s="2" t="inlineStr">
        <is>
          <t>0</t>
        </is>
      </c>
      <c r="G4" s="2" t="inlineStr">
        <is>
          <t>exact_compatibility</t>
        </is>
      </c>
      <c r="H4" s="2" t="inlineStr">
        <is>
          <t>v2 carries the v1 source record byte-for-value</t>
        </is>
      </c>
    </row>
    <row r="5">
      <c r="A5" s="2" t="inlineStr">
        <is>
          <t>fixed_tilt_ground_mount_tc_synthetic_t4_v1_0.5</t>
        </is>
      </c>
      <c r="B5" s="2" t="inlineStr">
        <is>
          <t>normalized_demand=0.5</t>
        </is>
      </c>
      <c r="C5" s="2" t="inlineStr">
        <is>
          <t>PV_FIXED_TILT_MODULE_FIELD</t>
        </is>
      </c>
      <c r="D5" s="2" t="inlineStr">
        <is>
          <t>null_or_unmappable</t>
        </is>
      </c>
      <c r="E5" s="2" t="inlineStr">
        <is>
          <t>0.00391975760182724</t>
        </is>
      </c>
      <c r="F5" s="2" t="inlineStr">
        <is>
          <t>not_computed</t>
        </is>
      </c>
      <c r="G5" s="2" t="inlineStr">
        <is>
          <t>different_axis_and_denominator</t>
        </is>
      </c>
      <c r="H5" s="2" t="inlineStr">
        <is>
          <t>v1 has no generic architecture record on this axis</t>
        </is>
      </c>
    </row>
    <row r="6">
      <c r="A6" s="2" t="inlineStr">
        <is>
          <t>fixed_tilt_ground_mount_tc_synthetic_t4_v1_1.0</t>
        </is>
      </c>
      <c r="B6" s="2" t="inlineStr">
        <is>
          <t>normalized_demand=1.0</t>
        </is>
      </c>
      <c r="C6" s="2" t="inlineStr">
        <is>
          <t>PV_FIXED_TILT_MODULE_FIELD</t>
        </is>
      </c>
      <c r="D6" s="2" t="inlineStr">
        <is>
          <t>null_or_unmappable</t>
        </is>
      </c>
      <c r="E6" s="2" t="inlineStr">
        <is>
          <t>0.135425269181499</t>
        </is>
      </c>
      <c r="F6" s="2" t="inlineStr">
        <is>
          <t>not_computed</t>
        </is>
      </c>
      <c r="G6" s="2" t="inlineStr">
        <is>
          <t>different_axis_and_denominator</t>
        </is>
      </c>
      <c r="H6" s="2" t="inlineStr">
        <is>
          <t>v1 has no generic architecture record on this axis</t>
        </is>
      </c>
    </row>
    <row r="7">
      <c r="A7" s="2" t="inlineStr">
        <is>
          <t>fixed_tilt_ground_mount_tc_synthetic_t4_v1_1.5</t>
        </is>
      </c>
      <c r="B7" s="2" t="inlineStr">
        <is>
          <t>normalized_demand=1.5</t>
        </is>
      </c>
      <c r="C7" s="2" t="inlineStr">
        <is>
          <t>PV_FIXED_TILT_MODULE_FIELD</t>
        </is>
      </c>
      <c r="D7" s="2" t="inlineStr">
        <is>
          <t>null_or_unmappable</t>
        </is>
      </c>
      <c r="E7" s="2" t="inlineStr">
        <is>
          <t>0.507918225417826</t>
        </is>
      </c>
      <c r="F7" s="2" t="inlineStr">
        <is>
          <t>not_computed</t>
        </is>
      </c>
      <c r="G7" s="2" t="inlineStr">
        <is>
          <t>different_axis_and_denominator</t>
        </is>
      </c>
      <c r="H7" s="2" t="inlineStr">
        <is>
          <t>v1 has no generic architecture record on this axis</t>
        </is>
      </c>
    </row>
    <row r="8">
      <c r="A8" s="2" t="inlineStr">
        <is>
          <t>single_axis_tracker_tc_qualified_synthetic_t4_v1_0.5</t>
        </is>
      </c>
      <c r="B8" s="2" t="inlineStr">
        <is>
          <t>normalized_demand=0.5</t>
        </is>
      </c>
      <c r="C8" s="2" t="inlineStr">
        <is>
          <t>PV_TRACKER_MODULE_FIELD</t>
        </is>
      </c>
      <c r="D8" s="2" t="inlineStr">
        <is>
          <t>null_or_unmappable</t>
        </is>
      </c>
      <c r="E8" s="2" t="inlineStr">
        <is>
          <t>0.00106122732929064</t>
        </is>
      </c>
      <c r="F8" s="2" t="inlineStr">
        <is>
          <t>not_computed</t>
        </is>
      </c>
      <c r="G8" s="2" t="inlineStr">
        <is>
          <t>different_axis_and_denominator</t>
        </is>
      </c>
      <c r="H8" s="2" t="inlineStr">
        <is>
          <t>v1 has no generic architecture record on this axis</t>
        </is>
      </c>
    </row>
    <row r="9">
      <c r="A9" s="2" t="inlineStr">
        <is>
          <t>single_axis_tracker_tc_qualified_synthetic_t4_v1_1.0</t>
        </is>
      </c>
      <c r="B9" s="2" t="inlineStr">
        <is>
          <t>normalized_demand=1.0</t>
        </is>
      </c>
      <c r="C9" s="2" t="inlineStr">
        <is>
          <t>PV_TRACKER_MODULE_FIELD</t>
        </is>
      </c>
      <c r="D9" s="2" t="inlineStr">
        <is>
          <t>null_or_unmappable</t>
        </is>
      </c>
      <c r="E9" s="2" t="inlineStr">
        <is>
          <t>0.156905585088873</t>
        </is>
      </c>
      <c r="F9" s="2" t="inlineStr">
        <is>
          <t>not_computed</t>
        </is>
      </c>
      <c r="G9" s="2" t="inlineStr">
        <is>
          <t>different_axis_and_denominator</t>
        </is>
      </c>
      <c r="H9" s="2" t="inlineStr">
        <is>
          <t>v1 has no generic architecture record on this axis</t>
        </is>
      </c>
    </row>
    <row r="10">
      <c r="A10" s="2" t="inlineStr">
        <is>
          <t>single_axis_tracker_tc_qualified_synthetic_t4_v1_1.5</t>
        </is>
      </c>
      <c r="B10" s="2" t="inlineStr">
        <is>
          <t>normalized_demand=1.5</t>
        </is>
      </c>
      <c r="C10" s="2" t="inlineStr">
        <is>
          <t>PV_TRACKER_MODULE_FIELD</t>
        </is>
      </c>
      <c r="D10" s="2" t="inlineStr">
        <is>
          <t>null_or_unmappable</t>
        </is>
      </c>
      <c r="E10" s="2" t="inlineStr">
        <is>
          <t>0.634306724684044</t>
        </is>
      </c>
      <c r="F10" s="2" t="inlineStr">
        <is>
          <t>not_computed</t>
        </is>
      </c>
      <c r="G10" s="2" t="inlineStr">
        <is>
          <t>different_axis_and_denominator</t>
        </is>
      </c>
      <c r="H10" s="2" t="inlineStr">
        <is>
          <t>v1 has no generic architecture record on this axis</t>
        </is>
      </c>
    </row>
    <row r="11">
      <c r="A11" s="2" t="inlineStr">
        <is>
          <t>GSU_NULL_REMAINS_NULL</t>
        </is>
      </c>
      <c r="B11" s="2" t="inlineStr">
        <is>
          <t>any</t>
        </is>
      </c>
      <c r="C11" s="2" t="inlineStr">
        <is>
          <t>PV_GSU_SUBSTATION</t>
        </is>
      </c>
      <c r="D11" s="2" t="inlineStr">
        <is>
          <t>null</t>
        </is>
      </c>
      <c r="E11" s="2" t="inlineStr">
        <is>
          <t>null</t>
        </is>
      </c>
      <c r="F11" s="2" t="inlineStr">
        <is>
          <t>0_status_change</t>
        </is>
      </c>
      <c r="G11" s="2" t="inlineStr">
        <is>
          <t>status_only</t>
        </is>
      </c>
      <c r="H11" s="2" t="inlineStr">
        <is>
          <t>v2 does not copy legacy or neighboring GSU response</t>
        </is>
      </c>
    </row>
    <row r="12">
      <c r="A12" s="2" t="inlineStr">
        <is>
          <t>LEGACY_ASSET_DR</t>
        </is>
      </c>
      <c r="B12" s="2" t="inlineStr">
        <is>
          <t>legacy 3-second gust mph vs v2 failure-unit normalized demand</t>
        </is>
      </c>
      <c r="C12" s="2" t="inlineStr">
        <is>
          <t>WHOLE_ASSET_VS_FAILURE_UNITS</t>
        </is>
      </c>
      <c r="D12" s="2" t="inlineStr">
        <is>
          <t>legacy capped weighted asset DR</t>
        </is>
      </c>
      <c r="E12" s="2" t="inlineStr">
        <is>
          <t>withheld full-plant DR</t>
        </is>
      </c>
      <c r="F12" s="2" t="inlineStr">
        <is>
          <t>not_computed</t>
        </is>
      </c>
      <c r="G12" s="2" t="inlineStr">
        <is>
          <t>incomparable</t>
        </is>
      </c>
      <c r="H12" s="2" t="inlineStr">
        <is>
          <t>legacy probability/DR type error, 42-percent zero remainder, stow default, and mismatched denominator</t>
        </is>
      </c>
    </row>
  </sheetData>
  <autoFilter ref="A1:H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Status</t>
        </is>
      </c>
    </row>
    <row r="2">
      <c r="A2" s="2" t="inlineStr">
        <is>
          <t>canonical false</t>
        </is>
      </c>
      <c r="B2" s="2" t="b">
        <v>0</v>
      </c>
      <c r="C2" s="2" t="b">
        <v>0</v>
      </c>
      <c r="D2" s="2" t="inlineStr">
        <is>
          <t>PASS</t>
        </is>
      </c>
    </row>
    <row r="3">
      <c r="A3" s="2" t="inlineStr">
        <is>
          <t>model v2</t>
        </is>
      </c>
      <c r="B3" s="2" t="inlineStr">
        <is>
          <t>model v2.0</t>
        </is>
      </c>
      <c r="C3" s="2" t="inlineStr">
        <is>
          <t>model v2.0</t>
        </is>
      </c>
      <c r="D3" s="2" t="inlineStr">
        <is>
          <t>PASS</t>
        </is>
      </c>
    </row>
    <row r="4">
      <c r="A4" s="2" t="inlineStr">
        <is>
          <t>bundle v3</t>
        </is>
      </c>
      <c r="B4" s="2" t="inlineStr">
        <is>
          <t>damage_curve_record_bundle.v3</t>
        </is>
      </c>
      <c r="C4" s="2" t="inlineStr">
        <is>
          <t>damage_curve_record_bundle.v3</t>
        </is>
      </c>
      <c r="D4" s="2" t="inlineStr">
        <is>
          <t>PASS</t>
        </is>
      </c>
    </row>
    <row r="5">
      <c r="A5" s="2" t="inlineStr">
        <is>
          <t>one pathway</t>
        </is>
      </c>
      <c r="B5" s="2" t="n">
        <v>1</v>
      </c>
      <c r="C5" s="2" t="n">
        <v>1</v>
      </c>
      <c r="D5" s="2" t="inlineStr">
        <is>
          <t>PASS</t>
        </is>
      </c>
    </row>
    <row r="6">
      <c r="A6" s="2" t="inlineStr">
        <is>
          <t>five curve records</t>
        </is>
      </c>
      <c r="B6" s="2" t="n">
        <v>5</v>
      </c>
      <c r="C6" s="2" t="n">
        <v>5</v>
      </c>
      <c r="D6" s="2" t="inlineStr">
        <is>
          <t>PASS</t>
        </is>
      </c>
    </row>
    <row r="7">
      <c r="A7" s="2" t="inlineStr">
        <is>
          <t>four synthetic generic records</t>
        </is>
      </c>
      <c r="B7" s="2" t="n">
        <v>4</v>
      </c>
      <c r="C7" s="2" t="n">
        <v>4</v>
      </c>
      <c r="D7" s="2" t="inlineStr">
        <is>
          <t>PASS</t>
        </is>
      </c>
    </row>
    <row r="8">
      <c r="A8" s="2" t="inlineStr">
        <is>
          <t>Perry record present</t>
        </is>
      </c>
      <c r="B8" s="2" t="n">
        <v>1</v>
      </c>
      <c r="C8" s="2" t="n">
        <v>1</v>
      </c>
      <c r="D8" s="2" t="inlineStr">
        <is>
          <t>PASS</t>
        </is>
      </c>
    </row>
    <row r="9">
      <c r="A9" s="2" t="inlineStr">
        <is>
          <t>withheld units</t>
        </is>
      </c>
      <c r="B9" s="2" t="n">
        <v>6</v>
      </c>
      <c r="C9" s="2" t="n">
        <v>6</v>
      </c>
      <c r="D9" s="2" t="inlineStr">
        <is>
          <t>PASS</t>
        </is>
      </c>
    </row>
    <row r="10">
      <c r="A10" s="2" t="inlineStr">
        <is>
          <t>scenario loss withheld</t>
        </is>
      </c>
      <c r="B10" s="2" t="inlineStr">
        <is>
          <t>withheld</t>
        </is>
      </c>
      <c r="C10" s="2" t="inlineStr">
        <is>
          <t>withheld</t>
        </is>
      </c>
      <c r="D10" s="2" t="inlineStr">
        <is>
          <t>PASS</t>
        </is>
      </c>
    </row>
    <row r="11">
      <c r="A11" s="2" t="inlineStr">
        <is>
          <t>source rows</t>
        </is>
      </c>
      <c r="B11" s="2" t="n">
        <v>71</v>
      </c>
      <c r="C11" s="2" t="n">
        <v>71</v>
      </c>
      <c r="D11" s="2" t="inlineStr">
        <is>
          <t>PASS</t>
        </is>
      </c>
    </row>
    <row r="12">
      <c r="A12" s="2" t="inlineStr">
        <is>
          <t>claim rows</t>
        </is>
      </c>
      <c r="B12" s="2" t="n">
        <v>87</v>
      </c>
      <c r="C12" s="2" t="n">
        <v>87</v>
      </c>
      <c r="D12" s="2" t="inlineStr">
        <is>
          <t>PASS</t>
        </is>
      </c>
    </row>
    <row r="13">
      <c r="A13" s="2" t="inlineStr">
        <is>
          <t>claim supersession rows</t>
        </is>
      </c>
      <c r="B13" s="2" t="n">
        <v>8</v>
      </c>
      <c r="C13" s="2" t="n">
        <v>8</v>
      </c>
      <c r="D13" s="2" t="inlineStr">
        <is>
          <t>PASS</t>
        </is>
      </c>
    </row>
    <row r="14">
      <c r="A14" s="2" t="inlineStr">
        <is>
          <t>parameter rows</t>
        </is>
      </c>
      <c r="B14" s="2" t="n">
        <v>53</v>
      </c>
      <c r="C14" s="2" t="n">
        <v>53</v>
      </c>
      <c r="D14" s="2" t="inlineStr">
        <is>
          <t>PASS</t>
        </is>
      </c>
    </row>
    <row r="15">
      <c r="A15" s="2" t="inlineStr">
        <is>
          <t>value rows</t>
        </is>
      </c>
      <c r="B15" s="2" t="n">
        <v>18</v>
      </c>
      <c r="C15" s="2" t="n">
        <v>18</v>
      </c>
      <c r="D15" s="2" t="inlineStr">
        <is>
          <t>PASS</t>
        </is>
      </c>
    </row>
    <row r="16">
      <c r="A16" s="2" t="inlineStr">
        <is>
          <t>runtime KATs</t>
        </is>
      </c>
      <c r="B16" s="2" t="n">
        <v>15</v>
      </c>
      <c r="C16" s="2" t="n">
        <v>15</v>
      </c>
      <c r="D16" s="2" t="inlineStr">
        <is>
          <t>PASS</t>
        </is>
      </c>
    </row>
    <row r="17">
      <c r="A17" s="2" t="inlineStr">
        <is>
          <t>rejection KATs</t>
        </is>
      </c>
      <c r="B17" s="2" t="n">
        <v>18</v>
      </c>
      <c r="C17" s="2" t="n">
        <v>18</v>
      </c>
      <c r="D17" s="2" t="inlineStr">
        <is>
          <t>PASS</t>
        </is>
      </c>
    </row>
    <row r="18">
      <c r="A18" s="2" t="inlineStr">
        <is>
          <t>no hard-zero parameters</t>
        </is>
      </c>
      <c r="B18" s="2" t="n">
        <v>0</v>
      </c>
      <c r="C18" s="2" t="n">
        <v>0</v>
      </c>
      <c r="D18" s="2" t="inlineStr">
        <is>
          <t>PASS</t>
        </is>
      </c>
    </row>
    <row r="19">
      <c r="A19" s="2" t="inlineStr">
        <is>
          <t>GSU has no curve</t>
        </is>
      </c>
      <c r="B19" s="2" t="n">
        <v>0</v>
      </c>
      <c r="C19" s="2" t="n">
        <v>0</v>
      </c>
      <c r="D19" s="2" t="inlineStr">
        <is>
          <t>PASS</t>
        </is>
      </c>
    </row>
    <row r="20">
      <c r="A20" s="2" t="inlineStr">
        <is>
          <t>artifact index unchanged</t>
        </is>
      </c>
      <c r="B20" s="2" t="inlineStr">
        <is>
          <t>not checked in workbook</t>
        </is>
      </c>
      <c r="C20" s="2" t="inlineStr">
        <is>
          <t>not checked in workbook</t>
        </is>
      </c>
      <c r="D20" s="2" t="inlineStr">
        <is>
          <t>PASS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