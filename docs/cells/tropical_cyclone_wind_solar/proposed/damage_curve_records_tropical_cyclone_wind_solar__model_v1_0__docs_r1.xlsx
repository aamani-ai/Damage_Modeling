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3fdc89e3f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fad827adbda401c"/>
    <x:sheet xmlns:r="http://schemas.openxmlformats.org/officeDocument/2006/relationships" name="Scope_Coverage" sheetId="2" r:id="Ra2c48e74ef4e4deb"/>
    <x:sheet xmlns:r="http://schemas.openxmlformats.org/officeDocument/2006/relationships" name="Source_Evidence" sheetId="3" r:id="R7f4d81c3f88143f9"/>
    <x:sheet xmlns:r="http://schemas.openxmlformats.org/officeDocument/2006/relationships" name="Cohort_Fit" sheetId="4" r:id="Rf212f74b9590422c"/>
    <x:sheet xmlns:r="http://schemas.openxmlformats.org/officeDocument/2006/relationships" name="PAVA_Curve" sheetId="5" r:id="R173173a330554289"/>
    <x:sheet xmlns:r="http://schemas.openxmlformats.org/officeDocument/2006/relationships" name="Event_Sensitivity" sheetId="6" r:id="R6a0e7497c3ce445d"/>
    <x:sheet xmlns:r="http://schemas.openxmlformats.org/officeDocument/2006/relationships" name="Failure_Units" sheetId="7" r:id="R4445b6e7e8d24f63"/>
    <x:sheet xmlns:r="http://schemas.openxmlformats.org/officeDocument/2006/relationships" name="Value_Crosswalk" sheetId="8" r:id="Rc892e5c0dcee4f1d"/>
    <x:sheet xmlns:r="http://schemas.openxmlformats.org/officeDocument/2006/relationships" name="KATs" sheetId="9" r:id="R23ee242b26b24f73"/>
    <x:sheet xmlns:r="http://schemas.openxmlformats.org/officeDocument/2006/relationships" name="Source_Register" sheetId="10" r:id="Re3f5d1ea86ea4948"/>
    <x:sheet xmlns:r="http://schemas.openxmlformats.org/officeDocument/2006/relationships" name="Claim_Register" sheetId="11" r:id="Rf1c0e9b35a0042ba"/>
    <x:sheet xmlns:r="http://schemas.openxmlformats.org/officeDocument/2006/relationships" name="Parameter_Tiers" sheetId="12" r:id="Rd02f698a94fd4c4a"/>
    <x:sheet xmlns:r="http://schemas.openxmlformats.org/officeDocument/2006/relationships" name="QA" sheetId="13" r:id="Redcad9d6fdc9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"/>
    <x:numFmt numFmtId="201" formatCode="0.000000000000000"/>
    <x:numFmt numFmtId="202" formatCode="0.0000000000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56579"/>
      <x:name val="Carlito"/>
    </x:font>
    <x:font>
      <x:b/>
      <x:sz val="11"/>
      <x:color rgb="FFFFFFFF"/>
      <x:name val="Carlito"/>
    </x:font>
    <x:font>
      <x:sz val="10"/>
      <x:color rgb="FF26364A"/>
      <x:name val="Carlito"/>
    </x:font>
    <x:font>
      <x:b/>
      <x:sz val="11"/>
      <x:color rgb="FF26364A"/>
      <x:name val="Carlito"/>
    </x:font>
    <x:font>
      <x:b/>
      <x:sz val="10"/>
      <x:color rgb="FF19875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43B"/>
      </x:patternFill>
    </x:fill>
    <x:fill>
      <x:patternFill patternType="solid">
        <x:fgColor rgb="FFDCE8F7"/>
      </x:patternFill>
    </x:fill>
    <x:fill>
      <x:patternFill patternType="solid">
        <x:fgColor rgb="FF0F766E"/>
      </x:patternFill>
    </x:fill>
    <x:fill>
      <x:patternFill patternType="solid">
        <x:fgColor rgb="FFFCE8C5"/>
      </x:patternFill>
    </x:fill>
    <x:fill>
      <x:patternFill patternType="solid">
        <x:fgColor rgb="FFDCF3E5"/>
      </x:patternFill>
    </x:fill>
  </x:fills>
  <x:borders count="15">
    <x:border/>
    <x:border>
      <x:left style="thin">
        <x:color rgb="FFCFD8E3"/>
      </x:left>
      <x:top style="thin">
        <x:color rgb="FFCFD8E3"/>
      </x:top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bottom style="thin">
        <x:color rgb="FFCFD8E3"/>
      </x:bottom>
    </x:border>
    <x:border>
      <x:top style="thin">
        <x:color rgb="FFCFD8E3"/>
      </x:top>
    </x:border>
    <x:border>
      <x:left style="thin">
        <x:color rgb="FFD19A2B"/>
      </x:left>
      <x:top style="thin">
        <x:color rgb="FFD19A2B"/>
      </x:top>
    </x:border>
    <x:border>
      <x:top style="thin">
        <x:color rgb="FFD19A2B"/>
      </x:top>
    </x:border>
    <x:border>
      <x:right style="thin">
        <x:color rgb="FFD19A2B"/>
      </x:right>
      <x:top style="thin">
        <x:color rgb="FFD19A2B"/>
      </x:top>
    </x:border>
    <x:border>
      <x:left style="thin">
        <x:color rgb="FFD19A2B"/>
      </x:left>
    </x:border>
    <x:border>
      <x:right style="thin">
        <x:color rgb="FFD19A2B"/>
      </x:right>
    </x:border>
    <x:border>
      <x:left style="thin">
        <x:color rgb="FFD19A2B"/>
      </x:left>
      <x:bottom style="thin">
        <x:color rgb="FFD19A2B"/>
      </x:bottom>
    </x:border>
    <x:border>
      <x:bottom style="thin">
        <x:color rgb="FFD19A2B"/>
      </x:bottom>
    </x:border>
    <x:border>
      <x:right style="thin">
        <x:color rgb="FFD19A2B"/>
      </x:right>
      <x:bottom style="thin">
        <x:color rgb="FFD19A2B"/>
      </x:bottom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/>
    <x:xf numFmtId="0" fontId="3" fillId="4" borderId="14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14aab66e04cbe" /><Relationship Type="http://schemas.openxmlformats.org/officeDocument/2006/relationships/theme" Target="/xl/theme/theme1.xml" Id="R03b12cfe137a47b6" /><Relationship Type="http://schemas.microsoft.com/office/2022/11/relationships/FeaturePropertyBag" Target="/xl/featurePropertyBag/featurePropertyBag.xml" Id="R972ab05f9d1e4702" /><Relationship Type="http://schemas.openxmlformats.org/officeDocument/2006/relationships/sharedStrings" Target="/xl/sharedStrings.xml" Id="Rd26559fd770d4b71" /><Relationship Type="http://schemas.openxmlformats.org/officeDocument/2006/relationships/worksheet" Target="/xl/worksheets/sheet1.xml" Id="R1fad827adbda401c" /><Relationship Type="http://schemas.openxmlformats.org/officeDocument/2006/relationships/worksheet" Target="/xl/worksheets/sheet2.xml" Id="Ra2c48e74ef4e4deb" /><Relationship Type="http://schemas.openxmlformats.org/officeDocument/2006/relationships/worksheet" Target="/xl/worksheets/sheet3.xml" Id="R7f4d81c3f88143f9" /><Relationship Type="http://schemas.openxmlformats.org/officeDocument/2006/relationships/worksheet" Target="/xl/worksheets/sheet4.xml" Id="Rf212f74b9590422c" /><Relationship Type="http://schemas.openxmlformats.org/officeDocument/2006/relationships/worksheet" Target="/xl/worksheets/sheet5.xml" Id="R173173a330554289" /><Relationship Type="http://schemas.openxmlformats.org/officeDocument/2006/relationships/worksheet" Target="/xl/worksheets/sheet6.xml" Id="R6a0e7497c3ce445d" /><Relationship Type="http://schemas.openxmlformats.org/officeDocument/2006/relationships/worksheet" Target="/xl/worksheets/sheet7.xml" Id="R4445b6e7e8d24f63" /><Relationship Type="http://schemas.openxmlformats.org/officeDocument/2006/relationships/worksheet" Target="/xl/worksheets/sheet8.xml" Id="Rc892e5c0dcee4f1d" /><Relationship Type="http://schemas.openxmlformats.org/officeDocument/2006/relationships/worksheet" Target="/xl/worksheets/sheet9.xml" Id="R23ee242b26b24f73" /><Relationship Type="http://schemas.openxmlformats.org/officeDocument/2006/relationships/worksheet" Target="/xl/worksheets/sheet10.xml" Id="Re3f5d1ea86ea4948" /><Relationship Type="http://schemas.openxmlformats.org/officeDocument/2006/relationships/worksheet" Target="/xl/worksheets/sheet11.xml" Id="Rf1c0e9b35a0042ba" /><Relationship Type="http://schemas.openxmlformats.org/officeDocument/2006/relationships/worksheet" Target="/xl/worksheets/sheet12.xml" Id="Rd02f698a94fd4c4a" /><Relationship Type="http://schemas.openxmlformats.org/officeDocument/2006/relationships/worksheet" Target="/xl/worksheets/sheet13.xml" Id="Redcad9d6fdc946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0" hidden="0" customWidth="1"/>
    <x:col min="3" max="3" width="68" hidden="0" customWidth="1"/>
    <x:col min="4" max="4" width="10" hidden="0" customWidth="1"/>
    <x:col min="5" max="5" width="30" hidden="0" customWidth="1"/>
    <x:col min="6" max="6" width="68" hidden="0" customWidth="1"/>
  </x:cols>
  <x:sheetData>
    <x:row r="1" ht="26" customHeight="1">
      <x:c r="A1" s="2" t="str">
        <x:v>Tropical-cyclone wind × solar — model-v1 review workbook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Coverage-first noncanonical screening exception • one visible-module source atom • no Hazard cutover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Identity</x:v>
      </x:c>
      <x:c r="B4" s="14" t="str">
        <x:v>Value</x:v>
      </x:c>
      <x:c r="C4" s="15" t="str">
        <x:v>Invariant</x:v>
      </x:c>
      <x:c r="D4" t="str">
        <x:v>Order</x:v>
      </x:c>
      <x:c r="E4" t="str">
        <x:v>Sheet</x:v>
      </x:c>
      <x:c r="F4" t="str">
        <x:v>Purpose</x:v>
      </x:c>
    </x:row>
    <x:row r="5">
      <x:c r="A5" s="27" t="str">
        <x:v>Cell ID</x:v>
      </x:c>
      <x:c r="B5" s="27" t="str">
        <x:v>tropical_cyclone_wind_solar</x:v>
      </x:c>
      <x:c r="C5" s="27" t="str">
        <x:v>hazard × asset project-management cell</x:v>
      </x:c>
      <x:c r="D5" t="n">
        <x:v>1</x:v>
      </x:c>
      <x:c r="E5" t="str">
        <x:v>README</x:v>
      </x:c>
      <x:c r="F5" t="str">
        <x:v>Identity and strict gate</x:v>
      </x:c>
    </x:row>
    <x:row r="6">
      <x:c r="A6" s="28" t="str">
        <x:v>Damage code</x:v>
      </x:c>
      <x:c r="B6" s="28" t="str">
        <x:v>TROPICAL_CYCLONE_WIND_SOLAR_PERRY_MODULE_SCREENING_V1</x:v>
      </x:c>
      <x:c r="C6" s="28" t="str">
        <x:v>review implementation only</x:v>
      </x:c>
      <x:c r="D6" t="n">
        <x:v>2</x:v>
      </x:c>
      <x:c r="E6" t="str">
        <x:v>Scope_Coverage</x:v>
      </x:c>
      <x:c r="F6" t="str">
        <x:v>Scope and coverage</x:v>
      </x:c>
    </x:row>
    <x:row r="7">
      <x:c r="A7" s="28" t="str">
        <x:v>Semantic model</x:v>
      </x:c>
      <x:c r="B7" s="28" t="str">
        <x:v>model v1.0</x:v>
      </x:c>
      <x:c r="C7" s="28" t="str">
        <x:v>first partial numerical proposal</x:v>
      </x:c>
      <x:c r="D7" t="n">
        <x:v>3</x:v>
      </x:c>
      <x:c r="E7" t="str">
        <x:v>Source_Evidence</x:v>
      </x:c>
      <x:c r="F7" t="str">
        <x:v>Primary-source conflict and provenance</x:v>
      </x:c>
    </x:row>
    <x:row r="8">
      <x:c r="A8" s="28" t="str">
        <x:v>Documentation</x:v>
      </x:c>
      <x:c r="B8" s="28" t="str">
        <x:v>docs r1</x:v>
      </x:c>
      <x:c r="C8" s="28" t="str">
        <x:v>governed proof trail</x:v>
      </x:c>
      <x:c r="D8" t="n">
        <x:v>4</x:v>
      </x:c>
      <x:c r="E8" t="str">
        <x:v>Cohort_Fit</x:v>
      </x:c>
      <x:c r="F8" t="str">
        <x:v>Frozen PAVA sufficient statistics</x:v>
      </x:c>
    </x:row>
    <x:row r="9">
      <x:c r="A9" s="28" t="str">
        <x:v>Model grade</x:v>
      </x:c>
      <x:c r="B9" s="28" t="str">
        <x:v>screening_remote_sensing_labeled_visible_fraction_with_T4_economic_bridge</x:v>
      </x:c>
      <x:c r="C9" s="28" t="str">
        <x:v>remote-sensing labels plus T4 economic bridge</x:v>
      </x:c>
      <x:c r="D9" t="n">
        <x:v>5</x:v>
      </x:c>
      <x:c r="E9" t="str">
        <x:v>PAVA_Curve</x:v>
      </x:c>
      <x:c r="F9" t="str">
        <x:v>Runtime knots and monotonicity</x:v>
      </x:c>
    </x:row>
    <x:row r="10">
      <x:c r="A10" s="28" t="str">
        <x:v>Supported atom</x:v>
      </x:c>
      <x:c r="B10" s="28" t="str">
        <x:v>PV_PERRY_GROUND_FIXED_VISIBLE_MODULE_HARDWARE_SOURCE_UNIT</x:v>
      </x:c>
      <x:c r="C10" s="28" t="str">
        <x:v>source-specific, not generic module field</x:v>
      </x:c>
      <x:c r="D10" t="n">
        <x:v>6</x:v>
      </x:c>
      <x:c r="E10" t="str">
        <x:v>Event_Sensitivity</x:v>
      </x:c>
      <x:c r="F10" t="str">
        <x:v>Event clustering and leave-one-out sensitivity</x:v>
      </x:c>
    </x:row>
    <x:row r="11">
      <x:c r="A11" s="28" t="str">
        <x:v>Runtime curve count</x:v>
      </x:c>
      <x:c r="B11" s="28" t="n">
        <x:v>1</x:v>
      </x:c>
      <x:c r="C11" s="28" t="str">
        <x:v>exactly one PAVA-derived screening record</x:v>
      </x:c>
      <x:c r="D11" t="n">
        <x:v>7</x:v>
      </x:c>
      <x:c r="E11" t="str">
        <x:v>Failure_Units</x:v>
      </x:c>
      <x:c r="F11" t="str">
        <x:v>Failure-unit coverage</x:v>
      </x:c>
    </x:row>
    <x:row r="12">
      <x:c r="A12" s="28" t="str">
        <x:v>Canonical runtime artifact</x:v>
      </x:c>
      <x:c r="B12" s="29" t="b">
        <x:v>0</x:v>
      </x:c>
      <x:c r="C12" s="28" t="str">
        <x:v>must remain false</x:v>
      </x:c>
      <x:c r="D12" t="n">
        <x:v>8</x:v>
      </x:c>
      <x:c r="E12" t="str">
        <x:v>Value_Crosswalk</x:v>
      </x:c>
      <x:c r="F12" t="str">
        <x:v>Value denominator boundary</x:v>
      </x:c>
    </x:row>
    <x:row r="13">
      <x:c r="A13" s="28" t="str">
        <x:v>Package inclusion</x:v>
      </x:c>
      <x:c r="B13" s="28" t="str">
        <x:v>not_included</x:v>
      </x:c>
      <x:c r="C13" s="28" t="str">
        <x:v>no package or consumer pin</x:v>
      </x:c>
      <x:c r="D13" t="n">
        <x:v>9</x:v>
      </x:c>
      <x:c r="E13" t="str">
        <x:v>KATs</x:v>
      </x:c>
      <x:c r="F13" t="str">
        <x:v>Executable test inventory</x:v>
      </x:c>
    </x:row>
    <x:row r="14">
      <x:c r="A14" s="28" t="str">
        <x:v>Scenario loss</x:v>
      </x:c>
      <x:c r="B14" s="28" t="str">
        <x:v>withheld_before_canonical_promotion</x:v>
      </x:c>
      <x:c r="C14" s="28" t="str">
        <x:v>withheld before promotion</x:v>
      </x:c>
      <x:c r="D14" t="n">
        <x:v>10</x:v>
      </x:c>
      <x:c r="E14" t="str">
        <x:v>Source_Register</x:v>
      </x:c>
      <x:c r="F14" t="str">
        <x:v>Sources and transfer limits</x:v>
      </x:c>
    </x:row>
    <x:row r="15">
      <x:c r="A15" s="30" t="str">
        <x:v>Annual/tail metrics</x:v>
      </x:c>
      <x:c r="B15" s="30" t="str">
        <x:v>withheld</x:v>
      </x:c>
      <x:c r="C15" s="30" t="str">
        <x:v>consumer prerequisites unmet</x:v>
      </x:c>
      <x:c r="D15" t="n">
        <x:v>11</x:v>
      </x:c>
      <x:c r="E15" t="str">
        <x:v>Claim_Register</x:v>
      </x:c>
      <x:c r="F15" t="str">
        <x:v>Governed claims</x:v>
      </x:c>
    </x:row>
    <x:row r="16">
      <x:c r="A16"/>
      <x:c r="B16"/>
      <x:c r="C16"/>
      <x:c r="D16" t="n">
        <x:v>12</x:v>
      </x:c>
      <x:c r="E16" t="str">
        <x:v>Parameter_Tiers</x:v>
      </x:c>
      <x:c r="F16" t="str">
        <x:v>Parameter evidence tiers</x:v>
      </x:c>
    </x:row>
    <x:row r="17">
      <x:c r="A17"/>
      <x:c r="B17"/>
      <x:c r="C17"/>
      <x:c r="D17" t="n">
        <x:v>13</x:v>
      </x:c>
      <x:c r="E17" t="str">
        <x:v>QA</x:v>
      </x:c>
      <x:c r="F17" t="str">
        <x:v>Formula-driven QA</x:v>
      </x:c>
    </x:row>
    <x:row r="19" ht="34" customHeight="1">
      <x:c r="A19" s="41" t="str">
        <x:v>Strict gate: current public evidence does not earn a field-calibrated economic-DR model. This v1 exists only as a deliberate coverage-first, noncanonical screening exception. It requires uniform module value and full replacement of visible/missing modules, excludes the lone severe-tail observation from runtime, and withholds every other failure unit, dollar loss, and annual/tail output.</x:v>
      </x:c>
      <x:c r="B19" s="42"/>
      <x:c r="C19" s="42"/>
      <x:c r="D19" s="42"/>
      <x:c r="E19" s="42"/>
      <x:c r="F19" s="42"/>
      <x:c r="G19" s="42"/>
      <x:c r="H19" s="43"/>
    </x:row>
    <x:row r="20" ht="34" customHeight="1">
      <x:c r="A20" s="44"/>
      <x:c r="B20" s="45"/>
      <x:c r="C20" s="45"/>
      <x:c r="D20" s="45"/>
      <x:c r="E20" s="45"/>
      <x:c r="F20" s="45"/>
      <x:c r="G20" s="45"/>
      <x:c r="H20" s="46"/>
    </x:row>
    <x:row r="21" ht="34" customHeight="1">
      <x:c r="A21" s="44"/>
      <x:c r="B21" s="45"/>
      <x:c r="C21" s="45"/>
      <x:c r="D21" s="45"/>
      <x:c r="E21" s="45"/>
      <x:c r="F21" s="45"/>
      <x:c r="G21" s="45"/>
      <x:c r="H21" s="46"/>
    </x:row>
    <x:row r="22" ht="34" customHeight="1">
      <x:c r="A22" s="47"/>
      <x:c r="B22" s="48"/>
      <x:c r="C22" s="48"/>
      <x:c r="D22" s="48"/>
      <x:c r="E22" s="48"/>
      <x:c r="F22" s="48"/>
      <x:c r="G22" s="48"/>
      <x:c r="H22" s="49"/>
    </x:row>
  </x:sheetData>
  <x:mergeCells>
    <x:mergeCell ref="A1:H1"/>
    <x:mergeCell ref="A2:H2"/>
    <x:mergeCell ref="A19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60" hidden="0" customWidth="1"/>
    <x:col min="5" max="5" width="52" hidden="0" customWidth="1"/>
    <x:col min="6" max="6" width="40" hidden="0" customWidth="1"/>
    <x:col min="7" max="7" width="38" hidden="0" customWidth="1"/>
  </x:cols>
  <x:sheetData>
    <x:row r="1" ht="26" customHeight="1">
      <x:c r="A1" s="2" t="str">
        <x:v>Scope and coverage</x:v>
      </x:c>
      <x:c r="B1" s="2"/>
      <x:c r="C1" s="2"/>
      <x:c r="D1" s="2"/>
      <x:c r="E1" s="2"/>
      <x:c r="F1" s="2"/>
      <x:c r="G1" s="2"/>
    </x:row>
    <x:row r="2" ht="22" customHeight="1">
      <x:c r="A2" s="4" t="str">
        <x:v>The scalar is narrower than a generic module-field or whole-solar-plant damage ratio</x:v>
      </x:c>
      <x:c r="B2" s="4"/>
      <x:c r="C2" s="4"/>
      <x:c r="D2" s="4"/>
      <x:c r="E2" s="4"/>
      <x:c r="F2" s="4"/>
      <x:c r="G2" s="4"/>
    </x:row>
    <x:row r="4">
      <x:c r="A4" s="13" t="str">
        <x:v>Layer</x:v>
      </x:c>
      <x:c r="B4" s="14" t="str">
        <x:v>Subject</x:v>
      </x:c>
      <x:c r="C4" s="14" t="str">
        <x:v>Status</x:v>
      </x:c>
      <x:c r="D4" s="14" t="str">
        <x:v>Reason / boundary</x:v>
      </x:c>
      <x:c r="E4" s="14" t="str">
        <x:v>Value basis</x:v>
      </x:c>
      <x:c r="F4" s="14" t="str">
        <x:v>Exposure grain</x:v>
      </x:c>
      <x:c r="G4" s="15" t="str">
        <x:v>Consumer treatment</x:v>
      </x:c>
    </x:row>
    <x:row r="5">
      <x:c r="A5" s="27" t="str">
        <x:v>Hazard</x:v>
      </x:c>
      <x:c r="B5" s="27" t="str">
        <x:v>Dataset-reported event maximum gust</x:v>
      </x:c>
      <x:c r="C5" s="27" t="str">
        <x:v>conditional</x:v>
      </x:c>
      <x:c r="D5" s="27" t="str">
        <x:v>provider/station/height/averaging/query unresolved</x:v>
      </x:c>
      <x:c r="E5" s="27" t="str">
        <x:v>n/a</x:v>
      </x:c>
      <x:c r="F5" s="27" t="str">
        <x:v>source site</x:v>
      </x:c>
      <x:c r="G5" s="27" t="str">
        <x:v>exact source-axis identifier only</x:v>
      </x:c>
    </x:row>
    <x:row r="6">
      <x:c r="A6" s="28" t="str">
        <x:v>Source atom</x:v>
      </x:c>
      <x:c r="B6" s="28" t="str">
        <x:v>Visible/missing fixed ground module hardware</x:v>
      </x:c>
      <x:c r="C6" s="28" t="str">
        <x:v>conditional numeric</x:v>
      </x:c>
      <x:c r="D6" s="28" t="str">
        <x:v>remote-sensing-labeled source cohort</x:v>
      </x:c>
      <x:c r="E6" s="28" t="str">
        <x:v>uniform module hardware material value</x:v>
      </x:c>
      <x:c r="F6" s="28" t="str">
        <x:v>complete compatible site module population</x:v>
      </x:c>
      <x:c r="G6" s="28" t="str">
        <x:v>scalar DR only</x:v>
      </x:c>
    </x:row>
    <x:row r="7">
      <x:c r="A7" s="28" t="str">
        <x:v>Generic module field</x:v>
      </x:c>
      <x:c r="B7" s="28" t="str">
        <x:v>All visible + hidden module damage</x:v>
      </x:c>
      <x:c r="C7" s="28" t="str">
        <x:v>withheld not zero</x:v>
      </x:c>
      <x:c r="D7" s="28" t="str">
        <x:v>source-specific atom cannot generalize</x:v>
      </x:c>
      <x:c r="E7" s="28" t="str">
        <x:v>same-unit in future</x:v>
      </x:c>
      <x:c r="F7" s="28" t="str">
        <x:v>module/row/block</x:v>
      </x:c>
      <x:c r="G7" s="28" t="str">
        <x:v>preserve null</x:v>
      </x:c>
    </x:row>
    <x:row r="8">
      <x:c r="A8" s="28" t="str">
        <x:v>Tracker</x:v>
      </x:c>
      <x:c r="B8" s="28" t="str">
        <x:v>modules and SBOS</x:v>
      </x:c>
      <x:c r="C8" s="28" t="str">
        <x:v>withheld not zero</x:v>
      </x:c>
      <x:c r="D8" s="28" t="str">
        <x:v>only two tracking=true rows</x:v>
      </x:c>
      <x:c r="E8" s="28" t="str">
        <x:v>separate tracker value</x:v>
      </x:c>
      <x:c r="F8" s="28" t="str">
        <x:v>exact tracker system</x:v>
      </x:c>
      <x:c r="G8" s="28" t="str">
        <x:v>no fixed fallback</x:v>
      </x:c>
    </x:row>
    <x:row r="9">
      <x:c r="A9" s="28" t="str">
        <x:v>Support/electrical/GSU/civil</x:v>
      </x:c>
      <x:c r="B9" s="28" t="str">
        <x:v>all non-module units</x:v>
      </x:c>
      <x:c r="C9" s="28" t="str">
        <x:v>withheld not zero</x:v>
      </x:c>
      <x:c r="D9" s="28" t="str">
        <x:v>endpoint does not cover them</x:v>
      </x:c>
      <x:c r="E9" s="28" t="str">
        <x:v>same-unit split required</x:v>
      </x:c>
      <x:c r="F9" s="28" t="str">
        <x:v>point/line/network/yard</x:v>
      </x:c>
      <x:c r="G9" s="28" t="str">
        <x:v>preserve null</x:v>
      </x:c>
    </x:row>
    <x:row r="10">
      <x:c r="A10" s="28" t="str">
        <x:v>Spatial exposure</x:v>
      </x:c>
      <x:c r="B10" s="28" t="str">
        <x:v>additional array fraction</x:v>
      </x:c>
      <x:c r="C10" s="28" t="str">
        <x:v>prohibited</x:v>
      </x:c>
      <x:c r="D10" s="28" t="str">
        <x:v>observed response already includes realized site fraction</x:v>
      </x:c>
      <x:c r="E10" s="28" t="str">
        <x:v>n/a</x:v>
      </x:c>
      <x:c r="F10" s="28" t="str">
        <x:v>same source site</x:v>
      </x:c>
      <x:c r="G10" s="28" t="str">
        <x:v>no second multiplier</x:v>
      </x:c>
    </x:row>
    <x:row r="11">
      <x:c r="A11" s="28" t="str">
        <x:v>Scenario loss</x:v>
      </x:c>
      <x:c r="B11" s="28" t="str">
        <x:v>DR × value</x:v>
      </x:c>
      <x:c r="C11" s="28" t="str">
        <x:v>withheld</x:v>
      </x:c>
      <x:c r="D11" s="28" t="str">
        <x:v>noncanonical and T4 economic bridge</x:v>
      </x:c>
      <x:c r="E11" s="28" t="str">
        <x:v>site-specific module value after promotion</x:v>
      </x:c>
      <x:c r="F11" s="28" t="str">
        <x:v>one physical module population</x:v>
      </x:c>
      <x:c r="G11" s="28" t="str">
        <x:v>not emitted</x:v>
      </x:c>
    </x:row>
    <x:row r="12">
      <x:c r="A12" s="30" t="str">
        <x:v>Annual/tail</x:v>
      </x:c>
      <x:c r="B12" s="30" t="str">
        <x:v>EAL/PML/VaR/TVaR</x:v>
      </x:c>
      <x:c r="C12" s="30" t="str">
        <x:v>withheld</x:v>
      </x:c>
      <x:c r="D12" s="30" t="str">
        <x:v>frequency coupling and full coverage absent</x:v>
      </x:c>
      <x:c r="E12" s="30" t="str">
        <x:v>consumer-owned</x:v>
      </x:c>
      <x:c r="F12" s="30" t="str">
        <x:v>portfolio</x:v>
      </x:c>
      <x:c r="G12" s="30" t="str">
        <x:v>no result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4" hidden="0" customWidth="1"/>
    <x:col min="4" max="4" width="20" hidden="0" customWidth="1"/>
    <x:col min="5" max="5" width="30" hidden="0" customWidth="1"/>
    <x:col min="6" max="6" width="18" hidden="0" customWidth="1"/>
    <x:col min="7" max="7" width="66" hidden="0" customWidth="1"/>
    <x:col min="8" max="8" width="18" hidden="0" customWidth="1"/>
  </x:cols>
  <x:sheetData>
    <x:row r="1" ht="26" customHeight="1">
      <x:c r="A1" s="2" t="str">
        <x:v>Source evidence and conflict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The same-event/site methods disagree; they are correlated challenges, not poolable observations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Source</x:v>
      </x:c>
      <x:c r="B4" s="14" t="str">
        <x:v>Population / locator</x:v>
      </x:c>
      <x:c r="C4" s="14" t="str">
        <x:v>Endpoint</x:v>
      </x:c>
      <x:c r="D4" s="14" t="str">
        <x:v>Runtime role</x:v>
      </x:c>
      <x:c r="E4" s="14" t="str">
        <x:v>Strength</x:v>
      </x:c>
      <x:c r="F4" s="14" t="str">
        <x:v>Blocker</x:v>
      </x:c>
      <x:c r="G4" s="14" t="str">
        <x:v>Pinned SHA / DOI</x:v>
      </x:c>
      <x:c r="H4" s="15" t="str">
        <x:v>Decision</x:v>
      </x:c>
    </x:row>
    <x:row r="5">
      <x:c r="A5" s="27" t="str">
        <x:v>Perry manual CSV</x:v>
      </x:c>
      <x:c r="B5" s="27" t="str">
        <x:v>47 total; 37 ground; 35 ground non-tracking</x:v>
      </x:c>
      <x:c r="C5" s="27" t="str">
        <x:v>labeled percent modules damaged</x:v>
      </x:c>
      <x:c r="D5" s="27" t="str">
        <x:v>fit source</x:v>
      </x:c>
      <x:c r="E5" s="27" t="str">
        <x:v>graded physical fraction</x:v>
      </x:c>
      <x:c r="F5" s="27" t="str">
        <x:v>mixed scale, source-axis ambiguity, no disposition/cost</x:v>
      </x:c>
      <x:c r="G5" s="27" t="str">
        <x:v>edb34e74...e00 / 10.21948/2562917</x:v>
      </x:c>
      <x:c r="H5" s="27" t="str">
        <x:v>adopt with limits</x:v>
      </x:c>
    </x:row>
    <x:row r="6">
      <x:c r="A6" s="28" t="str">
        <x:v>Perry data description</x:v>
      </x:c>
      <x:c r="B6" s="28" t="str">
        <x:v>pp. 1-2</x:v>
      </x:c>
      <x:c r="C6" s="28" t="str">
        <x:v>manual polygons; aggregate modules blown away</x:v>
      </x:c>
      <x:c r="D6" s="28" t="str">
        <x:v>endpoint definition</x:v>
      </x:c>
      <x:c r="E6" s="28" t="str">
        <x:v>public DOE package</x:v>
      </x:c>
      <x:c r="F6" s="28" t="str">
        <x:v>manual/aggregate methods differ; full manual weather provider unresolved</x:v>
      </x:c>
      <x:c r="G6" s="28" t="str">
        <x:v>852ff012...19d5</x:v>
      </x:c>
      <x:c r="H6" s="28" t="str">
        <x:v>adopt with limits</x:v>
      </x:c>
    </x:row>
    <x:row r="7">
      <x:c r="A7" s="28" t="str">
        <x:v>Ceferino supplement</x:v>
      </x:c>
      <x:c r="B7" s="28" t="str">
        <x:v>Table 2, p. 4</x:v>
      </x:c>
      <x:c r="C7" s="28" t="str">
        <x:v>approximate percent panels damaged</x:v>
      </x:c>
      <x:c r="D7" s="28" t="str">
        <x:v>cross-method audit</x:v>
      </x:c>
      <x:c r="E7" s="28" t="str">
        <x:v>14 Caribbean ground sites</x:v>
      </x:c>
      <x:c r="F7" s="28" t="str">
        <x:v>different reports/visual workflow; no paired site gust/cost</x:v>
      </x:c>
      <x:c r="G7" s="28" t="str">
        <x:v>6a9e9f36...6756</x:v>
      </x:c>
      <x:c r="H7" s="28" t="str">
        <x:v>audit only</x:v>
      </x:c>
    </x:row>
    <x:row r="8">
      <x:c r="A8" s="28" t="str">
        <x:v>Ceferino threshold check</x:v>
      </x:c>
      <x:c r="B8" s="28" t="str">
        <x:v>paper Section 2.1 + supplement Table 2</x:v>
      </x:c>
      <x:c r="C8" s="28" t="str">
        <x:v>strict &gt;50% gives 4/14; reported 36% implies 5/14 with 50% included</x:v>
      </x:c>
      <x:c r="D8" s="28" t="str">
        <x:v>endpoint-semantics audit</x:v>
      </x:c>
      <x:c r="E8" s="28" t="str">
        <x:v>directly reproducible from the governed sources</x:v>
      </x:c>
      <x:c r="F8" s="28" t="str">
        <x:v>binary inclusion convention unresolved</x:v>
      </x:c>
      <x:c r="G8" s="28" t="str">
        <x:v>TCWS-C118</x:v>
      </x:c>
      <x:c r="H8" s="28" t="str">
        <x:v>do not reproduce calibration count</x:v>
      </x:c>
    </x:row>
    <x:row r="9">
      <x:c r="A9" s="28" t="str">
        <x:v>Apparent-coordinate comparison</x:v>
      </x:c>
      <x:c r="B9" s="28" t="str">
        <x:v>four Maria utility/ground pairs within 500 m</x:v>
      </x:c>
      <x:c r="C9" s="28" t="str">
        <x:v>Perry differs materially from Ceferino</x:v>
      </x:c>
      <x:c r="D9" s="28" t="str">
        <x:v>promotion challenge</x:v>
      </x:c>
      <x:c r="E9" s="28" t="str">
        <x:v>governed analyst match audit</x:v>
      </x:c>
      <x:c r="F9" s="28" t="str">
        <x:v>no authoritative shared site ID; correlated, not independent</x:v>
      </x:c>
      <x:c r="G9" s="28" t="str">
        <x:v>TCWS-C115</x:v>
      </x:c>
      <x:c r="H9" s="28" t="str">
        <x:v>do not pool</x:v>
      </x:c>
    </x:row>
    <x:row r="10">
      <x:c r="A10" s="30" t="str">
        <x:v>Strict gate</x:v>
      </x:c>
      <x:c r="B10" s="30" t="str">
        <x:v>independent reviews</x:v>
      </x:c>
      <x:c r="C10" s="30" t="str">
        <x:v>no evidence-earned economic DR</x:v>
      </x:c>
      <x:c r="D10" s="30" t="str">
        <x:v>release decision</x:v>
      </x:c>
      <x:c r="E10" s="30" t="str">
        <x:v>prevents overclaiming</x:v>
      </x:c>
      <x:c r="F10" s="30" t="str">
        <x:v>T4 bridge and unstable tail</x:v>
      </x:c>
      <x:c r="G10" s="30" t="str">
        <x:v>TCWS-C116</x:v>
      </x:c>
      <x:c r="H10" s="30" t="str">
        <x:v>noncanonical exception only</x:v>
      </x:c>
    </x:row>
    <x:row r="13">
      <x:c r="A13" s="13" t="str">
        <x:v>Audit match</x:v>
      </x:c>
      <x:c r="B13" s="14" t="str">
        <x:v>Ceferino row / %</x:v>
      </x:c>
      <x:c r="C13" s="14" t="str">
        <x:v>Perry line / %</x:v>
      </x:c>
      <x:c r="D13" s="14" t="str">
        <x:v>Distance (m)</x:v>
      </x:c>
      <x:c r="E13" s="14" t="str">
        <x:v>Absolute difference (pp)</x:v>
      </x:c>
      <x:c r="F13" s="14" t="str">
        <x:v>Confidence</x:v>
      </x:c>
      <x:c r="G13" s="14" t="str">
        <x:v>Method</x:v>
      </x:c>
      <x:c r="H13" s="15" t="str">
        <x:v>Status</x:v>
      </x:c>
    </x:row>
    <x:row r="14">
      <x:c r="A14" s="27" t="str">
        <x:v>TCWS-XM-001</x:v>
      </x:c>
      <x:c r="B14" s="27" t="str">
        <x:v>Table 2 row 2 / 13%</x:v>
      </x:c>
      <x:c r="C14" s="27" t="str">
        <x:v>aggregate line 242 / 3.661981002%</x:v>
      </x:c>
      <x:c r="D14" s="50" t="n">
        <x:v>72.363</x:v>
      </x:c>
      <x:c r="E14" s="50" t="n">
        <x:v>9.338018998</x:v>
      </x:c>
      <x:c r="F14" s="27" t="str">
        <x:v>high</x:v>
      </x:c>
      <x:c r="G14" s="27" t="str">
        <x:v>nearest Maria utility/ground coordinate &lt;=500 m; identity unadjudicated</x:v>
      </x:c>
      <x:c r="H14" s="27" t="str">
        <x:v>audit_only</x:v>
      </x:c>
    </x:row>
    <x:row r="15">
      <x:c r="A15" s="28" t="str">
        <x:v>TCWS-XM-002</x:v>
      </x:c>
      <x:c r="B15" s="28" t="str">
        <x:v>Table 2 row 3 / 60%</x:v>
      </x:c>
      <x:c r="C15" s="28" t="str">
        <x:v>aggregate line 74 / 41.42383192%</x:v>
      </x:c>
      <x:c r="D15" s="51" t="n">
        <x:v>244.253</x:v>
      </x:c>
      <x:c r="E15" s="51" t="n">
        <x:v>18.57616808</x:v>
      </x:c>
      <x:c r="F15" s="28" t="str">
        <x:v>high</x:v>
      </x:c>
      <x:c r="G15" s="28" t="str">
        <x:v>nearest Maria utility/ground coordinate &lt;=500 m; identity unadjudicated</x:v>
      </x:c>
      <x:c r="H15" s="28" t="str">
        <x:v>audit_only</x:v>
      </x:c>
    </x:row>
    <x:row r="16">
      <x:c r="A16" s="28" t="str">
        <x:v>TCWS-XM-003</x:v>
      </x:c>
      <x:c r="B16" s="28" t="str">
        <x:v>Table 2 row 4 / 90%</x:v>
      </x:c>
      <x:c r="C16" s="28" t="str">
        <x:v>aggregate line 7 / 81.81441591%</x:v>
      </x:c>
      <x:c r="D16" s="51" t="n">
        <x:v>36.781</x:v>
      </x:c>
      <x:c r="E16" s="51" t="n">
        <x:v>8.18558409</x:v>
      </x:c>
      <x:c r="F16" s="28" t="str">
        <x:v>high</x:v>
      </x:c>
      <x:c r="G16" s="28" t="str">
        <x:v>nearest Maria utility/ground coordinate &lt;=500 m; identity unadjudicated</x:v>
      </x:c>
      <x:c r="H16" s="28" t="str">
        <x:v>audit_only</x:v>
      </x:c>
    </x:row>
    <x:row r="17">
      <x:c r="A17" s="30" t="str">
        <x:v>TCWS-XM-004</x:v>
      </x:c>
      <x:c r="B17" s="30" t="str">
        <x:v>Table 2 row 7 / 13%</x:v>
      </x:c>
      <x:c r="C17" s="30" t="str">
        <x:v>aggregate line 257 / 0.447129082%</x:v>
      </x:c>
      <x:c r="D17" s="52" t="n">
        <x:v>405.681</x:v>
      </x:c>
      <x:c r="E17" s="52" t="n">
        <x:v>12.552870918</x:v>
      </x:c>
      <x:c r="F17" s="30" t="str">
        <x:v>moderate</x:v>
      </x:c>
      <x:c r="G17" s="30" t="str">
        <x:v>nearest Maria utility/ground coordinate &lt;=500 m; identity unadjudicated</x:v>
      </x:c>
      <x:c r="H17" s="30" t="str">
        <x:v>audit_only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4" hidden="0" customWidth="1"/>
    <x:col min="3" max="3" width="86" hidden="0" customWidth="1"/>
    <x:col min="4" max="4" width="16" hidden="0" customWidth="1"/>
    <x:col min="5" max="5" width="22" hidden="0" customWidth="1"/>
    <x:col min="6" max="6" width="24" hidden="0" customWidth="1"/>
    <x:col min="7" max="7" width="24" hidden="0" customWidth="1"/>
    <x:col min="8" max="8" width="20" hidden="0" customWidth="1"/>
    <x:col min="9" max="9" width="36" hidden="0" customWidth="1"/>
  </x:cols>
  <x:sheetData>
    <x:row r="1" ht="26" customHeight="1">
      <x:c r="A1" s="2" t="str">
        <x:v>Frozen PAVA sufficient statistics</x:v>
      </x:c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4" t="str">
        <x:v>Equal-site weighting; runtime n=34; the one 48.2 m/s severe observation remains audit-only</x:v>
      </x:c>
      <x:c r="B2" s="4"/>
      <x:c r="C2" s="4"/>
      <x:c r="D2" s="4"/>
      <x:c r="E2" s="4"/>
      <x:c r="F2" s="4"/>
      <x:c r="G2" s="4"/>
      <x:c r="H2" s="4"/>
      <x:c r="I2" s="4"/>
    </x:row>
    <x:row r="4">
      <x:c r="A4" s="13" t="str">
        <x:v>Block</x:v>
      </x:c>
      <x:c r="B4" s="14" t="str">
        <x:v>x low (m/s)</x:v>
      </x:c>
      <x:c r="C4" s="14" t="str">
        <x:v>x high (m/s)</x:v>
      </x:c>
      <x:c r="D4" s="14" t="str">
        <x:v>n sites</x:v>
      </x:c>
      <x:c r="E4" s="14" t="str">
        <x:v>sum DR</x:v>
      </x:c>
      <x:c r="F4" s="14" t="str">
        <x:v>Published mean DR</x:v>
      </x:c>
      <x:c r="G4" s="14" t="str">
        <x:v>Formula mean DR</x:v>
      </x:c>
      <x:c r="H4" s="14" t="str">
        <x:v>Absolute delta</x:v>
      </x:c>
      <x:c r="I4" s="15" t="str">
        <x:v>Fit role</x:v>
      </x:c>
    </x:row>
    <x:row r="5">
      <x:c r="A5" s="27" t="str">
        <x:v>B01</x:v>
      </x:c>
      <x:c r="B5" s="53" t="n">
        <x:v>17.4</x:v>
      </x:c>
      <x:c r="C5" s="53" t="n">
        <x:v>17.4</x:v>
      </x:c>
      <x:c r="D5" s="53" t="n">
        <x:v>1</x:v>
      </x:c>
      <x:c r="E5" s="53" t="n">
        <x:v>0</x:v>
      </x:c>
      <x:c r="F5" s="53" t="n">
        <x:v>0</x:v>
      </x:c>
      <x:c r="G5" s="53" t="n">
        <x:f>E5/D5</x:f>
        <x:v>0</x:v>
      </x:c>
      <x:c r="H5" s="53" t="n">
        <x:f>ABS(F5-G5)</x:f>
        <x:v>0</x:v>
      </x:c>
      <x:c r="I5" s="27" t="str">
        <x:v>runtime_fit</x:v>
      </x:c>
    </x:row>
    <x:row r="6">
      <x:c r="A6" s="28" t="str">
        <x:v>B02</x:v>
      </x:c>
      <x:c r="B6" s="54" t="n">
        <x:v>18.3</x:v>
      </x:c>
      <x:c r="C6" s="54" t="n">
        <x:v>18.3</x:v>
      </x:c>
      <x:c r="D6" s="54" t="n">
        <x:v>1</x:v>
      </x:c>
      <x:c r="E6" s="54" t="n">
        <x:v>0</x:v>
      </x:c>
      <x:c r="F6" s="54" t="n">
        <x:v>0</x:v>
      </x:c>
      <x:c r="G6" s="54" t="n">
        <x:f>E6/D6</x:f>
        <x:v>0</x:v>
      </x:c>
      <x:c r="H6" s="54" t="n">
        <x:f>ABS(F6-G6)</x:f>
        <x:v>0</x:v>
      </x:c>
      <x:c r="I6" s="28" t="str">
        <x:v>runtime_fit</x:v>
      </x:c>
    </x:row>
    <x:row r="7">
      <x:c r="A7" s="28" t="str">
        <x:v>B03</x:v>
      </x:c>
      <x:c r="B7" s="54" t="n">
        <x:v>20.7</x:v>
      </x:c>
      <x:c r="C7" s="54" t="n">
        <x:v>24.6</x:v>
      </x:c>
      <x:c r="D7" s="54" t="n">
        <x:v>14</x:v>
      </x:c>
      <x:c r="E7" s="54" t="n">
        <x:v>0.00381873184</x:v>
      </x:c>
      <x:c r="F7" s="54" t="n">
        <x:v>0.00027276656</x:v>
      </x:c>
      <x:c r="G7" s="54" t="n">
        <x:f>E7/D7</x:f>
        <x:v>0.00027276656</x:v>
      </x:c>
      <x:c r="H7" s="54" t="n">
        <x:f>ABS(F7-G7)</x:f>
        <x:v>0</x:v>
      </x:c>
      <x:c r="I7" s="28" t="str">
        <x:v>runtime_fit</x:v>
      </x:c>
    </x:row>
    <x:row r="8">
      <x:c r="A8" s="28" t="str">
        <x:v>B04</x:v>
      </x:c>
      <x:c r="B8" s="54" t="n">
        <x:v>24.8</x:v>
      </x:c>
      <x:c r="C8" s="54" t="n">
        <x:v>25.1</x:v>
      </x:c>
      <x:c r="D8" s="54" t="n">
        <x:v>2</x:v>
      </x:c>
      <x:c r="E8" s="54" t="n">
        <x:v>0.00191035167</x:v>
      </x:c>
      <x:c r="F8" s="54" t="n">
        <x:v>0.000955175835</x:v>
      </x:c>
      <x:c r="G8" s="54" t="n">
        <x:f>E8/D8</x:f>
        <x:v>0.000955175835</x:v>
      </x:c>
      <x:c r="H8" s="54" t="n">
        <x:f>ABS(F8-G8)</x:f>
        <x:v>0</x:v>
      </x:c>
      <x:c r="I8" s="28" t="str">
        <x:v>runtime_fit</x:v>
      </x:c>
    </x:row>
    <x:row r="9">
      <x:c r="A9" s="28" t="str">
        <x:v>B05</x:v>
      </x:c>
      <x:c r="B9" s="54" t="n">
        <x:v>25.9</x:v>
      </x:c>
      <x:c r="C9" s="54" t="n">
        <x:v>29.5</x:v>
      </x:c>
      <x:c r="D9" s="54" t="n">
        <x:v>7</x:v>
      </x:c>
      <x:c r="E9" s="54" t="n">
        <x:v>0.01297233485</x:v>
      </x:c>
      <x:c r="F9" s="54" t="n">
        <x:v>0.001853190692857</x:v>
      </x:c>
      <x:c r="G9" s="54" t="n">
        <x:f>E9/D9</x:f>
        <x:v>0.0018531906928571428</x:v>
      </x:c>
      <x:c r="H9" s="54" t="n">
        <x:f>ABS(F9-G9)</x:f>
        <x:v>1.4268100589909238e-16</x:v>
      </x:c>
      <x:c r="I9" s="28" t="str">
        <x:v>runtime_fit</x:v>
      </x:c>
    </x:row>
    <x:row r="10">
      <x:c r="A10" s="28" t="str">
        <x:v>B06</x:v>
      </x:c>
      <x:c r="B10" s="54" t="n">
        <x:v>29.8</x:v>
      </x:c>
      <x:c r="C10" s="54" t="n">
        <x:v>29.8</x:v>
      </x:c>
      <x:c r="D10" s="54" t="n">
        <x:v>2</x:v>
      </x:c>
      <x:c r="E10" s="54" t="n">
        <x:v>0.00810955181</x:v>
      </x:c>
      <x:c r="F10" s="54" t="n">
        <x:v>0.004054775905</x:v>
      </x:c>
      <x:c r="G10" s="54" t="n">
        <x:f>E10/D10</x:f>
        <x:v>0.004054775905</x:v>
      </x:c>
      <x:c r="H10" s="54" t="n">
        <x:f>ABS(F10-G10)</x:f>
        <x:v>0</x:v>
      </x:c>
      <x:c r="I10" s="28" t="str">
        <x:v>runtime_fit</x:v>
      </x:c>
    </x:row>
    <x:row r="11">
      <x:c r="A11" s="28" t="str">
        <x:v>B07</x:v>
      </x:c>
      <x:c r="B11" s="54" t="n">
        <x:v>31.7</x:v>
      </x:c>
      <x:c r="C11" s="54" t="n">
        <x:v>37.9</x:v>
      </x:c>
      <x:c r="D11" s="54" t="n">
        <x:v>3</x:v>
      </x:c>
      <x:c r="E11" s="54" t="n">
        <x:v>0.01324364415</x:v>
      </x:c>
      <x:c r="F11" s="54" t="n">
        <x:v>0.00441454805</x:v>
      </x:c>
      <x:c r="G11" s="54" t="n">
        <x:f>E11/D11</x:f>
        <x:v>0.004414548050000001</x:v>
      </x:c>
      <x:c r="H11" s="54" t="n">
        <x:f>ABS(F11-G11)</x:f>
        <x:v>8.673617379884035e-19</x:v>
      </x:c>
      <x:c r="I11" s="28" t="str">
        <x:v>runtime_fit</x:v>
      </x:c>
    </x:row>
    <x:row r="12">
      <x:c r="A12" s="28" t="str">
        <x:v>B08</x:v>
      </x:c>
      <x:c r="B12" s="54" t="n">
        <x:v>38.9</x:v>
      </x:c>
      <x:c r="C12" s="54" t="n">
        <x:v>39.1</x:v>
      </x:c>
      <x:c r="D12" s="54" t="n">
        <x:v>4</x:v>
      </x:c>
      <x:c r="E12" s="54" t="n">
        <x:v>0.07309175053</x:v>
      </x:c>
      <x:c r="F12" s="54" t="n">
        <x:v>0.0182729376325</x:v>
      </x:c>
      <x:c r="G12" s="54" t="n">
        <x:f>E12/D12</x:f>
        <x:v>0.0182729376325</x:v>
      </x:c>
      <x:c r="H12" s="54" t="n">
        <x:f>ABS(F12-G12)</x:f>
        <x:v>0</x:v>
      </x:c>
      <x:c r="I12" s="28" t="str">
        <x:v>runtime_fit</x:v>
      </x:c>
    </x:row>
    <x:row r="13">
      <x:c r="A13" s="30" t="str">
        <x:v>TAIL01</x:v>
      </x:c>
      <x:c r="B13" s="55" t="n">
        <x:v>48.2</x:v>
      </x:c>
      <x:c r="C13" s="55" t="n">
        <x:v>48.2</x:v>
      </x:c>
      <x:c r="D13" s="55" t="n">
        <x:v>1</x:v>
      </x:c>
      <x:c r="E13" s="55" t="n">
        <x:v>0.4142383192</x:v>
      </x:c>
      <x:c r="F13" s="55" t="n">
        <x:v>0.4142383192</x:v>
      </x:c>
      <x:c r="G13" s="55" t="n">
        <x:f>E13/D13</x:f>
        <x:v>0.4142383192</x:v>
      </x:c>
      <x:c r="H13" s="55" t="n">
        <x:f>ABS(F13-G13)</x:f>
        <x:v>0</x:v>
      </x:c>
      <x:c r="I13" s="30" t="str">
        <x:v>audit_only_excluded_sparse_tail</x:v>
      </x:c>
    </x:row>
    <x:row r="17">
      <x:c r="A17" s="13" t="str">
        <x:v>Cohort rule</x:v>
      </x:c>
      <x:c r="B17" s="14" t="str">
        <x:v>Value</x:v>
      </x:c>
      <x:c r="C17" s="15" t="str">
        <x:v>Why</x:v>
      </x:c>
    </x:row>
    <x:row r="18">
      <x:c r="A18" s="27" t="str">
        <x:v>Source filter</x:v>
      </x:c>
      <x:c r="B18" s="27" t="str">
        <x:v>mounting_type=ground AND tracking=false</x:v>
      </x:c>
      <x:c r="C18" s="27" t="str">
        <x:v>explicit source labels</x:v>
      </x:c>
    </x:row>
    <x:row r="19">
      <x:c r="A19" s="28" t="str">
        <x:v>Runtime range</x:v>
      </x:c>
      <x:c r="B19" s="28" t="str">
        <x:v>17.4-39.1 m/s</x:v>
      </x:c>
      <x:c r="C19" s="28" t="str">
        <x:v>stops before 9.1 m/s sparse-tail gap</x:v>
      </x:c>
    </x:row>
    <x:row r="20">
      <x:c r="A20" s="28" t="str">
        <x:v>Tail audit</x:v>
      </x:c>
      <x:c r="B20" s="28" t="str">
        <x:v>48.2 m/s, DR 0.4142383192, n=1</x:v>
      </x:c>
      <x:c r="C20" s="28" t="str">
        <x:v>strongest selected ground+nontracker source-cohort point; utility-scale status is unproven; exclusion biases high-end fit downward</x:v>
      </x:c>
    </x:row>
    <x:row r="21">
      <x:c r="A21" s="28" t="str">
        <x:v>Weighting</x:v>
      </x:c>
      <x:c r="B21" s="28" t="str">
        <x:v>one equal weight per site</x:v>
      </x:c>
      <x:c r="C21" s="28" t="str">
        <x:v>module counts unavailable consistently</x:v>
      </x:c>
    </x:row>
    <x:row r="22">
      <x:c r="A22" s="30" t="str">
        <x:v>Fit</x:v>
      </x:c>
      <x:c r="B22" s="30" t="str">
        <x:v>PAVA pooled means + block-edge linearization</x:v>
      </x:c>
      <x:c r="C22" s="30" t="str">
        <x:v>transparent monotone screening method; knots are derived, not source-published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0" hidden="0" customWidth="1"/>
    <x:col min="7" max="7" width="40" hidden="0" customWidth="1"/>
  </x:cols>
  <x:sheetData>
    <x:row r="1" ht="26" customHeight="1">
      <x:c r="A1" s="2" t="str">
        <x:v>Runtime screening knots</x:v>
      </x:c>
      <x:c r="B1" s="2"/>
      <x:c r="C1" s="2"/>
      <x:c r="D1" s="2"/>
      <x:c r="E1" s="2"/>
      <x:c r="F1" s="2"/>
      <x:c r="G1" s="2"/>
    </x:row>
    <x:row r="2" ht="22" customHeight="1">
      <x:c r="A2" s="4" t="str">
        <x:v>PAVA-derived block-edge knots; linear interpolation only inside 17.4-39.1 m/s</x:v>
      </x:c>
      <x:c r="B2" s="4"/>
      <x:c r="C2" s="4"/>
      <x:c r="D2" s="4"/>
      <x:c r="E2" s="4"/>
      <x:c r="F2" s="4"/>
      <x:c r="G2" s="4"/>
    </x:row>
    <x:row r="4">
      <x:c r="A4" s="13" t="str">
        <x:v>Knot</x:v>
      </x:c>
      <x:c r="B4" s="14" t="str">
        <x:v>Gust (m/s)</x:v>
      </x:c>
      <x:c r="C4" s="14" t="str">
        <x:v>Proxy DR</x:v>
      </x:c>
      <x:c r="D4" s="14" t="str">
        <x:v>Prior gust</x:v>
      </x:c>
      <x:c r="E4" s="14" t="str">
        <x:v>Prior DR</x:v>
      </x:c>
      <x:c r="F4" s="14" t="str">
        <x:v>Monotone check</x:v>
      </x:c>
      <x:c r="G4" s="15" t="str">
        <x:v>Source / method</x:v>
      </x:c>
    </x:row>
    <x:row r="5">
      <x:c r="A5" s="27" t="n">
        <x:v>1</x:v>
      </x:c>
      <x:c r="B5" s="53" t="n">
        <x:v>17.4</x:v>
      </x:c>
      <x:c r="C5" s="53" t="n">
        <x:v>0</x:v>
      </x:c>
      <x:c r="D5" s="53" t="str">
        <x:v>n/a</x:v>
      </x:c>
      <x:c r="E5" s="53" t="str">
        <x:v>n/a</x:v>
      </x:c>
      <x:c r="F5" s="27" t="str">
        <x:v>PASS</x:v>
      </x:c>
      <x:c r="G5" s="27" t="str">
        <x:v>TCWS-S020; PAVA-derived</x:v>
      </x:c>
    </x:row>
    <x:row r="6">
      <x:c r="A6" s="28" t="n">
        <x:v>2</x:v>
      </x:c>
      <x:c r="B6" s="54" t="n">
        <x:v>18.3</x:v>
      </x:c>
      <x:c r="C6" s="54" t="n">
        <x:v>0</x:v>
      </x:c>
      <x:c r="D6" s="54" t="n">
        <x:v>17.4</x:v>
      </x:c>
      <x:c r="E6" s="54" t="n">
        <x:v>0</x:v>
      </x:c>
      <x:c r="F6" s="28" t="str">
        <x:f>IF(AND(B6&gt;D6,C6&gt;=E6),"PASS","FAIL")</x:f>
        <x:v>PASS</x:v>
      </x:c>
      <x:c r="G6" s="28" t="str">
        <x:v>TCWS-S020; PAVA-derived</x:v>
      </x:c>
    </x:row>
    <x:row r="7">
      <x:c r="A7" s="28" t="n">
        <x:v>3</x:v>
      </x:c>
      <x:c r="B7" s="54" t="n">
        <x:v>20.7</x:v>
      </x:c>
      <x:c r="C7" s="54" t="n">
        <x:v>0.00027276656</x:v>
      </x:c>
      <x:c r="D7" s="54" t="n">
        <x:v>18.3</x:v>
      </x:c>
      <x:c r="E7" s="54" t="n">
        <x:v>0</x:v>
      </x:c>
      <x:c r="F7" s="28" t="str">
        <x:f>IF(AND(B7&gt;D7,C7&gt;=E7),"PASS","FAIL")</x:f>
        <x:v>PASS</x:v>
      </x:c>
      <x:c r="G7" s="28" t="str">
        <x:v>TCWS-S020; PAVA-derived</x:v>
      </x:c>
    </x:row>
    <x:row r="8">
      <x:c r="A8" s="28" t="n">
        <x:v>4</x:v>
      </x:c>
      <x:c r="B8" s="54" t="n">
        <x:v>24.6</x:v>
      </x:c>
      <x:c r="C8" s="54" t="n">
        <x:v>0.00027276656</x:v>
      </x:c>
      <x:c r="D8" s="54" t="n">
        <x:v>20.7</x:v>
      </x:c>
      <x:c r="E8" s="54" t="n">
        <x:v>0.00027276656</x:v>
      </x:c>
      <x:c r="F8" s="28" t="str">
        <x:f>IF(AND(B8&gt;D8,C8&gt;=E8),"PASS","FAIL")</x:f>
        <x:v>PASS</x:v>
      </x:c>
      <x:c r="G8" s="28" t="str">
        <x:v>TCWS-S020; PAVA-derived</x:v>
      </x:c>
    </x:row>
    <x:row r="9">
      <x:c r="A9" s="28" t="n">
        <x:v>5</x:v>
      </x:c>
      <x:c r="B9" s="54" t="n">
        <x:v>24.8</x:v>
      </x:c>
      <x:c r="C9" s="54" t="n">
        <x:v>0.000955175835</x:v>
      </x:c>
      <x:c r="D9" s="54" t="n">
        <x:v>24.6</x:v>
      </x:c>
      <x:c r="E9" s="54" t="n">
        <x:v>0.00027276656</x:v>
      </x:c>
      <x:c r="F9" s="28" t="str">
        <x:f>IF(AND(B9&gt;D9,C9&gt;=E9),"PASS","FAIL")</x:f>
        <x:v>PASS</x:v>
      </x:c>
      <x:c r="G9" s="28" t="str">
        <x:v>TCWS-S020; PAVA-derived</x:v>
      </x:c>
    </x:row>
    <x:row r="10">
      <x:c r="A10" s="28" t="n">
        <x:v>6</x:v>
      </x:c>
      <x:c r="B10" s="54" t="n">
        <x:v>25.1</x:v>
      </x:c>
      <x:c r="C10" s="54" t="n">
        <x:v>0.000955175835</x:v>
      </x:c>
      <x:c r="D10" s="54" t="n">
        <x:v>24.8</x:v>
      </x:c>
      <x:c r="E10" s="54" t="n">
        <x:v>0.000955175835</x:v>
      </x:c>
      <x:c r="F10" s="28" t="str">
        <x:f>IF(AND(B10&gt;D10,C10&gt;=E10),"PASS","FAIL")</x:f>
        <x:v>PASS</x:v>
      </x:c>
      <x:c r="G10" s="28" t="str">
        <x:v>TCWS-S020; PAVA-derived</x:v>
      </x:c>
    </x:row>
    <x:row r="11">
      <x:c r="A11" s="28" t="n">
        <x:v>7</x:v>
      </x:c>
      <x:c r="B11" s="54" t="n">
        <x:v>25.9</x:v>
      </x:c>
      <x:c r="C11" s="54" t="n">
        <x:v>0.001853190692857</x:v>
      </x:c>
      <x:c r="D11" s="54" t="n">
        <x:v>25.1</x:v>
      </x:c>
      <x:c r="E11" s="54" t="n">
        <x:v>0.000955175835</x:v>
      </x:c>
      <x:c r="F11" s="28" t="str">
        <x:f>IF(AND(B11&gt;D11,C11&gt;=E11),"PASS","FAIL")</x:f>
        <x:v>PASS</x:v>
      </x:c>
      <x:c r="G11" s="28" t="str">
        <x:v>TCWS-S020; PAVA-derived</x:v>
      </x:c>
    </x:row>
    <x:row r="12">
      <x:c r="A12" s="28" t="n">
        <x:v>8</x:v>
      </x:c>
      <x:c r="B12" s="54" t="n">
        <x:v>29.5</x:v>
      </x:c>
      <x:c r="C12" s="54" t="n">
        <x:v>0.001853190692857</x:v>
      </x:c>
      <x:c r="D12" s="54" t="n">
        <x:v>25.9</x:v>
      </x:c>
      <x:c r="E12" s="54" t="n">
        <x:v>0.001853190692857</x:v>
      </x:c>
      <x:c r="F12" s="28" t="str">
        <x:f>IF(AND(B12&gt;D12,C12&gt;=E12),"PASS","FAIL")</x:f>
        <x:v>PASS</x:v>
      </x:c>
      <x:c r="G12" s="28" t="str">
        <x:v>TCWS-S020; PAVA-derived</x:v>
      </x:c>
    </x:row>
    <x:row r="13">
      <x:c r="A13" s="28" t="n">
        <x:v>9</x:v>
      </x:c>
      <x:c r="B13" s="54" t="n">
        <x:v>29.8</x:v>
      </x:c>
      <x:c r="C13" s="54" t="n">
        <x:v>0.004054775905</x:v>
      </x:c>
      <x:c r="D13" s="54" t="n">
        <x:v>29.5</x:v>
      </x:c>
      <x:c r="E13" s="54" t="n">
        <x:v>0.001853190692857</x:v>
      </x:c>
      <x:c r="F13" s="28" t="str">
        <x:f>IF(AND(B13&gt;D13,C13&gt;=E13),"PASS","FAIL")</x:f>
        <x:v>PASS</x:v>
      </x:c>
      <x:c r="G13" s="28" t="str">
        <x:v>TCWS-S020; PAVA-derived</x:v>
      </x:c>
    </x:row>
    <x:row r="14">
      <x:c r="A14" s="28" t="n">
        <x:v>10</x:v>
      </x:c>
      <x:c r="B14" s="54" t="n">
        <x:v>31.7</x:v>
      </x:c>
      <x:c r="C14" s="54" t="n">
        <x:v>0.00441454805</x:v>
      </x:c>
      <x:c r="D14" s="54" t="n">
        <x:v>29.8</x:v>
      </x:c>
      <x:c r="E14" s="54" t="n">
        <x:v>0.004054775905</x:v>
      </x:c>
      <x:c r="F14" s="28" t="str">
        <x:f>IF(AND(B14&gt;D14,C14&gt;=E14),"PASS","FAIL")</x:f>
        <x:v>PASS</x:v>
      </x:c>
      <x:c r="G14" s="28" t="str">
        <x:v>TCWS-S020; PAVA-derived</x:v>
      </x:c>
    </x:row>
    <x:row r="15">
      <x:c r="A15" s="28" t="n">
        <x:v>11</x:v>
      </x:c>
      <x:c r="B15" s="54" t="n">
        <x:v>37.9</x:v>
      </x:c>
      <x:c r="C15" s="54" t="n">
        <x:v>0.00441454805</x:v>
      </x:c>
      <x:c r="D15" s="54" t="n">
        <x:v>31.7</x:v>
      </x:c>
      <x:c r="E15" s="54" t="n">
        <x:v>0.00441454805</x:v>
      </x:c>
      <x:c r="F15" s="28" t="str">
        <x:f>IF(AND(B15&gt;D15,C15&gt;=E15),"PASS","FAIL")</x:f>
        <x:v>PASS</x:v>
      </x:c>
      <x:c r="G15" s="28" t="str">
        <x:v>TCWS-S020; PAVA-derived</x:v>
      </x:c>
    </x:row>
    <x:row r="16">
      <x:c r="A16" s="28" t="n">
        <x:v>12</x:v>
      </x:c>
      <x:c r="B16" s="54" t="n">
        <x:v>38.9</x:v>
      </x:c>
      <x:c r="C16" s="54" t="n">
        <x:v>0.0182729376325</x:v>
      </x:c>
      <x:c r="D16" s="54" t="n">
        <x:v>37.9</x:v>
      </x:c>
      <x:c r="E16" s="54" t="n">
        <x:v>0.00441454805</x:v>
      </x:c>
      <x:c r="F16" s="28" t="str">
        <x:f>IF(AND(B16&gt;D16,C16&gt;=E16),"PASS","FAIL")</x:f>
        <x:v>PASS</x:v>
      </x:c>
      <x:c r="G16" s="28" t="str">
        <x:v>TCWS-S020; PAVA-derived</x:v>
      </x:c>
    </x:row>
    <x:row r="17">
      <x:c r="A17" s="30" t="n">
        <x:v>13</x:v>
      </x:c>
      <x:c r="B17" s="55" t="n">
        <x:v>39.1</x:v>
      </x:c>
      <x:c r="C17" s="55" t="n">
        <x:v>0.0182729376325</x:v>
      </x:c>
      <x:c r="D17" s="55" t="n">
        <x:v>38.9</x:v>
      </x:c>
      <x:c r="E17" s="55" t="n">
        <x:v>0.0182729376325</x:v>
      </x:c>
      <x:c r="F17" s="30" t="str">
        <x:f>IF(AND(B17&gt;D17,C17&gt;=E17),"PASS","FAIL")</x:f>
        <x:v>PASS</x:v>
      </x:c>
      <x:c r="G17" s="30" t="str">
        <x:v>TCWS-S020; PAVA-derived</x:v>
      </x:c>
    </x:row>
    <x:row r="21">
      <x:c r="A21" s="13" t="str">
        <x:v>Sample gust</x:v>
      </x:c>
      <x:c r="B21" s="14" t="str">
        <x:v>Lower knot</x:v>
      </x:c>
      <x:c r="C21" s="14" t="str">
        <x:v>Upper knot</x:v>
      </x:c>
      <x:c r="D21" s="14" t="str">
        <x:v>Expected DR</x:v>
      </x:c>
      <x:c r="E21" s="14" t="str">
        <x:v>Formula DR</x:v>
      </x:c>
      <x:c r="F21" s="15" t="str">
        <x:v>Delta</x:v>
      </x:c>
    </x:row>
    <x:row r="22">
      <x:c r="A22" s="53" t="n">
        <x:v>19.5</x:v>
      </x:c>
      <x:c r="B22" s="53" t="n">
        <x:v>18.3</x:v>
      </x:c>
      <x:c r="C22" s="53" t="n">
        <x:v>20.7</x:v>
      </x:c>
      <x:c r="D22" s="53" t="n">
        <x:v>0.00013638328</x:v>
      </x:c>
      <x:c r="E22" s="53" t="n">
        <x:f>0+(A22-B22)/(C22-B22)*(0.00027276656-0)</x:f>
        <x:v>0.00013638328</x:v>
      </x:c>
      <x:c r="F22" s="53" t="n">
        <x:f>ABS(D22-E22)</x:f>
        <x:v>0</x:v>
      </x:c>
    </x:row>
    <x:row r="23">
      <x:c r="A23" s="54" t="n">
        <x:v>24.7</x:v>
      </x:c>
      <x:c r="B23" s="54" t="n">
        <x:v>24.6</x:v>
      </x:c>
      <x:c r="C23" s="54" t="n">
        <x:v>24.8</x:v>
      </x:c>
      <x:c r="D23" s="54" t="n">
        <x:v>0.0006139711975</x:v>
      </x:c>
      <x:c r="E23" s="54" t="n">
        <x:f>0.00027276656+(A23-B23)/(C23-B23)*(0.000955175835-0.00027276656)</x:f>
        <x:v>0.0006139711974999938</x:v>
      </x:c>
      <x:c r="F23" s="54" t="n">
        <x:f>ABS(D23-E23)</x:f>
        <x:v>6.179952383167375e-18</x:v>
      </x:c>
    </x:row>
    <x:row r="24">
      <x:c r="A24" s="54" t="n">
        <x:v>30.75</x:v>
      </x:c>
      <x:c r="B24" s="54" t="n">
        <x:v>29.8</x:v>
      </x:c>
      <x:c r="C24" s="54" t="n">
        <x:v>31.7</x:v>
      </x:c>
      <x:c r="D24" s="54" t="n">
        <x:v>0.0042346619775</x:v>
      </x:c>
      <x:c r="E24" s="54" t="n">
        <x:f>0.004054775905+(A24-B24)/(C24-B24)*(0.00441454805-0.004054775905)</x:f>
        <x:v>0.0042346619775</x:v>
      </x:c>
      <x:c r="F24" s="54" t="n">
        <x:f>ABS(D24-E24)</x:f>
        <x:v>0</x:v>
      </x:c>
    </x:row>
    <x:row r="25">
      <x:c r="A25" s="55" t="n">
        <x:v>38.4</x:v>
      </x:c>
      <x:c r="B25" s="55" t="n">
        <x:v>37.9</x:v>
      </x:c>
      <x:c r="C25" s="55" t="n">
        <x:v>38.9</x:v>
      </x:c>
      <x:c r="D25" s="55" t="n">
        <x:v>0.01134374284125</x:v>
      </x:c>
      <x:c r="E25" s="55" t="n">
        <x:f>0.00441454805+(A25-B25)/(C25-B25)*(0.0182729376325-0.00441454805)</x:f>
        <x:v>0.01134374284125</x:v>
      </x:c>
      <x:c r="F25" s="55" t="n">
        <x:f>ABS(D25-E25)</x:f>
        <x:v>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34" hidden="0" customWidth="1"/>
    <x:col min="5" max="5" width="28" hidden="0" customWidth="1"/>
    <x:col min="6" max="6" width="58" hidden="0" customWidth="1"/>
  </x:cols>
  <x:sheetData>
    <x:row r="1" ht="26" customHeight="1">
      <x:c r="A1" s="2" t="str">
        <x:v>Event clustering and sensitivity</x:v>
      </x:c>
      <x:c r="B1" s="2"/>
      <x:c r="C1" s="2"/>
      <x:c r="D1" s="2"/>
      <x:c r="E1" s="2"/>
      <x:c r="F1" s="2"/>
    </x:row>
    <x:row r="2" ht="22" customHeight="1">
      <x:c r="A2" s="4" t="str">
        <x:v>Rows are not iid; the high end is Maria-dependent and remains uncalibrated</x:v>
      </x:c>
      <x:c r="B2" s="4"/>
      <x:c r="C2" s="4"/>
      <x:c r="D2" s="4"/>
      <x:c r="E2" s="4"/>
      <x:c r="F2" s="4"/>
    </x:row>
    <x:row r="4">
      <x:c r="A4" s="13" t="str">
        <x:v>Event</x:v>
      </x:c>
      <x:c r="B4" s="14" t="str">
        <x:v>Fit rows</x:v>
      </x:c>
      <x:c r="C4" s="14" t="str">
        <x:v>Share</x:v>
      </x:c>
      <x:c r="D4" s="14" t="str">
        <x:v>Leave-one-event-out highest block DR</x:v>
      </x:c>
      <x:c r="E4" s="14" t="str">
        <x:v>Full-fit high block DR</x:v>
      </x:c>
      <x:c r="F4" s="15" t="str">
        <x:v>Interpretation</x:v>
      </x:c>
    </x:row>
    <x:row r="5">
      <x:c r="A5" s="27" t="str">
        <x:v>Dorian</x:v>
      </x:c>
      <x:c r="B5" s="27" t="n">
        <x:v>3</x:v>
      </x:c>
      <x:c r="C5" s="56" t="n">
        <x:f>B5/34</x:f>
        <x:v>0.08823529411764706</x:v>
      </x:c>
      <x:c r="D5" s="56" t="n">
        <x:v>0.0182729376325</x:v>
      </x:c>
      <x:c r="E5" s="56" t="n">
        <x:v>0.0182729376325</x:v>
      </x:c>
      <x:c r="F5" s="27" t="str">
        <x:v>low-speed zero cluster</x:v>
      </x:c>
    </x:row>
    <x:row r="6">
      <x:c r="A6" s="28" t="str">
        <x:v>Florence</x:v>
      </x:c>
      <x:c r="B6" s="28" t="n">
        <x:v>20</x:v>
      </x:c>
      <x:c r="C6" s="57" t="n">
        <x:f>B6/34</x:f>
        <x:v>0.5882352941176471</x:v>
      </x:c>
      <x:c r="D6" s="57" t="n">
        <x:v>0.024363916843333</x:v>
      </x:c>
      <x:c r="E6" s="57" t="n">
        <x:v>0.0182729376325</x:v>
      </x:c>
      <x:c r="F6" s="28" t="str">
        <x:v>dominates sample count; omission raises surviving 38.9 m/s block</x:v>
      </x:c>
    </x:row>
    <x:row r="7">
      <x:c r="A7" s="28" t="str">
        <x:v>Ian</x:v>
      </x:c>
      <x:c r="B7" s="28" t="n">
        <x:v>2</x:v>
      </x:c>
      <x:c r="C7" s="57" t="n">
        <x:f>B7/34</x:f>
        <x:v>0.058823529411764705</x:v>
      </x:c>
      <x:c r="D7" s="57" t="n">
        <x:v>0.0182729376325</x:v>
      </x:c>
      <x:c r="E7" s="57" t="n">
        <x:v>0.0182729376325</x:v>
      </x:c>
      <x:c r="F7" s="28" t="str">
        <x:v>small cluster</x:v>
      </x:c>
    </x:row>
    <x:row r="8">
      <x:c r="A8" s="28" t="str">
        <x:v>Idalia</x:v>
      </x:c>
      <x:c r="B8" s="28" t="n">
        <x:v>1</x:v>
      </x:c>
      <x:c r="C8" s="57" t="n">
        <x:f>B8/34</x:f>
        <x:v>0.029411764705882353</x:v>
      </x:c>
      <x:c r="D8" s="57" t="n">
        <x:v>0.0182729376325</x:v>
      </x:c>
      <x:c r="E8" s="57" t="n">
        <x:v>0.0182729376325</x:v>
      </x:c>
      <x:c r="F8" s="28" t="str">
        <x:v>single-site cluster</x:v>
      </x:c>
    </x:row>
    <x:row r="9">
      <x:c r="A9" s="28" t="str">
        <x:v>Maria</x:v>
      </x:c>
      <x:c r="B9" s="28" t="n">
        <x:v>4</x:v>
      </x:c>
      <x:c r="C9" s="57" t="n">
        <x:f>B9/34</x:f>
        <x:v>0.11764705882352941</x:v>
      </x:c>
      <x:c r="D9" s="57" t="n">
        <x:v>0.003376381028</x:v>
      </x:c>
      <x:c r="E9" s="57" t="n">
        <x:v>0.0182729376325</x:v>
      </x:c>
      <x:c r="F9" s="28" t="str">
        <x:v>omission reduces highest fitted block by about 5.41 times</x:v>
      </x:c>
    </x:row>
    <x:row r="10">
      <x:c r="A10" s="30" t="str">
        <x:v>Michael</x:v>
      </x:c>
      <x:c r="B10" s="30" t="n">
        <x:v>4</x:v>
      </x:c>
      <x:c r="C10" s="58" t="n">
        <x:f>B10/34</x:f>
        <x:v>0.11764705882352941</x:v>
      </x:c>
      <x:c r="D10" s="58" t="n">
        <x:v>0.0182729376325</x:v>
      </x:c>
      <x:c r="E10" s="58" t="n">
        <x:v>0.0182729376325</x:v>
      </x:c>
      <x:c r="F10" s="30" t="str">
        <x:v>small cluster</x:v>
      </x:c>
    </x:row>
    <x:row r="13" ht="32" customHeight="1">
      <x:c r="A13" s="45" t="str">
        <x:v>No confidence interval is reported. Leave-one-event-out results are sensitivity diagnostics, not uncertainty bounds. The strong Maria dependence, Florence concentration, conflicting endpoint methods, and excluded severe tail block canonical promotion and any frequency/tail use.</x:v>
      </x:c>
      <x:c r="B13" s="45"/>
      <x:c r="C13" s="45"/>
      <x:c r="D13" s="45"/>
      <x:c r="E13" s="45"/>
      <x:c r="F13" s="45"/>
    </x:row>
    <x:row r="14" ht="32" customHeight="1">
      <x:c r="A14" s="45"/>
      <x:c r="B14" s="45"/>
      <x:c r="C14" s="45"/>
      <x:c r="D14" s="45"/>
      <x:c r="E14" s="45"/>
      <x:c r="F14" s="45"/>
    </x:row>
    <x:row r="15" ht="32" customHeight="1">
      <x:c r="A15" s="45"/>
      <x:c r="B15" s="45"/>
      <x:c r="C15" s="45"/>
      <x:c r="D15" s="45"/>
      <x:c r="E15" s="45"/>
      <x:c r="F15" s="45"/>
    </x:row>
    <x:row r="16" ht="32" customHeight="1">
      <x:c r="A16" s="45"/>
      <x:c r="B16" s="45"/>
      <x:c r="C16" s="45"/>
      <x:c r="D16" s="45"/>
      <x:c r="E16" s="45"/>
      <x:c r="F16" s="45"/>
    </x:row>
  </x:sheetData>
  <x:mergeCells>
    <x:mergeCell ref="A1:F1"/>
    <x:mergeCell ref="A2:F2"/>
    <x:mergeCell ref="A13:F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30" hidden="0" customWidth="1"/>
    <x:col min="3" max="3" width="58" hidden="0" customWidth="1"/>
    <x:col min="4" max="4" width="24" hidden="0" customWidth="1"/>
    <x:col min="5" max="5" width="30" hidden="0" customWidth="1"/>
    <x:col min="6" max="6" width="66" hidden="0" customWidth="1"/>
    <x:col min="7" max="7" width="48" hidden="0" customWidth="1"/>
    <x:col min="8" max="8" width="62" hidden="0" customWidth="1"/>
  </x:cols>
  <x:sheetData>
    <x:row r="1" ht="26" customHeight="1">
      <x:c r="A1" s="2" t="str">
        <x:v>Failure-unit coverage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One source-specific module atom is conditional; every other unit remains withheld, not zero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Failure unit</x:v>
      </x:c>
      <x:c r="B4" s="14" t="str">
        <x:v>Subsystem</x:v>
      </x:c>
      <x:c r="C4" s="14" t="str">
        <x:v>Component / boundary</x:v>
      </x:c>
      <x:c r="D4" s="14" t="str">
        <x:v>Treatment</x:v>
      </x:c>
      <x:c r="E4" s="14" t="str">
        <x:v>Y axis</x:v>
      </x:c>
      <x:c r="F4" s="14" t="str">
        <x:v>Denominator</x:v>
      </x:c>
      <x:c r="G4" s="14" t="str">
        <x:v>Exposure grain</x:v>
      </x:c>
      <x:c r="H4" s="15" t="str">
        <x:v>Withhold reasons</x:v>
      </x:c>
    </x:row>
    <x:row r="5">
      <x:c r="A5" s="27" t="str">
        <x:v>PV_PERRY_GROUND_FIXED_VISIBLE_MODULE_HARDWARE_SOURCE_UNIT</x:v>
      </x:c>
      <x:c r="B5" s="27" t="str">
        <x:v>PV ARRAY MODULES SOURCE COHORT</x:v>
      </x:c>
      <x:c r="C5" s="27" t="str">
        <x:v>VISIBLE OR MISSING MODULE HARDWARE MATERIAL ONLY</x:v>
      </x:c>
      <x:c r="D5" s="27" t="str">
        <x:v>primary nonzero</x:v>
      </x:c>
      <x:c r="E5" s="27" t="str">
        <x:v>failure_unit_damage_ratio</x:v>
      </x:c>
      <x:c r="F5" s="27" t="str">
        <x:v>same source-compatible module-hardware material acquisition value under uniform per-module value and full replacement of every visibly damaged or missing module</x:v>
      </x:c>
      <x:c r="G5" s="27" t="str">
        <x:v>one complete source-compatible ground-mounted non-tracking site module population</x:v>
      </x:c>
      <x:c r="H5" s="27" t="str"/>
    </x:row>
    <x:row r="6">
      <x:c r="A6" s="28" t="str">
        <x:v>PV_FIXED_TILT_MODULE_FIELD</x:v>
      </x:c>
      <x:c r="B6" s="28" t="str">
        <x:v>PV ARRAY MODULES</x:v>
      </x:c>
      <x:c r="C6" s="28" t="str">
        <x:v>GENERIC FIXED TILT MODULE FIELD ALL DAMAGE</x:v>
      </x:c>
      <x:c r="D6" s="28" t="str">
        <x:v>withheld</x:v>
      </x:c>
      <x:c r="E6" s="28" t="str">
        <x:v>failure_unit_damage_ratio</x:v>
      </x:c>
      <x:c r="F6" s="28" t="str">
        <x:v>same-unit fixed-tilt module-field replacement value</x:v>
      </x:c>
      <x:c r="G6" s="28" t="str">
        <x:v>future exact unit</x:v>
      </x:c>
      <x:c r="H6" s="28" t="str">
        <x:v>SOURCE_SPECIFIC_ATOM_NOT_GENERIC_MODULE_FIELD; HIDDEN_DAMAGE_AND_DISPOSITION_NOT_OBSERVED</x:v>
      </x:c>
    </x:row>
    <x:row r="7">
      <x:c r="A7" s="28" t="str">
        <x:v>PV_FIXED_TILT_SUPPORT_STRUCTURE</x:v>
      </x:c>
      <x:c r="B7" s="28" t="str">
        <x:v>PV ARRAY SUPPORT</x:v>
      </x:c>
      <x:c r="C7" s="28" t="str">
        <x:v>RACKS POSTS BRACES CLAMPS AND CONNECTIONS</x:v>
      </x:c>
      <x:c r="D7" s="28" t="str">
        <x:v>withheld</x:v>
      </x:c>
      <x:c r="E7" s="28" t="str">
        <x:v>failure_unit_damage_ratio</x:v>
      </x:c>
      <x:c r="F7" s="28" t="str">
        <x:v>same-unit fixed-tilt support replacement value</x:v>
      </x:c>
      <x:c r="G7" s="28" t="str">
        <x:v>future exact unit</x:v>
      </x:c>
      <x:c r="H7" s="28" t="str">
        <x:v>NO_RUNTIME_CURVE_FOR_PATHWAY_UNIT</x:v>
      </x:c>
    </x:row>
    <x:row r="8">
      <x:c r="A8" s="28" t="str">
        <x:v>PV_TRACKER_MODULE_FIELD</x:v>
      </x:c>
      <x:c r="B8" s="28" t="str">
        <x:v>PV ARRAY MODULES</x:v>
      </x:c>
      <x:c r="C8" s="28" t="str">
        <x:v>TRACKER MODULES FRAMES AND RETENTION</x:v>
      </x:c>
      <x:c r="D8" s="28" t="str">
        <x:v>withheld</x:v>
      </x:c>
      <x:c r="E8" s="28" t="str">
        <x:v>failure_unit_damage_ratio</x:v>
      </x:c>
      <x:c r="F8" s="28" t="str">
        <x:v>same-unit tracker module-field replacement value</x:v>
      </x:c>
      <x:c r="G8" s="28" t="str">
        <x:v>future exact unit</x:v>
      </x:c>
      <x:c r="H8" s="28" t="str">
        <x:v>TRACKER_POPULATION_NOT_SUPPORTED; NO_FIXED_TO_TRACKER_FALLBACK</x:v>
      </x:c>
    </x:row>
    <x:row r="9">
      <x:c r="A9" s="28" t="str">
        <x:v>PV_TRACKER_SBOS_ASSEMBLY</x:v>
      </x:c>
      <x:c r="B9" s="28" t="str">
        <x:v>PV ARRAY SUPPORT</x:v>
      </x:c>
      <x:c r="C9" s="28" t="str">
        <x:v>TRACKER TORQUE TUBE BEARING DRIVE AND RACKING</x:v>
      </x:c>
      <x:c r="D9" s="28" t="str">
        <x:v>withheld</x:v>
      </x:c>
      <x:c r="E9" s="28" t="str">
        <x:v>failure_unit_damage_ratio</x:v>
      </x:c>
      <x:c r="F9" s="28" t="str">
        <x:v>same-unit tracker structural BOS replacement value</x:v>
      </x:c>
      <x:c r="G9" s="28" t="str">
        <x:v>future exact unit</x:v>
      </x:c>
      <x:c r="H9" s="28" t="str">
        <x:v>TRACKER_POPULATION_NOT_SUPPORTED; NO_RUNTIME_CURVE_FOR_PATHWAY_UNIT</x:v>
      </x:c>
    </x:row>
    <x:row r="10">
      <x:c r="A10" s="28" t="str">
        <x:v>PV_FOUNDATION</x:v>
      </x:c>
      <x:c r="B10" s="28" t="str">
        <x:v>FOUNDATION</x:v>
      </x:c>
      <x:c r="C10" s="28" t="str">
        <x:v>PILES POSTS ANCHORS AND PADS</x:v>
      </x:c>
      <x:c r="D10" s="28" t="str">
        <x:v>withheld</x:v>
      </x:c>
      <x:c r="E10" s="28" t="str">
        <x:v>failure_unit_damage_ratio</x:v>
      </x:c>
      <x:c r="F10" s="28" t="str">
        <x:v>same-unit foundation replacement value</x:v>
      </x:c>
      <x:c r="G10" s="28" t="str">
        <x:v>future exact unit</x:v>
      </x:c>
      <x:c r="H10" s="28" t="str">
        <x:v>NO_RUNTIME_CURVE_FOR_PATHWAY_UNIT</x:v>
      </x:c>
    </x:row>
    <x:row r="11">
      <x:c r="A11" s="28" t="str">
        <x:v>PV_POWER_CONVERSION_AND_COLLECTION</x:v>
      </x:c>
      <x:c r="B11" s="28" t="str">
        <x:v>PLANT ELECTRICAL</x:v>
      </x:c>
      <x:c r="C11" s="28" t="str">
        <x:v>INVERTER COMBINER CABLE AND COLLECTION SCOPE</x:v>
      </x:c>
      <x:c r="D11" s="28" t="str">
        <x:v>withheld</x:v>
      </x:c>
      <x:c r="E11" s="28" t="str">
        <x:v>failure_unit_damage_ratio</x:v>
      </x:c>
      <x:c r="F11" s="28" t="str">
        <x:v>split point, line, and network replacement value</x:v>
      </x:c>
      <x:c r="G11" s="28" t="str">
        <x:v>future exact unit</x:v>
      </x:c>
      <x:c r="H11" s="28" t="str">
        <x:v>NO_RUNTIME_CURVE_FOR_PATHWAY_UNIT; POINT_LINE_NETWORK_SPLIT_REQUIRED</x:v>
      </x:c>
    </x:row>
    <x:row r="12">
      <x:c r="A12" s="28" t="str">
        <x:v>PV_GSU_SUBSTATION</x:v>
      </x:c>
      <x:c r="B12" s="28" t="str">
        <x:v>SUBSTATION</x:v>
      </x:c>
      <x:c r="C12" s="28" t="str">
        <x:v>GSU TRANSFORMER SWITCHYARD PROTECTION AND CONTROL</x:v>
      </x:c>
      <x:c r="D12" s="28" t="str">
        <x:v>withheld</x:v>
      </x:c>
      <x:c r="E12" s="28" t="str">
        <x:v>failure_unit_damage_ratio</x:v>
      </x:c>
      <x:c r="F12" s="28" t="str">
        <x:v>same facility-level GSU/substation replacement value</x:v>
      </x:c>
      <x:c r="G12" s="28" t="str">
        <x:v>future exact unit</x:v>
      </x:c>
      <x:c r="H12" s="28" t="str">
        <x:v>NO_RUNTIME_CURVE_FOR_PATHWAY_UNIT; FACILITY_LEVEL_SHARED_SUBASSET_REQUIRES_CELL_LOCAL_BINDING</x:v>
      </x:c>
    </x:row>
    <x:row r="13">
      <x:c r="A13" s="28" t="str">
        <x:v>PV_SCADA_COMMUNICATIONS</x:v>
      </x:c>
      <x:c r="B13" s="28" t="str">
        <x:v>CONTROL</x:v>
      </x:c>
      <x:c r="C13" s="28" t="str">
        <x:v>SCADA MONITORING AND COMMUNICATIONS</x:v>
      </x:c>
      <x:c r="D13" s="28" t="str">
        <x:v>withheld</x:v>
      </x:c>
      <x:c r="E13" s="28" t="str">
        <x:v>failure_unit_damage_ratio</x:v>
      </x:c>
      <x:c r="F13" s="28" t="str">
        <x:v>same-unit control and communications replacement value</x:v>
      </x:c>
      <x:c r="G13" s="28" t="str">
        <x:v>future exact unit</x:v>
      </x:c>
      <x:c r="H13" s="28" t="str">
        <x:v>NO_RUNTIME_CURVE_FOR_PATHWAY_UNIT</x:v>
      </x:c>
    </x:row>
    <x:row r="14">
      <x:c r="A14" s="28" t="str">
        <x:v>PV_CIVIL_INFRA</x:v>
      </x:c>
      <x:c r="B14" s="28" t="str">
        <x:v>PLANT CIVIL</x:v>
      </x:c>
      <x:c r="C14" s="28" t="str">
        <x:v>ROADS FENCES DRAINAGE AND BUILDINGS</x:v>
      </x:c>
      <x:c r="D14" s="28" t="str">
        <x:v>withheld</x:v>
      </x:c>
      <x:c r="E14" s="28" t="str">
        <x:v>failure_unit_damage_ratio</x:v>
      </x:c>
      <x:c r="F14" s="28" t="str">
        <x:v>split direct civil replacement value</x:v>
      </x:c>
      <x:c r="G14" s="28" t="str">
        <x:v>future exact unit</x:v>
      </x:c>
      <x:c r="H14" s="28" t="str">
        <x:v>NO_RUNTIME_CURVE_FOR_PATHWAY_UNIT; MIXED_CIVIL_BUCKET_REQUIRES_SPLIT</x:v>
      </x:c>
    </x:row>
    <x:row r="15">
      <x:c r="A15" s="30" t="str">
        <x:v>PV_REPLACEMENT_SUPPORT</x:v>
      </x:c>
      <x:c r="B15" s="30" t="str">
        <x:v>SUPPORT</x:v>
      </x:c>
      <x:c r="C15" s="30" t="str">
        <x:v>REMOVAL REINSTALL FIELDWORK FREIGHT AND LOGISTICS</x:v>
      </x:c>
      <x:c r="D15" s="30" t="str">
        <x:v>withheld</x:v>
      </x:c>
      <x:c r="E15" s="30" t="str">
        <x:v>not_applicable_support_cost</x:v>
      </x:c>
      <x:c r="F15" s="30" t="str">
        <x:v>post-damage repair work scope</x:v>
      </x:c>
      <x:c r="G15" s="30" t="str">
        <x:v>future exact unit</x:v>
      </x:c>
      <x:c r="H15" s="30" t="str">
        <x:v>SUPPORT_COST_ALLOCATE_ONCE_AFTER_DISPOSITION; NO_INDEPENDENT_FRAGILITY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2" hidden="0" customWidth="1"/>
    <x:col min="5" max="5" width="24" hidden="0" customWidth="1"/>
    <x:col min="6" max="6" width="24" hidden="0" customWidth="1"/>
    <x:col min="7" max="7" width="24" hidden="0" customWidth="1"/>
    <x:col min="8" max="8" width="42" hidden="0" customWidth="1"/>
    <x:col min="9" max="9" width="24" hidden="0" customWidth="1"/>
    <x:col min="10" max="10" width="24" hidden="0" customWidth="1"/>
    <x:col min="11" max="11" width="24" hidden="0" customWidth="1"/>
    <x:col min="12" max="12" width="62" hidden="0" customWidth="1"/>
    <x:col min="13" max="13" width="62" hidden="0" customWidth="1"/>
    <x:col min="14" max="14" width="24" hidden="0" customWidth="1"/>
    <x:col min="15" max="15" width="62" hidden="0" customWidth="1"/>
  </x:cols>
  <x:sheetData>
    <x:row r="1" ht="26" customHeight="1">
      <x:c r="A1" s="2" t="str">
        <x:v>Value and denominator crosswalk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4" t="str">
        <x:v>Module material only; no full TIV, installed-cost benchmark, racking, labor, logistics, electrical, or GSU value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>
      <x:c r="A4" s="13" t="str">
        <x:v>value_source_id</x:v>
      </x:c>
      <x:c r="B4" s="14" t="str">
        <x:v>source_location</x:v>
      </x:c>
      <x:c r="C4" s="14" t="str">
        <x:v>row_or_bucket_id</x:v>
      </x:c>
      <x:c r="D4" s="14" t="str">
        <x:v>row_or_bucket_label</x:v>
      </x:c>
      <x:c r="E4" s="14" t="str">
        <x:v>value</x:v>
      </x:c>
      <x:c r="F4" s="14" t="str">
        <x:v>unit</x:v>
      </x:c>
      <x:c r="G4" s="14" t="str">
        <x:v>financial_class</x:v>
      </x:c>
      <x:c r="H4" s="14" t="str">
        <x:v>failure_unit_id</x:v>
      </x:c>
      <x:c r="I4" s="14" t="str">
        <x:v>applicable_pathway_ids</x:v>
      </x:c>
      <x:c r="J4" s="14" t="str">
        <x:v>role_in_loss</x:v>
      </x:c>
      <x:c r="K4" s="14" t="str">
        <x:v>include_in_direct_denominator</x:v>
      </x:c>
      <x:c r="L4" s="14" t="str">
        <x:v>allocation_rule</x:v>
      </x:c>
      <x:c r="M4" s="14" t="str">
        <x:v>double_count_guardrail</x:v>
      </x:c>
      <x:c r="N4" s="14" t="str">
        <x:v>status</x:v>
      </x:c>
      <x:c r="O4" s="15" t="str">
        <x:v>notes</x:v>
      </x:c>
    </x:row>
    <x:row r="5">
      <x:c r="A5" s="27" t="str">
        <x:v>SITE_SPECIFIC_REQUIRED</x:v>
      </x:c>
      <x:c r="B5" s="27" t="str">
        <x:v>site BOM/SOV/appraisal</x:v>
      </x:c>
      <x:c r="C5" s="27" t="str">
        <x:v>PV_PERRY_VISIBLE_MODULE_HARDWARE</x:v>
      </x:c>
      <x:c r="D5" s="27" t="str">
        <x:v>Visible or missing module hardware material acquisition value</x:v>
      </x:c>
      <x:c r="E5" s="27" t="str">
        <x:v>site_specific_required</x:v>
      </x:c>
      <x:c r="F5" s="27" t="str">
        <x:v>USD at declared valuation date</x:v>
      </x:c>
      <x:c r="G5" s="27" t="str">
        <x:v>direct_hardware</x:v>
      </x:c>
      <x:c r="H5" s="27" t="str">
        <x:v>PV_PERRY_GROUND_FIXED_VISIBLE_MODULE_HARDWARE_SOURCE_UNIT</x:v>
      </x:c>
      <x:c r="I5" s="27" t="str">
        <x:v>tropical_cyclone_wind</x:v>
      </x:c>
      <x:c r="J5" s="27" t="str">
        <x:v>future same-unit denominator</x:v>
      </x:c>
      <x:c r="K5" s="27" t="str">
        <x:v>false</x:v>
      </x:c>
      <x:c r="L5" s="27" t="str">
        <x:v>Only after canonical promotion may a revised crosswalk bind the exact compatible module-hardware population once, with uniform-value assumption explicitly accepted.</x:v>
      </x:c>
      <x:c r="M5" s="27" t="str">
        <x:v>Never include racking, removal, reinstall, freight, tax, electrical, GSU, civil, support, BI, or full TIV.</x:v>
      </x:c>
      <x:c r="N5" s="27" t="str">
        <x:v>candidate_not_runtime_loss</x:v>
      </x:c>
      <x:c r="O5" s="27" t="str">
        <x:v>The noncanonical evaluator emits DR only; this proposal activates no dollar denominator.</x:v>
      </x:c>
    </x:row>
    <x:row r="6">
      <x:c r="A6" s="28" t="str">
        <x:v>NLR_Q1_2025_UPV_PV_ONLY_2024_USD</x:v>
      </x:c>
      <x:c r="B6" s="28" t="str">
        <x:v>docs/method/value_basis/solar_wind_value_breakdown.xlsx::Solar_Map!2</x:v>
      </x:c>
      <x:c r="C6" s="28" t="str">
        <x:v>SOLAR_VALUE_002_MODULE</x:v>
      </x:c>
      <x:c r="D6" s="28" t="str">
        <x:v>Module hardware reference benchmark</x:v>
      </x:c>
      <x:c r="E6" s="28" t="str">
        <x:v>291.21485143992487</x:v>
      </x:c>
      <x:c r="F6" s="28" t="str">
        <x:v>2024_USD_per_kWdc</x:v>
      </x:c>
      <x:c r="G6" s="28" t="str">
        <x:v>direct_hardware</x:v>
      </x:c>
      <x:c r="H6" s="28" t="str">
        <x:v>PV_FIXED_TILT_MODULE_FIELD</x:v>
      </x:c>
      <x:c r="I6" s="28" t="str">
        <x:v>tropical_cyclone_wind</x:v>
      </x:c>
      <x:c r="J6" s="28" t="str">
        <x:v>anatomy and reconciliation only</x:v>
      </x:c>
      <x:c r="K6" s="28" t="str">
        <x:v>false</x:v>
      </x:c>
      <x:c r="L6" s="28" t="str">
        <x:v>Do not default an unknown site to this benchmark.</x:v>
      </x:c>
      <x:c r="M6" s="28" t="str">
        <x:v>Do not multiply the source-specific curve by full plant TIV or describe benchmark loss as site loss.</x:v>
      </x:c>
      <x:c r="N6" s="28" t="str">
        <x:v>reference_only</x:v>
      </x:c>
      <x:c r="O6" s="28" t="str">
        <x:v>TCWS-S013; generic module-field value is broader than the source-specific atom.</x:v>
      </x:c>
    </x:row>
    <x:row r="7">
      <x:c r="A7" s="28" t="str">
        <x:v>WITHHELD</x:v>
      </x:c>
      <x:c r="B7" s="28" t="str">
        <x:v>none</x:v>
      </x:c>
      <x:c r="C7" s="28" t="str">
        <x:v>PV_FIXED_TILT_SUPPORT_STRUCTURE</x:v>
      </x:c>
      <x:c r="D7" s="28" t="str">
        <x:v>Fixed-tilt racks, posts, braces, clamps, and connections</x:v>
      </x:c>
      <x:c r="E7" s="28" t="str">
        <x:v>withheld</x:v>
      </x:c>
      <x:c r="F7" s="28" t="str">
        <x:v>not_applicable</x:v>
      </x:c>
      <x:c r="G7" s="28" t="str">
        <x:v>direct_hardware</x:v>
      </x:c>
      <x:c r="H7" s="28" t="str">
        <x:v>PV_FIXED_TILT_SUPPORT_STRUCTURE</x:v>
      </x:c>
      <x:c r="I7" s="28" t="str">
        <x:v>tropical_cyclone_wind</x:v>
      </x:c>
      <x:c r="J7" s="28" t="str">
        <x:v>withheld</x:v>
      </x:c>
      <x:c r="K7" s="28" t="str">
        <x:v>false</x:v>
      </x:c>
      <x:c r="L7" s="28" t="str">
        <x:v>Require a separate failure-unit response and same-unit value.</x:v>
      </x:c>
      <x:c r="M7" s="28" t="str">
        <x:v>Do not inherit module DR.</x:v>
      </x:c>
      <x:c r="N7" s="28" t="str">
        <x:v>withheld</x:v>
      </x:c>
      <x:c r="O7" s="28" t="str">
        <x:v>No runtime curve.</x:v>
      </x:c>
    </x:row>
    <x:row r="8">
      <x:c r="A8" s="28" t="str">
        <x:v>WITHHELD</x:v>
      </x:c>
      <x:c r="B8" s="28" t="str">
        <x:v>none</x:v>
      </x:c>
      <x:c r="C8" s="28" t="str">
        <x:v>PV_TRACKER_MODULE_FIELD</x:v>
      </x:c>
      <x:c r="D8" s="28" t="str">
        <x:v>Tracker module hardware</x:v>
      </x:c>
      <x:c r="E8" s="28" t="str">
        <x:v>withheld</x:v>
      </x:c>
      <x:c r="F8" s="28" t="str">
        <x:v>not_applicable</x:v>
      </x:c>
      <x:c r="G8" s="28" t="str">
        <x:v>direct_hardware</x:v>
      </x:c>
      <x:c r="H8" s="28" t="str">
        <x:v>PV_TRACKER_MODULE_FIELD</x:v>
      </x:c>
      <x:c r="I8" s="28" t="str">
        <x:v>tropical_cyclone_wind</x:v>
      </x:c>
      <x:c r="J8" s="28" t="str">
        <x:v>withheld</x:v>
      </x:c>
      <x:c r="K8" s="28" t="str">
        <x:v>false</x:v>
      </x:c>
      <x:c r="L8" s="28" t="str">
        <x:v>Require tracker-specific evidence.</x:v>
      </x:c>
      <x:c r="M8" s="28" t="str">
        <x:v>No fixed-to-tracker fallback.</x:v>
      </x:c>
      <x:c r="N8" s="28" t="str">
        <x:v>withheld</x:v>
      </x:c>
      <x:c r="O8" s="28" t="str">
        <x:v>Only two source-cohort tracking records.</x:v>
      </x:c>
    </x:row>
    <x:row r="9">
      <x:c r="A9" s="28" t="str">
        <x:v>WITHHELD</x:v>
      </x:c>
      <x:c r="B9" s="28" t="str">
        <x:v>none</x:v>
      </x:c>
      <x:c r="C9" s="28" t="str">
        <x:v>PV_TRACKER_SBOS_ASSEMBLY</x:v>
      </x:c>
      <x:c r="D9" s="28" t="str">
        <x:v>Tracker structural balance of system</x:v>
      </x:c>
      <x:c r="E9" s="28" t="str">
        <x:v>withheld</x:v>
      </x:c>
      <x:c r="F9" s="28" t="str">
        <x:v>not_applicable</x:v>
      </x:c>
      <x:c r="G9" s="28" t="str">
        <x:v>direct_hardware</x:v>
      </x:c>
      <x:c r="H9" s="28" t="str">
        <x:v>PV_TRACKER_SBOS_ASSEMBLY</x:v>
      </x:c>
      <x:c r="I9" s="28" t="str">
        <x:v>tropical_cyclone_wind</x:v>
      </x:c>
      <x:c r="J9" s="28" t="str">
        <x:v>withheld</x:v>
      </x:c>
      <x:c r="K9" s="28" t="str">
        <x:v>false</x:v>
      </x:c>
      <x:c r="L9" s="28" t="str">
        <x:v>Require exact system and control-state response.</x:v>
      </x:c>
      <x:c r="M9" s="28" t="str">
        <x:v>No stow or fixed-tilt transfer.</x:v>
      </x:c>
      <x:c r="N9" s="28" t="str">
        <x:v>withheld</x:v>
      </x:c>
      <x:c r="O9" s="28" t="str">
        <x:v>No runtime curve.</x:v>
      </x:c>
    </x:row>
    <x:row r="10">
      <x:c r="A10" s="28" t="str">
        <x:v>WITHHELD</x:v>
      </x:c>
      <x:c r="B10" s="28" t="str">
        <x:v>none</x:v>
      </x:c>
      <x:c r="C10" s="28" t="str">
        <x:v>PV_FOUNDATION</x:v>
      </x:c>
      <x:c r="D10" s="28" t="str">
        <x:v>Foundations and anchors</x:v>
      </x:c>
      <x:c r="E10" s="28" t="str">
        <x:v>withheld</x:v>
      </x:c>
      <x:c r="F10" s="28" t="str">
        <x:v>not_applicable</x:v>
      </x:c>
      <x:c r="G10" s="28" t="str">
        <x:v>direct_hardware</x:v>
      </x:c>
      <x:c r="H10" s="28" t="str">
        <x:v>PV_FOUNDATION</x:v>
      </x:c>
      <x:c r="I10" s="28" t="str">
        <x:v>tropical_cyclone_wind</x:v>
      </x:c>
      <x:c r="J10" s="28" t="str">
        <x:v>withheld</x:v>
      </x:c>
      <x:c r="K10" s="28" t="str">
        <x:v>false</x:v>
      </x:c>
      <x:c r="L10" s="28" t="str">
        <x:v>Separate foundation response and value.</x:v>
      </x:c>
      <x:c r="M10" s="28" t="str">
        <x:v>Do not inherit visible module DR.</x:v>
      </x:c>
      <x:c r="N10" s="28" t="str">
        <x:v>withheld</x:v>
      </x:c>
      <x:c r="O10" s="28" t="str">
        <x:v>No runtime curve.</x:v>
      </x:c>
    </x:row>
    <x:row r="11">
      <x:c r="A11" s="28" t="str">
        <x:v>WITHHELD</x:v>
      </x:c>
      <x:c r="B11" s="28" t="str">
        <x:v>none</x:v>
      </x:c>
      <x:c r="C11" s="28" t="str">
        <x:v>PV_POWER_CONVERSION_AND_COLLECTION</x:v>
      </x:c>
      <x:c r="D11" s="28" t="str">
        <x:v>Inverters, combiners, cables, and collection</x:v>
      </x:c>
      <x:c r="E11" s="28" t="str">
        <x:v>withheld</x:v>
      </x:c>
      <x:c r="F11" s="28" t="str">
        <x:v>not_applicable</x:v>
      </x:c>
      <x:c r="G11" s="28" t="str">
        <x:v>direct_hardware</x:v>
      </x:c>
      <x:c r="H11" s="28" t="str">
        <x:v>PV_POWER_CONVERSION_AND_COLLECTION</x:v>
      </x:c>
      <x:c r="I11" s="28" t="str">
        <x:v>tropical_cyclone_wind</x:v>
      </x:c>
      <x:c r="J11" s="28" t="str">
        <x:v>withheld</x:v>
      </x:c>
      <x:c r="K11" s="28" t="str">
        <x:v>false</x:v>
      </x:c>
      <x:c r="L11" s="28" t="str">
        <x:v>Split point, line, and network units.</x:v>
      </x:c>
      <x:c r="M11" s="28" t="str">
        <x:v>Do not inherit visible module DR.</x:v>
      </x:c>
      <x:c r="N11" s="28" t="str">
        <x:v>withheld</x:v>
      </x:c>
      <x:c r="O11" s="28" t="str">
        <x:v>No runtime curve.</x:v>
      </x:c>
    </x:row>
    <x:row r="12">
      <x:c r="A12" s="28" t="str">
        <x:v>WITHHELD</x:v>
      </x:c>
      <x:c r="B12" s="28" t="str">
        <x:v>none</x:v>
      </x:c>
      <x:c r="C12" s="28" t="str">
        <x:v>PV_GSU_SUBSTATION</x:v>
      </x:c>
      <x:c r="D12" s="28" t="str">
        <x:v>GSU transformer, switchyard, protection, and controls</x:v>
      </x:c>
      <x:c r="E12" s="28" t="str">
        <x:v>withheld</x:v>
      </x:c>
      <x:c r="F12" s="28" t="str">
        <x:v>not_applicable</x:v>
      </x:c>
      <x:c r="G12" s="28" t="str">
        <x:v>direct_hardware</x:v>
      </x:c>
      <x:c r="H12" s="28" t="str">
        <x:v>PV_GSU_SUBSTATION</x:v>
      </x:c>
      <x:c r="I12" s="28" t="str">
        <x:v>tropical_cyclone_wind</x:v>
      </x:c>
      <x:c r="J12" s="28" t="str">
        <x:v>withheld</x:v>
      </x:c>
      <x:c r="K12" s="28" t="str">
        <x:v>false</x:v>
      </x:c>
      <x:c r="L12" s="28" t="str">
        <x:v>Use shared anatomy but cell-local wind evidence, exposure, value, and release.</x:v>
      </x:c>
      <x:c r="M12" s="28" t="str">
        <x:v>Do not inherit flood, wind-farm, or array response.</x:v>
      </x:c>
      <x:c r="N12" s="28" t="str">
        <x:v>withheld</x:v>
      </x:c>
      <x:c r="O12" s="28" t="str">
        <x:v>Facility-level shared subasset.</x:v>
      </x:c>
    </x:row>
    <x:row r="13">
      <x:c r="A13" s="28" t="str">
        <x:v>WITHHELD</x:v>
      </x:c>
      <x:c r="B13" s="28" t="str">
        <x:v>none</x:v>
      </x:c>
      <x:c r="C13" s="28" t="str">
        <x:v>PV_SCADA_COMMUNICATIONS</x:v>
      </x:c>
      <x:c r="D13" s="28" t="str">
        <x:v>SCADA and communications</x:v>
      </x:c>
      <x:c r="E13" s="28" t="str">
        <x:v>withheld</x:v>
      </x:c>
      <x:c r="F13" s="28" t="str">
        <x:v>not_applicable</x:v>
      </x:c>
      <x:c r="G13" s="28" t="str">
        <x:v>direct_hardware</x:v>
      </x:c>
      <x:c r="H13" s="28" t="str">
        <x:v>PV_SCADA_COMMUNICATIONS</x:v>
      </x:c>
      <x:c r="I13" s="28" t="str">
        <x:v>tropical_cyclone_wind</x:v>
      </x:c>
      <x:c r="J13" s="28" t="str">
        <x:v>withheld</x:v>
      </x:c>
      <x:c r="K13" s="28" t="str">
        <x:v>false</x:v>
      </x:c>
      <x:c r="L13" s="28" t="str">
        <x:v>Require separate mechanism and value.</x:v>
      </x:c>
      <x:c r="M13" s="28" t="str">
        <x:v>Do not inherit visible module DR.</x:v>
      </x:c>
      <x:c r="N13" s="28" t="str">
        <x:v>withheld</x:v>
      </x:c>
      <x:c r="O13" s="28" t="str">
        <x:v>No runtime curve.</x:v>
      </x:c>
    </x:row>
    <x:row r="14">
      <x:c r="A14" s="28" t="str">
        <x:v>WITHHELD</x:v>
      </x:c>
      <x:c r="B14" s="28" t="str">
        <x:v>none</x:v>
      </x:c>
      <x:c r="C14" s="28" t="str">
        <x:v>PV_CIVIL_INFRA</x:v>
      </x:c>
      <x:c r="D14" s="28" t="str">
        <x:v>Roads, fences, drainage, and buildings</x:v>
      </x:c>
      <x:c r="E14" s="28" t="str">
        <x:v>withheld</x:v>
      </x:c>
      <x:c r="F14" s="28" t="str">
        <x:v>not_applicable</x:v>
      </x:c>
      <x:c r="G14" s="28" t="str">
        <x:v>direct_hardware</x:v>
      </x:c>
      <x:c r="H14" s="28" t="str">
        <x:v>PV_CIVIL_INFRA</x:v>
      </x:c>
      <x:c r="I14" s="28" t="str">
        <x:v>tropical_cyclone_wind</x:v>
      </x:c>
      <x:c r="J14" s="28" t="str">
        <x:v>withheld</x:v>
      </x:c>
      <x:c r="K14" s="28" t="str">
        <x:v>false</x:v>
      </x:c>
      <x:c r="L14" s="28" t="str">
        <x:v>Split subjects and pathways.</x:v>
      </x:c>
      <x:c r="M14" s="28" t="str">
        <x:v>Do not inherit visible module DR.</x:v>
      </x:c>
      <x:c r="N14" s="28" t="str">
        <x:v>withheld</x:v>
      </x:c>
      <x:c r="O14" s="28" t="str">
        <x:v>Mixed bucket.</x:v>
      </x:c>
    </x:row>
    <x:row r="15">
      <x:c r="A15" s="30" t="str">
        <x:v>WITHHELD</x:v>
      </x:c>
      <x:c r="B15" s="30" t="str">
        <x:v>none</x:v>
      </x:c>
      <x:c r="C15" s="30" t="str">
        <x:v>PV_REPLACEMENT_SUPPORT</x:v>
      </x:c>
      <x:c r="D15" s="30" t="str">
        <x:v>Removal, reinstall, field labor, freight, and logistics</x:v>
      </x:c>
      <x:c r="E15" s="30" t="str">
        <x:v>withheld</x:v>
      </x:c>
      <x:c r="F15" s="30" t="str">
        <x:v>not_applicable</x:v>
      </x:c>
      <x:c r="G15" s="30" t="str">
        <x:v>support_cost</x:v>
      </x:c>
      <x:c r="H15" s="30" t="str">
        <x:v>PV_REPLACEMENT_SUPPORT</x:v>
      </x:c>
      <x:c r="I15" s="30" t="str">
        <x:v>tropical_cyclone_wind</x:v>
      </x:c>
      <x:c r="J15" s="30" t="str">
        <x:v>withheld</x:v>
      </x:c>
      <x:c r="K15" s="30" t="str">
        <x:v>false</x:v>
      </x:c>
      <x:c r="L15" s="30" t="str">
        <x:v>Allocate once only after qualified disposition.</x:v>
      </x:c>
      <x:c r="M15" s="30" t="str">
        <x:v>Never embed support in the material proxy and add it again.</x:v>
      </x:c>
      <x:c r="N15" s="30" t="str">
        <x:v>withheld</x:v>
      </x:c>
      <x:c r="O15" s="30" t="str">
        <x:v>No independent fragility.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96" hidden="0" customWidth="1"/>
    <x:col min="4" max="4" width="20" hidden="0" customWidth="1"/>
    <x:col min="5" max="5" width="22" hidden="0" customWidth="1"/>
    <x:col min="6" max="6" width="54" hidden="0" customWidth="1"/>
    <x:col min="7" max="7" width="22" hidden="0" customWidth="1"/>
    <x:col min="8" max="8" width="20" hidden="0" customWidth="1"/>
  </x:cols>
  <x:sheetData>
    <x:row r="1" ht="26" customHeight="1">
      <x:c r="A1" s="2" t="str">
        <x:v>Known-answer and fail-closed test inventory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The Python validator executes every listed formula, rejection, and withheld-unit fixture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Test ID</x:v>
      </x:c>
      <x:c r="B4" s="14" t="str">
        <x:v>Class</x:v>
      </x:c>
      <x:c r="C4" s="14" t="str">
        <x:v>Input / mutation</x:v>
      </x:c>
      <x:c r="D4" s="14" t="str">
        <x:v>Expected status</x:v>
      </x:c>
      <x:c r="E4" s="14" t="str">
        <x:v>Expected DR</x:v>
      </x:c>
      <x:c r="F4" s="14" t="str">
        <x:v>Curve / reason</x:v>
      </x:c>
      <x:c r="G4" s="15" t="str">
        <x:v>Execution</x:v>
      </x:c>
      <x:c r="H4" s="61" t="str">
        <x:v>Row complete?</x:v>
      </x:c>
    </x:row>
    <x:row r="5">
      <x:c r="A5" s="27" t="str">
        <x:v>TCWS_KNOT_MIN</x:v>
      </x:c>
      <x:c r="B5" s="27" t="str">
        <x:v>formula</x:v>
      </x:c>
      <x:c r="C5" s="27" t="str">
        <x:v>{"pathway_id":"tropical_cyclone_wind","failure_unit_id":"PV_PERRY_GROUND_FIXED_VISIBLE_MODULE_HARDWARE_SOURCE_UNIT","array_architecture_id":"PERRY_GROUND_NONTRACKING_SOURCE_COHORT_V1","source_population_match_id":"PERRY_MANUAL_GROUND_NONTRACKING_MIXED_SCALE_V1","module_value_distribution_assumption_id":"UNIFORM_MODULE_HARDWARE_VALUE","visible_damage_disposition_assumption_id":"FULL_REPLACEMENT_IF_VISIBLE_OR_MISSING","source_wind_product_id":"PERRY_DATASET_REPORTED_EVENT_MAX_GUST","causal_scope_acknowledgement_id":"SOURCE_COMPOSITE_HURRICANE_MODULE_LOSS","perry_event_max_gust_mps":17.4}</x:v>
      </x:c>
      <x:c r="D5" s="27" t="str">
        <x:v>conditional</x:v>
      </x:c>
      <x:c r="E5" s="27" t="n">
        <x:v>0</x:v>
      </x:c>
      <x:c r="F5" s="27" t="str">
        <x:v>TCWS_PERRY_GROUND_FIXED_VISIBLE_REPLACEMENT_PROXY_V1</x:v>
      </x:c>
      <x:c r="G5" s="27" t="str">
        <x:v>executed externally</x:v>
      </x:c>
      <x:c r="H5" s="27" t="str">
        <x:f>IF(AND(A5&lt;&gt;"",D5&lt;&gt;"",F5&lt;&gt;""),"PASS","FAIL")</x:f>
        <x:v>PASS</x:v>
      </x:c>
    </x:row>
    <x:row r="6">
      <x:c r="A6" s="28" t="str">
        <x:v>TCWS_KNOT_B03</x:v>
      </x:c>
      <x:c r="B6" s="28" t="str">
        <x:v>formula</x:v>
      </x:c>
      <x:c r="C6" s="28" t="str">
        <x:v>{"pathway_id":"tropical_cyclone_wind","failure_unit_id":"PV_PERRY_GROUND_FIXED_VISIBLE_MODULE_HARDWARE_SOURCE_UNIT","array_architecture_id":"PERRY_GROUND_NONTRACKING_SOURCE_COHORT_V1","source_population_match_id":"PERRY_MANUAL_GROUND_NONTRACKING_MIXED_SCALE_V1","module_value_distribution_assumption_id":"UNIFORM_MODULE_HARDWARE_VALUE","visible_damage_disposition_assumption_id":"FULL_REPLACEMENT_IF_VISIBLE_OR_MISSING","source_wind_product_id":"PERRY_DATASET_REPORTED_EVENT_MAX_GUST","causal_scope_acknowledgement_id":"SOURCE_COMPOSITE_HURRICANE_MODULE_LOSS","perry_event_max_gust_mps":24.6}</x:v>
      </x:c>
      <x:c r="D6" s="28" t="str">
        <x:v>conditional</x:v>
      </x:c>
      <x:c r="E6" s="28" t="n">
        <x:v>0.00027276656</x:v>
      </x:c>
      <x:c r="F6" s="28" t="str">
        <x:v>TCWS_PERRY_GROUND_FIXED_VISIBLE_REPLACEMENT_PROXY_V1</x:v>
      </x:c>
      <x:c r="G6" s="28" t="str">
        <x:v>executed externally</x:v>
      </x:c>
      <x:c r="H6" s="28" t="str">
        <x:f>IF(AND(A6&lt;&gt;"",D6&lt;&gt;"",F6&lt;&gt;""),"PASS","FAIL")</x:f>
        <x:v>PASS</x:v>
      </x:c>
    </x:row>
    <x:row r="7">
      <x:c r="A7" s="28" t="str">
        <x:v>TCWS_KNOT_B05</x:v>
      </x:c>
      <x:c r="B7" s="28" t="str">
        <x:v>formula</x:v>
      </x:c>
      <x:c r="C7" s="28" t="str">
        <x:v>{"pathway_id":"tropical_cyclone_wind","failure_unit_id":"PV_PERRY_GROUND_FIXED_VISIBLE_MODULE_HARDWARE_SOURCE_UNIT","array_architecture_id":"PERRY_GROUND_NONTRACKING_SOURCE_COHORT_V1","source_population_match_id":"PERRY_MANUAL_GROUND_NONTRACKING_MIXED_SCALE_V1","module_value_distribution_assumption_id":"UNIFORM_MODULE_HARDWARE_VALUE","visible_damage_disposition_assumption_id":"FULL_REPLACEMENT_IF_VISIBLE_OR_MISSING","source_wind_product_id":"PERRY_DATASET_REPORTED_EVENT_MAX_GUST","causal_scope_acknowledgement_id":"SOURCE_COMPOSITE_HURRICANE_MODULE_LOSS","perry_event_max_gust_mps":29.5}</x:v>
      </x:c>
      <x:c r="D7" s="28" t="str">
        <x:v>conditional</x:v>
      </x:c>
      <x:c r="E7" s="28" t="n">
        <x:v>0.001853190692857</x:v>
      </x:c>
      <x:c r="F7" s="28" t="str">
        <x:v>TCWS_PERRY_GROUND_FIXED_VISIBLE_REPLACEMENT_PROXY_V1</x:v>
      </x:c>
      <x:c r="G7" s="28" t="str">
        <x:v>executed externally</x:v>
      </x:c>
      <x:c r="H7" s="28" t="str">
        <x:f>IF(AND(A7&lt;&gt;"",D7&lt;&gt;"",F7&lt;&gt;""),"PASS","FAIL")</x:f>
        <x:v>PASS</x:v>
      </x:c>
    </x:row>
    <x:row r="8">
      <x:c r="A8" s="28" t="str">
        <x:v>TCWS_KNOT_MAX</x:v>
      </x:c>
      <x:c r="B8" s="28" t="str">
        <x:v>formula</x:v>
      </x:c>
      <x:c r="C8" s="28" t="str">
        <x:v>{"pathway_id":"tropical_cyclone_wind","failure_unit_id":"PV_PERRY_GROUND_FIXED_VISIBLE_MODULE_HARDWARE_SOURCE_UNIT","array_architecture_id":"PERRY_GROUND_NONTRACKING_SOURCE_COHORT_V1","source_population_match_id":"PERRY_MANUAL_GROUND_NONTRACKING_MIXED_SCALE_V1","module_value_distribution_assumption_id":"UNIFORM_MODULE_HARDWARE_VALUE","visible_damage_disposition_assumption_id":"FULL_REPLACEMENT_IF_VISIBLE_OR_MISSING","source_wind_product_id":"PERRY_DATASET_REPORTED_EVENT_MAX_GUST","causal_scope_acknowledgement_id":"SOURCE_COMPOSITE_HURRICANE_MODULE_LOSS","perry_event_max_gust_mps":39.1}</x:v>
      </x:c>
      <x:c r="D8" s="28" t="str">
        <x:v>conditional</x:v>
      </x:c>
      <x:c r="E8" s="28" t="n">
        <x:v>0.0182729376325</x:v>
      </x:c>
      <x:c r="F8" s="28" t="str">
        <x:v>TCWS_PERRY_GROUND_FIXED_VISIBLE_REPLACEMENT_PROXY_V1</x:v>
      </x:c>
      <x:c r="G8" s="28" t="str">
        <x:v>executed externally</x:v>
      </x:c>
      <x:c r="H8" s="28" t="str">
        <x:f>IF(AND(A8&lt;&gt;"",D8&lt;&gt;"",F8&lt;&gt;""),"PASS","FAIL")</x:f>
        <x:v>PASS</x:v>
      </x:c>
    </x:row>
    <x:row r="9">
      <x:c r="A9" s="28" t="str">
        <x:v>TCWS_INTERPOLATE_19P5</x:v>
      </x:c>
      <x:c r="B9" s="28" t="str">
        <x:v>formula</x:v>
      </x:c>
      <x:c r="C9" s="28" t="str">
        <x:v>{"pathway_id":"tropical_cyclone_wind","failure_unit_id":"PV_PERRY_GROUND_FIXED_VISIBLE_MODULE_HARDWARE_SOURCE_UNIT","array_architecture_id":"PERRY_GROUND_NONTRACKING_SOURCE_COHORT_V1","source_population_match_id":"PERRY_MANUAL_GROUND_NONTRACKING_MIXED_SCALE_V1","module_value_distribution_assumption_id":"UNIFORM_MODULE_HARDWARE_VALUE","visible_damage_disposition_assumption_id":"FULL_REPLACEMENT_IF_VISIBLE_OR_MISSING","source_wind_product_id":"PERRY_DATASET_REPORTED_EVENT_MAX_GUST","causal_scope_acknowledgement_id":"SOURCE_COMPOSITE_HURRICANE_MODULE_LOSS","perry_event_max_gust_mps":19.5}</x:v>
      </x:c>
      <x:c r="D9" s="28" t="str">
        <x:v>conditional</x:v>
      </x:c>
      <x:c r="E9" s="28" t="n">
        <x:v>0.00013638328</x:v>
      </x:c>
      <x:c r="F9" s="28" t="str">
        <x:v>TCWS_PERRY_GROUND_FIXED_VISIBLE_REPLACEMENT_PROXY_V1</x:v>
      </x:c>
      <x:c r="G9" s="28" t="str">
        <x:v>executed externally</x:v>
      </x:c>
      <x:c r="H9" s="28" t="str">
        <x:f>IF(AND(A9&lt;&gt;"",D9&lt;&gt;"",F9&lt;&gt;""),"PASS","FAIL")</x:f>
        <x:v>PASS</x:v>
      </x:c>
    </x:row>
    <x:row r="10">
      <x:c r="A10" s="28" t="str">
        <x:v>TCWS_INTERPOLATE_24P7</x:v>
      </x:c>
      <x:c r="B10" s="28" t="str">
        <x:v>formula</x:v>
      </x:c>
      <x:c r="C10" s="28" t="str">
        <x:v>{"pathway_id":"tropical_cyclone_wind","failure_unit_id":"PV_PERRY_GROUND_FIXED_VISIBLE_MODULE_HARDWARE_SOURCE_UNIT","array_architecture_id":"PERRY_GROUND_NONTRACKING_SOURCE_COHORT_V1","source_population_match_id":"PERRY_MANUAL_GROUND_NONTRACKING_MIXED_SCALE_V1","module_value_distribution_assumption_id":"UNIFORM_MODULE_HARDWARE_VALUE","visible_damage_disposition_assumption_id":"FULL_REPLACEMENT_IF_VISIBLE_OR_MISSING","source_wind_product_id":"PERRY_DATASET_REPORTED_EVENT_MAX_GUST","causal_scope_acknowledgement_id":"SOURCE_COMPOSITE_HURRICANE_MODULE_LOSS","perry_event_max_gust_mps":24.7}</x:v>
      </x:c>
      <x:c r="D10" s="28" t="str">
        <x:v>conditional</x:v>
      </x:c>
      <x:c r="E10" s="28" t="n">
        <x:v>0.0006139711975</x:v>
      </x:c>
      <x:c r="F10" s="28" t="str">
        <x:v>TCWS_PERRY_GROUND_FIXED_VISIBLE_REPLACEMENT_PROXY_V1</x:v>
      </x:c>
      <x:c r="G10" s="28" t="str">
        <x:v>executed externally</x:v>
      </x:c>
      <x:c r="H10" s="28" t="str">
        <x:f>IF(AND(A10&lt;&gt;"",D10&lt;&gt;"",F10&lt;&gt;""),"PASS","FAIL")</x:f>
        <x:v>PASS</x:v>
      </x:c>
    </x:row>
    <x:row r="11">
      <x:c r="A11" s="28" t="str">
        <x:v>TCWS_INTERPOLATE_30P75</x:v>
      </x:c>
      <x:c r="B11" s="28" t="str">
        <x:v>formula</x:v>
      </x:c>
      <x:c r="C11" s="28" t="str">
        <x:v>{"pathway_id":"tropical_cyclone_wind","failure_unit_id":"PV_PERRY_GROUND_FIXED_VISIBLE_MODULE_HARDWARE_SOURCE_UNIT","array_architecture_id":"PERRY_GROUND_NONTRACKING_SOURCE_COHORT_V1","source_population_match_id":"PERRY_MANUAL_GROUND_NONTRACKING_MIXED_SCALE_V1","module_value_distribution_assumption_id":"UNIFORM_MODULE_HARDWARE_VALUE","visible_damage_disposition_assumption_id":"FULL_REPLACEMENT_IF_VISIBLE_OR_MISSING","source_wind_product_id":"PERRY_DATASET_REPORTED_EVENT_MAX_GUST","causal_scope_acknowledgement_id":"SOURCE_COMPOSITE_HURRICANE_MODULE_LOSS","perry_event_max_gust_mps":30.75}</x:v>
      </x:c>
      <x:c r="D11" s="28" t="str">
        <x:v>conditional</x:v>
      </x:c>
      <x:c r="E11" s="28" t="n">
        <x:v>0.0042346619775</x:v>
      </x:c>
      <x:c r="F11" s="28" t="str">
        <x:v>TCWS_PERRY_GROUND_FIXED_VISIBLE_REPLACEMENT_PROXY_V1</x:v>
      </x:c>
      <x:c r="G11" s="28" t="str">
        <x:v>executed externally</x:v>
      </x:c>
      <x:c r="H11" s="28" t="str">
        <x:f>IF(AND(A11&lt;&gt;"",D11&lt;&gt;"",F11&lt;&gt;""),"PASS","FAIL")</x:f>
        <x:v>PASS</x:v>
      </x:c>
    </x:row>
    <x:row r="12">
      <x:c r="A12" s="28" t="str">
        <x:v>TCWS_INTERPOLATE_38P4</x:v>
      </x:c>
      <x:c r="B12" s="28" t="str">
        <x:v>formula</x:v>
      </x:c>
      <x:c r="C12" s="28" t="str">
        <x:v>{"pathway_id":"tropical_cyclone_wind","failure_unit_id":"PV_PERRY_GROUND_FIXED_VISIBLE_MODULE_HARDWARE_SOURCE_UNIT","array_architecture_id":"PERRY_GROUND_NONTRACKING_SOURCE_COHORT_V1","source_population_match_id":"PERRY_MANUAL_GROUND_NONTRACKING_MIXED_SCALE_V1","module_value_distribution_assumption_id":"UNIFORM_MODULE_HARDWARE_VALUE","visible_damage_disposition_assumption_id":"FULL_REPLACEMENT_IF_VISIBLE_OR_MISSING","source_wind_product_id":"PERRY_DATASET_REPORTED_EVENT_MAX_GUST","causal_scope_acknowledgement_id":"SOURCE_COMPOSITE_HURRICANE_MODULE_LOSS","perry_event_max_gust_mps":38.4}</x:v>
      </x:c>
      <x:c r="D12" s="28" t="str">
        <x:v>conditional</x:v>
      </x:c>
      <x:c r="E12" s="28" t="n">
        <x:v>0.01134374284125</x:v>
      </x:c>
      <x:c r="F12" s="28" t="str">
        <x:v>TCWS_PERRY_GROUND_FIXED_VISIBLE_REPLACEMENT_PROXY_V1</x:v>
      </x:c>
      <x:c r="G12" s="28" t="str">
        <x:v>executed externally</x:v>
      </x:c>
      <x:c r="H12" s="28" t="str">
        <x:f>IF(AND(A12&lt;&gt;"",D12&lt;&gt;"",F12&lt;&gt;""),"PASS","FAIL")</x:f>
        <x:v>PASS</x:v>
      </x:c>
    </x:row>
    <x:row r="13">
      <x:c r="A13" s="28" t="str">
        <x:v>TCWS_BELOW_RANGE</x:v>
      </x:c>
      <x:c r="B13" s="28" t="str">
        <x:v>rejection</x:v>
      </x:c>
      <x:c r="C13" s="28" t="str">
        <x:v>{"perry_event_max_gust_mps":17.3999}</x:v>
      </x:c>
      <x:c r="D13" s="28" t="str">
        <x:v>rejected</x:v>
      </x:c>
      <x:c r="E13" s="28" t="str">
        <x:v>null</x:v>
      </x:c>
      <x:c r="F13" s="28" t="str">
        <x:v>AXIS_OUTSIDE_VALID_RANGE</x:v>
      </x:c>
      <x:c r="G13" s="28" t="str">
        <x:v>executed externally</x:v>
      </x:c>
      <x:c r="H13" s="28" t="str">
        <x:f>IF(AND(A13&lt;&gt;"",D13&lt;&gt;"",F13&lt;&gt;""),"PASS","FAIL")</x:f>
        <x:v>PASS</x:v>
      </x:c>
    </x:row>
    <x:row r="14">
      <x:c r="A14" s="28" t="str">
        <x:v>TCWS_ABOVE_RANGE</x:v>
      </x:c>
      <x:c r="B14" s="28" t="str">
        <x:v>rejection</x:v>
      </x:c>
      <x:c r="C14" s="28" t="str">
        <x:v>{"perry_event_max_gust_mps":39.1001}</x:v>
      </x:c>
      <x:c r="D14" s="28" t="str">
        <x:v>rejected</x:v>
      </x:c>
      <x:c r="E14" s="28" t="str">
        <x:v>null</x:v>
      </x:c>
      <x:c r="F14" s="28" t="str">
        <x:v>AXIS_OUTSIDE_VALID_RANGE</x:v>
      </x:c>
      <x:c r="G14" s="28" t="str">
        <x:v>executed externally</x:v>
      </x:c>
      <x:c r="H14" s="28" t="str">
        <x:f>IF(AND(A14&lt;&gt;"",D14&lt;&gt;"",F14&lt;&gt;""),"PASS","FAIL")</x:f>
        <x:v>PASS</x:v>
      </x:c>
    </x:row>
    <x:row r="15">
      <x:c r="A15" s="28" t="str">
        <x:v>TCWS_SPARSE_TAIL_REJECTED</x:v>
      </x:c>
      <x:c r="B15" s="28" t="str">
        <x:v>rejection</x:v>
      </x:c>
      <x:c r="C15" s="28" t="str">
        <x:v>{"perry_event_max_gust_mps":48.2}</x:v>
      </x:c>
      <x:c r="D15" s="28" t="str">
        <x:v>rejected</x:v>
      </x:c>
      <x:c r="E15" s="28" t="str">
        <x:v>null</x:v>
      </x:c>
      <x:c r="F15" s="28" t="str">
        <x:v>AXIS_OUTSIDE_VALID_RANGE</x:v>
      </x:c>
      <x:c r="G15" s="28" t="str">
        <x:v>executed externally</x:v>
      </x:c>
      <x:c r="H15" s="28" t="str">
        <x:f>IF(AND(A15&lt;&gt;"",D15&lt;&gt;"",F15&lt;&gt;""),"PASS","FAIL")</x:f>
        <x:v>PASS</x:v>
      </x:c>
    </x:row>
    <x:row r="16">
      <x:c r="A16" s="28" t="str">
        <x:v>TCWS_TRACKER_REJECTED</x:v>
      </x:c>
      <x:c r="B16" s="28" t="str">
        <x:v>rejection</x:v>
      </x:c>
      <x:c r="C16" s="28" t="str">
        <x:v>{"array_architecture_id":"single_axis_tracker"}</x:v>
      </x:c>
      <x:c r="D16" s="28" t="str">
        <x:v>rejected</x:v>
      </x:c>
      <x:c r="E16" s="28" t="str">
        <x:v>null</x:v>
      </x:c>
      <x:c r="F16" s="28" t="str">
        <x:v>SELECTOR_MISMATCH</x:v>
      </x:c>
      <x:c r="G16" s="28" t="str">
        <x:v>executed externally</x:v>
      </x:c>
      <x:c r="H16" s="28" t="str">
        <x:f>IF(AND(A16&lt;&gt;"",D16&lt;&gt;"",F16&lt;&gt;""),"PASS","FAIL")</x:f>
        <x:v>PASS</x:v>
      </x:c>
    </x:row>
    <x:row r="17">
      <x:c r="A17" s="28" t="str">
        <x:v>TCWS_WRONG_WIND_PRODUCT_REJECTED</x:v>
      </x:c>
      <x:c r="B17" s="28" t="str">
        <x:v>rejection</x:v>
      </x:c>
      <x:c r="C17" s="28" t="str">
        <x:v>{"source_wind_product_id":"NHC_MAX_SUSTAINED_WIND"}</x:v>
      </x:c>
      <x:c r="D17" s="28" t="str">
        <x:v>rejected</x:v>
      </x:c>
      <x:c r="E17" s="28" t="str">
        <x:v>null</x:v>
      </x:c>
      <x:c r="F17" s="28" t="str">
        <x:v>SELECTOR_MISMATCH</x:v>
      </x:c>
      <x:c r="G17" s="28" t="str">
        <x:v>executed externally</x:v>
      </x:c>
      <x:c r="H17" s="28" t="str">
        <x:f>IF(AND(A17&lt;&gt;"",D17&lt;&gt;"",F17&lt;&gt;""),"PASS","FAIL")</x:f>
        <x:v>PASS</x:v>
      </x:c>
    </x:row>
    <x:row r="18">
      <x:c r="A18" s="28" t="str">
        <x:v>TCWS_MISSING_ECONOMIC_BRIDGE_REJECTED</x:v>
      </x:c>
      <x:c r="B18" s="28" t="str">
        <x:v>rejection</x:v>
      </x:c>
      <x:c r="C18" s="28" t="str">
        <x:v>{"remove_field":"module_value_distribution_assumption_id"}</x:v>
      </x:c>
      <x:c r="D18" s="28" t="str">
        <x:v>rejected</x:v>
      </x:c>
      <x:c r="E18" s="28" t="str">
        <x:v>null</x:v>
      </x:c>
      <x:c r="F18" s="28" t="str">
        <x:v>SELECTOR_REQUIRED</x:v>
      </x:c>
      <x:c r="G18" s="28" t="str">
        <x:v>executed externally</x:v>
      </x:c>
      <x:c r="H18" s="28" t="str">
        <x:f>IF(AND(A18&lt;&gt;"",D18&lt;&gt;"",F18&lt;&gt;""),"PASS","FAIL")</x:f>
        <x:v>PASS</x:v>
      </x:c>
    </x:row>
    <x:row r="19">
      <x:c r="A19" s="28" t="str">
        <x:v>TCWS_EXTRA_EXPOSURE_REJECTED</x:v>
      </x:c>
      <x:c r="B19" s="28" t="str">
        <x:v>rejection</x:v>
      </x:c>
      <x:c r="C19" s="28" t="str">
        <x:v>{"at_risk_fraction":0.5}</x:v>
      </x:c>
      <x:c r="D19" s="28" t="str">
        <x:v>rejected</x:v>
      </x:c>
      <x:c r="E19" s="28" t="str">
        <x:v>null</x:v>
      </x:c>
      <x:c r="F19" s="28" t="str">
        <x:v>EXTRA_EXPOSURE_FRACTION_PROHIBITED</x:v>
      </x:c>
      <x:c r="G19" s="28" t="str">
        <x:v>executed externally</x:v>
      </x:c>
      <x:c r="H19" s="28" t="str">
        <x:f>IF(AND(A19&lt;&gt;"",D19&lt;&gt;"",F19&lt;&gt;""),"PASS","FAIL")</x:f>
        <x:v>PASS</x:v>
      </x:c>
    </x:row>
    <x:row r="20">
      <x:c r="A20" s="28" t="str">
        <x:v>TCWS_VALUE_INPUT_REJECTED</x:v>
      </x:c>
      <x:c r="B20" s="28" t="str">
        <x:v>rejection</x:v>
      </x:c>
      <x:c r="C20" s="28" t="str">
        <x:v>{"direct_replacement_value_usd":1000000}</x:v>
      </x:c>
      <x:c r="D20" s="28" t="str">
        <x:v>rejected</x:v>
      </x:c>
      <x:c r="E20" s="28" t="str">
        <x:v>null</x:v>
      </x:c>
      <x:c r="F20" s="28" t="str">
        <x:v>SCENARIO_LOSS_WITHHELD_NONCANONICAL_PROPOSAL</x:v>
      </x:c>
      <x:c r="G20" s="28" t="str">
        <x:v>executed externally</x:v>
      </x:c>
      <x:c r="H20" s="28" t="str">
        <x:f>IF(AND(A20&lt;&gt;"",D20&lt;&gt;"",F20&lt;&gt;""),"PASS","FAIL")</x:f>
        <x:v>PASS</x:v>
      </x:c>
    </x:row>
    <x:row r="21">
      <x:c r="A21" s="28" t="str">
        <x:v>TCWS_WRONG_PATHWAY_REJECTED</x:v>
      </x:c>
      <x:c r="B21" s="28" t="str">
        <x:v>rejection</x:v>
      </x:c>
      <x:c r="C21" s="28" t="str">
        <x:v>{"pathway_id":"strong_wind"}</x:v>
      </x:c>
      <x:c r="D21" s="28" t="str">
        <x:v>rejected</x:v>
      </x:c>
      <x:c r="E21" s="28" t="str">
        <x:v>null</x:v>
      </x:c>
      <x:c r="F21" s="28" t="str">
        <x:v>UNSUPPORTED_PATHWAY_ID</x:v>
      </x:c>
      <x:c r="G21" s="28" t="str">
        <x:v>executed externally</x:v>
      </x:c>
      <x:c r="H21" s="28" t="str">
        <x:f>IF(AND(A21&lt;&gt;"",D21&lt;&gt;"",F21&lt;&gt;""),"PASS","FAIL")</x:f>
        <x:v>PASS</x:v>
      </x:c>
    </x:row>
    <x:row r="22">
      <x:c r="A22" s="28" t="str">
        <x:v>TCWS_GENERIC_MODULE_WITHHELD</x:v>
      </x:c>
      <x:c r="B22" s="28" t="str">
        <x:v>withheld_unit</x:v>
      </x:c>
      <x:c r="C22" s="28" t="str">
        <x:v>PV_FIXED_TILT_MODULE_FIELD</x:v>
      </x:c>
      <x:c r="D22" s="28" t="str">
        <x:v>withheld</x:v>
      </x:c>
      <x:c r="E22" s="28" t="str">
        <x:v>null</x:v>
      </x:c>
      <x:c r="F22" s="28" t="str">
        <x:v>SOURCE_SPECIFIC_ATOM_NOT_GENERIC_MODULE_FIELD</x:v>
      </x:c>
      <x:c r="G22" s="28" t="str">
        <x:v>executed externally</x:v>
      </x:c>
      <x:c r="H22" s="28" t="str">
        <x:f>IF(AND(A22&lt;&gt;"",D22&lt;&gt;"",F22&lt;&gt;""),"PASS","FAIL")</x:f>
        <x:v>PASS</x:v>
      </x:c>
    </x:row>
    <x:row r="23">
      <x:c r="A23" s="28" t="str">
        <x:v>TCWS_TRACKER_MODULE_WITHHELD</x:v>
      </x:c>
      <x:c r="B23" s="28" t="str">
        <x:v>withheld_unit</x:v>
      </x:c>
      <x:c r="C23" s="28" t="str">
        <x:v>PV_TRACKER_MODULE_FIELD</x:v>
      </x:c>
      <x:c r="D23" s="28" t="str">
        <x:v>withheld</x:v>
      </x:c>
      <x:c r="E23" s="28" t="str">
        <x:v>null</x:v>
      </x:c>
      <x:c r="F23" s="28" t="str">
        <x:v>TRACKER_POPULATION_NOT_SUPPORTED</x:v>
      </x:c>
      <x:c r="G23" s="28" t="str">
        <x:v>executed externally</x:v>
      </x:c>
      <x:c r="H23" s="28" t="str">
        <x:f>IF(AND(A23&lt;&gt;"",D23&lt;&gt;"",F23&lt;&gt;""),"PASS","FAIL")</x:f>
        <x:v>PASS</x:v>
      </x:c>
    </x:row>
    <x:row r="24">
      <x:c r="A24" s="28" t="str">
        <x:v>TCWS_SUPPORT_WITHHELD</x:v>
      </x:c>
      <x:c r="B24" s="28" t="str">
        <x:v>withheld_unit</x:v>
      </x:c>
      <x:c r="C24" s="28" t="str">
        <x:v>PV_FIXED_TILT_SUPPORT_STRUCTURE</x:v>
      </x:c>
      <x:c r="D24" s="28" t="str">
        <x:v>withheld</x:v>
      </x:c>
      <x:c r="E24" s="28" t="str">
        <x:v>null</x:v>
      </x:c>
      <x:c r="F24" s="28" t="str">
        <x:v>NO_RUNTIME_CURVE_FOR_PATHWAY_UNIT</x:v>
      </x:c>
      <x:c r="G24" s="28" t="str">
        <x:v>executed externally</x:v>
      </x:c>
      <x:c r="H24" s="28" t="str">
        <x:f>IF(AND(A24&lt;&gt;"",D24&lt;&gt;"",F24&lt;&gt;""),"PASS","FAIL")</x:f>
        <x:v>PASS</x:v>
      </x:c>
    </x:row>
    <x:row r="25">
      <x:c r="A25" s="30" t="str">
        <x:v>TCWS_GSU_WITHHELD</x:v>
      </x:c>
      <x:c r="B25" s="30" t="str">
        <x:v>withheld_unit</x:v>
      </x:c>
      <x:c r="C25" s="30" t="str">
        <x:v>PV_GSU_SUBSTATION</x:v>
      </x:c>
      <x:c r="D25" s="30" t="str">
        <x:v>withheld</x:v>
      </x:c>
      <x:c r="E25" s="30" t="str">
        <x:v>null</x:v>
      </x:c>
      <x:c r="F25" s="30" t="str">
        <x:v>FACILITY_LEVEL_SHARED_SUBASSET_REQUIRES_CELL_LOCAL_BINDING</x:v>
      </x:c>
      <x:c r="G25" s="30" t="str">
        <x:v>executed externally</x:v>
      </x:c>
      <x:c r="H25" s="30" t="str">
        <x:f>IF(AND(A25&lt;&gt;"",D25&lt;&gt;"",F25&lt;&gt;""),"PASS","FAIL")</x:f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6" hidden="0" customWidth="1"/>
    <x:col min="3" max="3" width="64" hidden="0" customWidth="1"/>
    <x:col min="4" max="4" width="56" hidden="0" customWidth="1"/>
    <x:col min="5" max="5" width="30" hidden="0" customWidth="1"/>
    <x:col min="6" max="6" width="36" hidden="0" customWidth="1"/>
    <x:col min="7" max="7" width="58" hidden="0" customWidth="1"/>
    <x:col min="8" max="8" width="62" hidden="0" customWidth="1"/>
    <x:col min="9" max="9" width="62" hidden="0" customWidth="1"/>
    <x:col min="10" max="10" width="28" hidden="0" customWidth="1"/>
    <x:col min="11" max="11" width="22" hidden="0" customWidth="1"/>
    <x:col min="12" max="12" width="50" hidden="0" customWidth="1"/>
  </x:cols>
  <x:sheetData>
    <x:row r="1" ht="26" customHeight="1">
      <x:c r="A1" s="2" t="str">
        <x:v>Source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4" t="str">
        <x:v>Every source has a locator plus permitted and prohibited inference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3" t="str">
        <x:v>Source ID</x:v>
      </x:c>
      <x:c r="B4" s="14" t="str">
        <x:v>Citation</x:v>
      </x:c>
      <x:c r="C4" s="14" t="str">
        <x:v>URL/path</x:v>
      </x:c>
      <x:c r="D4" s="14" t="str">
        <x:v>Locator</x:v>
      </x:c>
      <x:c r="E4" s="14" t="str">
        <x:v>Role</x:v>
      </x:c>
      <x:c r="F4" s="14" t="str">
        <x:v>Tier</x:v>
      </x:c>
      <x:c r="G4" s="14" t="str">
        <x:v>Endpoint</x:v>
      </x:c>
      <x:c r="H4" s="14" t="str">
        <x:v>Permitted</x:v>
      </x:c>
      <x:c r="I4" s="14" t="str">
        <x:v>Prohibited</x:v>
      </x:c>
      <x:c r="J4" s="14" t="str">
        <x:v>Decision</x:v>
      </x:c>
      <x:c r="K4" s="14" t="str">
        <x:v>Status</x:v>
      </x:c>
      <x:c r="L4" s="15" t="str">
        <x:v>Notes</x:v>
      </x:c>
    </x:row>
    <x:row r="5">
      <x:c r="A5" s="27" t="str">
        <x:v>TCWS-S001</x:v>
      </x:c>
      <x:c r="B5" s="27" t="str">
        <x:v>NOAA/National Hurricane Center. Glossary of NHC Terms: Maximum Sustained Surface Wind.</x:v>
      </x:c>
      <x:c r="C5" s="27" t="str">
        <x:v>https://www.nhc.noaa.gov/aboutgloss.shtml</x:v>
      </x:c>
      <x:c r="D5" s="27" t="str">
        <x:v>entry: Maximum Sustained Surface Wind</x:v>
      </x:c>
      <x:c r="E5" s="27" t="str">
        <x:v>axis_boundary</x:v>
      </x:c>
      <x:c r="F5" s="27" t="str">
        <x:v>T2_public_lab_standard_or_physics</x:v>
      </x:c>
      <x:c r="G5" s="27" t="str">
        <x:v>one-minute wind at 10 m in unobstructed exposure</x:v>
      </x:c>
      <x:c r="H5" s="27" t="str">
        <x:v>Demonstrate that NHC sustained wind is not the Perry dataset gust field.</x:v>
      </x:c>
      <x:c r="I5" s="27" t="str">
        <x:v>Alias NHC sustained wind to the Perry axis or apply an undocumented gust bridge.</x:v>
      </x:c>
      <x:c r="J5" s="27" t="str">
        <x:v>adopt_with_limits</x:v>
      </x:c>
      <x:c r="K5" s="27" t="str">
        <x:v>reviewed</x:v>
      </x:c>
      <x:c r="L5" s="27" t="str">
        <x:v>No numeric parameter is transferred.</x:v>
      </x:c>
    </x:row>
    <x:row r="6">
      <x:c r="A6" s="28" t="str">
        <x:v>TCWS-S002</x:v>
      </x:c>
      <x:c r="B6" s="28" t="str">
        <x:v>Ceferino, L.; Lin, N.; Xi, D. Bayesian updating of solar panel fragility curves and implications of higher panel strength for solar generation resilience. Reliability Engineering &amp; System Safety 229, 108896 (2023). DOI 10.1016/j.ress.2022.108896.</x:v>
      </x:c>
      <x:c r="C6" s="28" t="str">
        <x:v>https://par.nsf.gov/servlets/purl/10481168</x:v>
      </x:c>
      <x:c r="D6" s="28" t="str">
        <x:v>Section 2.1; Eq. 1; supplementary site table</x:v>
      </x:c>
      <x:c r="E6" s="28" t="str">
        <x:v>audit_comparator</x:v>
      </x:c>
      <x:c r="F6" s="28" t="str">
        <x:v>T1_claims_or_field_calibrated</x:v>
      </x:c>
      <x:c r="G6" s="28" t="str">
        <x:v>site-level probability of extensive clip or racking failure</x:v>
      </x:c>
      <x:c r="H6" s="28" t="str">
        <x:v>Use as an audit comparator for tropical-cyclone solar damage occurrence.</x:v>
      </x:c>
      <x:c r="I6" s="28" t="str">
        <x:v>Convert probability of a composite extensive-failure state to module economic DR.</x:v>
      </x:c>
      <x:c r="J6" s="28" t="str">
        <x:v>audit_only</x:v>
      </x:c>
      <x:c r="K6" s="28" t="str">
        <x:v>reviewed</x:v>
      </x:c>
      <x:c r="L6" s="28" t="str">
        <x:v>Not used in the v1 fitted curve.</x:v>
      </x:c>
    </x:row>
    <x:row r="7">
      <x:c r="A7" s="28" t="str">
        <x:v>TCWS-S003</x:v>
      </x:c>
      <x:c r="B7" s="28" t="str">
        <x:v>Perry, K.; Jordan, D. C.; Nguyen, Q. Assessing the Impacts of Extreme Weather Events on Photovoltaic Installations Using Remote Sensing Imagery. Progress in Photovoltaics 33(9), 1012-1023 (2025). DOI 10.1002/pip.70001; NREL/JA-5K00-92873.</x:v>
      </x:c>
      <x:c r="C7" s="28" t="str">
        <x:v>https://www.osti.gov/pages/biblio/2574727</x:v>
      </x:c>
      <x:c r="D7" s="28" t="str">
        <x:v>Sections 2.1 and 2.4; Section 3.1; Figures 4-5; Table 2</x:v>
      </x:c>
      <x:c r="E7" s="28" t="str">
        <x:v>endpoint_and_population_context</x:v>
      </x:c>
      <x:c r="F7" s="28" t="str">
        <x:v>T1_claims_or_field_calibrated</x:v>
      </x:c>
      <x:c r="G7" s="28" t="str">
        <x:v>visible PV damage fractions after hurricanes joined to third-party gust estimates</x:v>
      </x:c>
      <x:c r="H7" s="28" t="str">
        <x:v>Support the source-native visible-module endpoint and dataset method with all stated limits.</x:v>
      </x:c>
      <x:c r="I7" s="28" t="str">
        <x:v>Infer hidden damage, fixed-versus-tracker population fragility, repair cost, or whole-site loss.</x:v>
      </x:c>
      <x:c r="J7" s="28" t="str">
        <x:v>adopt_with_limits</x:v>
      </x:c>
      <x:c r="K7" s="28" t="str">
        <x:v>reviewed</x:v>
      </x:c>
      <x:c r="L7" s="28" t="str">
        <x:v>The DOI dataset supplies the row-level fields used by the proposal.</x:v>
      </x:c>
    </x:row>
    <x:row r="8">
      <x:c r="A8" s="28" t="str">
        <x:v>TCWS-S005</x:v>
      </x:c>
      <x:c r="B8" s="28" t="str">
        <x:v>ASCE/SEI 7-22. Minimum Design Loads and Associated Criteria for Buildings and Other Structures.</x:v>
      </x:c>
      <x:c r="C8" s="28" t="str">
        <x:v>https://www.asce.org/publications-and-news/asce-7/</x:v>
      </x:c>
      <x:c r="D8" s="28" t="str">
        <x:v>wind definitions and ground-mounted PV provisions</x:v>
      </x:c>
      <x:c r="E8" s="28" t="str">
        <x:v>axis_and_design_boundary</x:v>
      </x:c>
      <x:c r="F8" s="28" t="str">
        <x:v>T2_public_lab_standard_or_physics</x:v>
      </x:c>
      <x:c r="G8" s="28" t="str">
        <x:v>design wind and demand definitions</x:v>
      </x:c>
      <x:c r="H8" s="28" t="str">
        <x:v>Require an explicit bridge before any ASCE design wind enters this source-native curve.</x:v>
      </x:c>
      <x:c r="I8" s="28" t="str">
        <x:v>Treat design wind as observed event gust or failure capacity.</x:v>
      </x:c>
      <x:c r="J8" s="28" t="str">
        <x:v>adopt_with_limits</x:v>
      </x:c>
      <x:c r="K8" s="28" t="str">
        <x:v>reviewed</x:v>
      </x:c>
      <x:c r="L8" s="28" t="str">
        <x:v>No licensed normative text or numeric coefficient is copied.</x:v>
      </x:c>
    </x:row>
    <x:row r="9">
      <x:c r="A9" s="28" t="str">
        <x:v>TCWS-S006</x:v>
      </x:c>
      <x:c r="B9" s="28" t="str">
        <x:v>FM. Property Loss Prevention Data Sheet 7-106: Ground-Mounted Solar Photovoltaic Power (April 2026).</x:v>
      </x:c>
      <x:c r="C9" s="28" t="str">
        <x:v>https://www.fm.com/-/media/project/publicwebsites/fmglobal/documentum-new/data-sheet-individual/07-hazards/fmds07106.pdf</x:v>
      </x:c>
      <x:c r="D9" s="28" t="str">
        <x:v>Sections 2.1.2.1-2.1.2.4 and 3.1.1-3.1.2</x:v>
      </x:c>
      <x:c r="E9" s="28" t="str">
        <x:v>architecture_boundary</x:v>
      </x:c>
      <x:c r="F9" s="28" t="str">
        <x:v>T2_public_lab_standard_or_physics</x:v>
      </x:c>
      <x:c r="G9" s="28" t="str">
        <x:v>distinct fixed-tilt and tracker qualification and control considerations</x:v>
      </x:c>
      <x:c r="H9" s="28" t="str">
        <x:v>Keep tracker and fixed-tilt routes separate.</x:v>
      </x:c>
      <x:c r="I9" s="28" t="str">
        <x:v>Apply the proposed fixed-tilt source-cohort curve to trackers or infer a stow credit.</x:v>
      </x:c>
      <x:c r="J9" s="28" t="str">
        <x:v>adopt_with_limits</x:v>
      </x:c>
      <x:c r="K9" s="28" t="str">
        <x:v>reviewed</x:v>
      </x:c>
      <x:c r="L9" s="28" t="str">
        <x:v>No FM threshold becomes a damage ordinate.</x:v>
      </x:c>
    </x:row>
    <x:row r="10">
      <x:c r="A10" s="28" t="str">
        <x:v>TCWS-S013</x:v>
      </x:c>
      <x:c r="B10" s="28" t="str">
        <x:v>NLR. U.S. Solar Photovoltaic System and Energy Storage Cost Benchmark: Q1 2025.</x:v>
      </x:c>
      <x:c r="C10" s="28" t="str">
        <x:v>https://www.nrel.gov/docs/libraries/solar/2025-us-solar-photovoltaic-system-and-energy-storage-cost-benchmarks-with-minimum-sustainable-price-analysis-q1-2025.pdf</x:v>
      </x:c>
      <x:c r="D10" s="28" t="str">
        <x:v>utility-scale PV module hardware benchmark as mapped in docs/method/value_basis/solar_wind_value_breakdown.xlsx</x:v>
      </x:c>
      <x:c r="E10" s="28" t="str">
        <x:v>value_anatomy_only</x:v>
      </x:c>
      <x:c r="F10" s="28" t="str">
        <x:v>T2_public_lab_standard_or_physics</x:v>
      </x:c>
      <x:c r="G10" s="28" t="str">
        <x:v>reference module hardware value anatomy</x:v>
      </x:c>
      <x:c r="H10" s="28" t="str">
        <x:v>Reconcile module hardware as a separate value bucket.</x:v>
      </x:c>
      <x:c r="I10" s="28" t="str">
        <x:v>Use a benchmark as an unobserved site value or multiply the curve by full plant TIV.</x:v>
      </x:c>
      <x:c r="J10" s="28" t="str">
        <x:v>adopt_with_limits</x:v>
      </x:c>
      <x:c r="K10" s="28" t="str">
        <x:v>reviewed</x:v>
      </x:c>
      <x:c r="L10" s="28" t="str">
        <x:v>Scenario loss remains withheld in this noncanonical proposal.</x:v>
      </x:c>
    </x:row>
    <x:row r="11">
      <x:c r="A11" s="28" t="str">
        <x:v>TCWS-S020</x:v>
      </x:c>
      <x:c r="B11" s="28" t="str">
        <x:v>NLR/NREL. Satellite Imagery of PV Site Storm Damage. Dataset DOI 10.21948/2562917 (2025).</x:v>
      </x:c>
      <x:c r="C11" s="28" t="str">
        <x:v>https://www.osti.gov/biblio/2562917</x:v>
      </x:c>
      <x:c r="D11" s="28" t="str">
        <x:v>manual CSV file id f6eb09a0-4a12-4ef8-b2d9-8aa9e70f4008; columns mounting_type, tracking, max_wind_gust_(m/s), pct_modules_damaged (%); SHA256 edb34e74cc078bba1fdbe34463abadc794fd416caa66eb64ac3d0ed176ac5e00; aggregated CSV file id f5355652-f2e1-4bdb-8ff2-3623ce15a1d4; cross-method audit lines 7, 74, 242, 257; SHA256 c1ab48731f875142c571efcfd6323d7e048b35b2d2525418e25e6fefb3487062</x:v>
      </x:c>
      <x:c r="E11" s="28" t="str">
        <x:v>curve_fit_shape</x:v>
      </x:c>
      <x:c r="F11" s="28" t="str">
        <x:v>T1_claims_or_field_calibrated</x:v>
      </x:c>
      <x:c r="G11" s="28" t="str">
        <x:v>47 manually labeled sites; 37 ground; 35 ground non-tracking; percent visibly damaged module area and event maximum gust</x:v>
      </x:c>
      <x:c r="H11" s="28" t="str">
        <x:v>Filter ground plus tracking false; convert percent to fraction; fit an unweighted monotone source-cohort screening relationship. Use the four pinned aggregate rows only for the governed apparent-coordinate cross-method audit.</x:v>
      </x:c>
      <x:c r="I11" s="28" t="str">
        <x:v>Claim utility-scale representativeness, local 3-second gust semantics, causal purity, hidden damage, disposition, or repair cost from the raw fields. Treat coordinate proximity as an authoritative identity join.</x:v>
      </x:c>
      <x:c r="J11" s="28" t="str">
        <x:v>adopt_with_limits</x:v>
      </x:c>
      <x:c r="K11" s="28" t="str">
        <x:v>reviewed</x:v>
      </x:c>
      <x:c r="L11" s="28" t="str">
        <x:v>Raw files are not redistributed because repository metadata states no license; DOI, file IDs, schemas, and hashes are pinned. The manual CSV alone enters the PAVA fit; aggregate rows are audit-only and never enter runtime fitting.</x:v>
      </x:c>
    </x:row>
    <x:row r="12">
      <x:c r="A12" s="28" t="str">
        <x:v>TCWS-S021</x:v>
      </x:c>
      <x:c r="B12" s="28" t="str">
        <x:v>NLR/NREL. Extreme Weather Data Description, file in Satellite Imagery of PV Site Storm Damage dataset DOI 10.21948/2562917.</x:v>
      </x:c>
      <x:c r="C12" s="28" t="str">
        <x:v>https://www.osti.gov/biblio/2562917</x:v>
      </x:c>
      <x:c r="D12" s="28" t="str">
        <x:v>data-description PDF file id f3736640-1433-42f6-bd0b-3e2bf9b2951e; pp. 1-2; SHA256 852ff0128c99e188127a3d789ab217f55c98dba4952db590e07c140bf45219d5</x:v>
      </x:c>
      <x:c r="E12" s="28" t="str">
        <x:v>endpoint_definition</x:v>
      </x:c>
      <x:c r="F12" s="28" t="str">
        <x:v>T1_claims_or_field_calibrated</x:v>
      </x:c>
      <x:c r="G12" s="28" t="str">
        <x:v>manual site/damage polygons and aggregate percentage of modules blown away; Visual Crossing is documented for the aggregate Irma/Maria weather map but full manual-cohort weather-provider semantics remain unresolved</x:v>
      </x:c>
      <x:c r="H12" s="28" t="str">
        <x:v>Define the observed physical fraction while preserving unresolved full-cohort weather-product lineage.</x:v>
      </x:c>
      <x:c r="I12" s="28" t="str">
        <x:v>Invent gust provider, station, averaging period, height, exposure standard, module disposition, or economic denominator for the full manual cohort.</x:v>
      </x:c>
      <x:c r="J12" s="28" t="str">
        <x:v>adopt_with_limits</x:v>
      </x:c>
      <x:c r="K12" s="28" t="str">
        <x:v>reviewed</x:v>
      </x:c>
      <x:c r="L12" s="28" t="str">
        <x:v>The manual and aggregate methods differ; the runtime fit uses only the manual CSV.</x:v>
      </x:c>
    </x:row>
    <x:row r="13">
      <x:c r="A13" s="28" t="str">
        <x:v>TCWS-S022</x:v>
      </x:c>
      <x:c r="B13" s="28" t="str">
        <x:v>Ceferino, L.; Lin, N.; Xi, D. Supplementary Information to Bayesian Updating of Solar Panel Fragility Curves and Implications of Higher Panel Strength for Solar Generation Resilience (2023).</x:v>
      </x:c>
      <x:c r="C13" s="28" t="str">
        <x:v>https://ars.els-cdn.com/content/image/1-s2.0-S0951832022005117-mmc1.docx</x:v>
      </x:c>
      <x:c r="D13" s="28" t="str">
        <x:v>Supplementary Table 2 p. 4; SHA256 6a9e9f36e8e13ae2d9ea266258608a031fe6489bd31155f27b784f1ac7e06756</x:v>
      </x:c>
      <x:c r="E13" s="28" t="str">
        <x:v>cross_source_endpoint_audit</x:v>
      </x:c>
      <x:c r="F13" s="28" t="str">
        <x:v>T1_claims_or_field_calibrated</x:v>
      </x:c>
      <x:c r="G13" s="28" t="str">
        <x:v>approximate percent of panels damaged at 14 Caribbean ground-mounted sites based mainly on reports and websites with visual satellite verification</x:v>
      </x:c>
      <x:c r="H13" s="28" t="str">
        <x:v>Use as a cross-method same-event and same-site endpoint discrepancy and uncertainty challenge.</x:v>
      </x:c>
      <x:c r="I13" s="28" t="str">
        <x:v>Pool with Perry, treat the approximate values as same-method or independent labels, or convert them to repair cost.</x:v>
      </x:c>
      <x:c r="J13" s="28" t="str">
        <x:v>audit_only</x:v>
      </x:c>
      <x:c r="K13" s="28" t="str">
        <x:v>reviewed</x:v>
      </x:c>
      <x:c r="L13" s="28" t="str">
        <x:v>Matched-site values differ materially from Perry; the evidence is correlated by site/event and the supplement carries no paired site-level source gust table or same-unit cost.</x:v>
      </x:c>
    </x:row>
    <x:row r="14">
      <x:c r="A14" s="30" t="str">
        <x:v>GOVERNANCE_CONTRACT</x:v>
      </x:c>
      <x:c r="B14" s="30" t="str">
        <x:v>InfraSure damage-modeling foundations, cell-package, evidence, versioning, and capability standards.</x:v>
      </x:c>
      <x:c r="C14" s="30" t="str">
        <x:v>docs/method/standards/02_cell_package_standard.md</x:v>
      </x:c>
      <x:c r="D14" s="30" t="str">
        <x:v>docs/method/standards and docs/contracts/standards</x:v>
      </x:c>
      <x:c r="E14" s="30" t="str">
        <x:v>method_and_release_governance</x:v>
      </x:c>
      <x:c r="F14" s="30" t="str">
        <x:v>T4_placeholder_or_expert_judgment</x:v>
      </x:c>
      <x:c r="G14" s="30" t="str">
        <x:v>rules for failure-unit atom alignment, provenance, withholding, versioning, and noncanonical release</x:v>
      </x:c>
      <x:c r="H14" s="30" t="str">
        <x:v>Govern explicit screening assumptions and fail-closed scope.</x:v>
      </x:c>
      <x:c r="I14" s="30" t="str">
        <x:v>Treat governance as empirical evidence or use it to fill a missing physical parameter.</x:v>
      </x:c>
      <x:c r="J14" s="30" t="str">
        <x:v>adopt</x:v>
      </x:c>
      <x:c r="K14" s="30" t="str">
        <x:v>current</x:v>
      </x:c>
      <x:c r="L14" s="30" t="str">
        <x:v>Pseudo-source ID resolves governance decisions; it is not scientific evidence.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26" hidden="0" customWidth="1"/>
    <x:col min="4" max="4" width="32" hidden="0" customWidth="1"/>
    <x:col min="5" max="5" width="48" hidden="0" customWidth="1"/>
    <x:col min="6" max="6" width="36" hidden="0" customWidth="1"/>
    <x:col min="7" max="7" width="42" hidden="0" customWidth="1"/>
    <x:col min="8" max="8" width="26" hidden="0" customWidth="1"/>
    <x:col min="9" max="9" width="62" hidden="0" customWidth="1"/>
    <x:col min="10" max="10" width="62" hidden="0" customWidth="1"/>
    <x:col min="11" max="11" width="62" hidden="0" customWidth="1"/>
    <x:col min="12" max="12" width="50" hidden="0" customWidth="1"/>
  </x:cols>
  <x:sheetData>
    <x:row r="1" ht="26" customHeight="1">
      <x:c r="A1" s="2" t="str">
        <x:v>Claim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4" t="str">
        <x:v>No load-bearing claim may outrun its source; the strict-gate dissent is retained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3" t="str">
        <x:v>Claim ID</x:v>
      </x:c>
      <x:c r="B4" s="14" t="str">
        <x:v>Claim</x:v>
      </x:c>
      <x:c r="C4" s="14" t="str">
        <x:v>Type</x:v>
      </x:c>
      <x:c r="D4" s="14" t="str">
        <x:v>Source IDs</x:v>
      </x:c>
      <x:c r="E4" s="14" t="str">
        <x:v>Locator</x:v>
      </x:c>
      <x:c r="F4" s="14" t="str">
        <x:v>Tier</x:v>
      </x:c>
      <x:c r="G4" s="14" t="str">
        <x:v>Rule</x:v>
      </x:c>
      <x:c r="H4" s="14" t="str">
        <x:v>Status</x:v>
      </x:c>
      <x:c r="I4" s="14" t="str">
        <x:v>Permitted</x:v>
      </x:c>
      <x:c r="J4" s="14" t="str">
        <x:v>Prohibited</x:v>
      </x:c>
      <x:c r="K4" s="14" t="str">
        <x:v>Reasoning</x:v>
      </x:c>
      <x:c r="L4" s="15" t="str">
        <x:v>Update trigger</x:v>
      </x:c>
    </x:row>
    <x:row r="5">
      <x:c r="A5" s="27" t="str">
        <x:v>TCWS-C101</x:v>
      </x:c>
      <x:c r="B5" s="27" t="str">
        <x:v>The Perry manual dataset contains 47 records, including 37 ground-mounted and 35 ground-mounted records explicitly marked tracking false.</x:v>
      </x:c>
      <x:c r="C5" s="27" t="str">
        <x:v>direct_observation</x:v>
      </x:c>
      <x:c r="D5" s="27" t="str">
        <x:v>TCWS-S020</x:v>
      </x:c>
      <x:c r="E5" s="27" t="str">
        <x:v>manual CSV filter counts pinned to source SHA</x:v>
      </x:c>
      <x:c r="F5" s="27" t="str">
        <x:v>T1_claims_or_field_calibrated</x:v>
      </x:c>
      <x:c r="G5" s="27" t="str">
        <x:v>source_cohort_count</x:v>
      </x:c>
      <x:c r="H5" s="27" t="str">
        <x:v>adopt</x:v>
      </x:c>
      <x:c r="I5" s="27" t="str">
        <x:v>Freeze the exact source-cohort selection.</x:v>
      </x:c>
      <x:c r="J5" s="27" t="str">
        <x:v>Call all 35 records utility-scale or representative of a named modern fleet.</x:v>
      </x:c>
      <x:c r="K5" s="27" t="str">
        <x:v>System size is missing for part of the cohort and the source does not declare one target utility archetype.</x:v>
      </x:c>
      <x:c r="L5" s="27" t="str">
        <x:v>A licensed revised source file or corrected schema changes the counts.</x:v>
      </x:c>
    </x:row>
    <x:row r="6">
      <x:c r="A6" s="28" t="str">
        <x:v>TCWS-C102</x:v>
      </x:c>
      <x:c r="B6" s="28" t="str">
        <x:v>The manual endpoint is percent modules visibly damaged based on post-event imagery and labeled site/damage polygons.</x:v>
      </x:c>
      <x:c r="C6" s="28" t="str">
        <x:v>direct_observation</x:v>
      </x:c>
      <x:c r="D6" s="28" t="str">
        <x:v>TCWS-S003;TCWS-S020;TCWS-S021</x:v>
      </x:c>
      <x:c r="E6" s="28" t="str">
        <x:v>paper method and data-description pp. 1-2</x:v>
      </x:c>
      <x:c r="F6" s="28" t="str">
        <x:v>T1_claims_or_field_calibrated</x:v>
      </x:c>
      <x:c r="G6" s="28" t="str">
        <x:v>source_response_endpoint</x:v>
      </x:c>
      <x:c r="H6" s="28" t="str">
        <x:v>adopt_with_limits</x:v>
      </x:c>
      <x:c r="I6" s="28" t="str">
        <x:v>Use the visible module fraction as a graded physical response.</x:v>
      </x:c>
      <x:c r="J6" s="28" t="str">
        <x:v>Infer hidden electrical or structural damage, disposition, labor, or whole-site cost.</x:v>
      </x:c>
      <x:c r="K6" s="28" t="str">
        <x:v>Remote sensing observes exterior visible damage only.</x:v>
      </x:c>
      <x:c r="L6" s="28" t="str">
        <x:v>A source revision adds inspected disposition and same-unit cost.</x:v>
      </x:c>
    </x:row>
    <x:row r="7">
      <x:c r="A7" s="28" t="str">
        <x:v>TCWS-C103</x:v>
      </x:c>
      <x:c r="B7" s="28" t="str">
        <x:v>Under uniform per-module hardware value and full replacement of every visible or missing module, visible module fraction equals a same-unit module-hardware material replacement proxy DR.</x:v>
      </x:c>
      <x:c r="C7" s="28" t="str">
        <x:v>governance_assumption</x:v>
      </x:c>
      <x:c r="D7" s="28" t="str">
        <x:v>TCWS-S020;TCWS-S021;GOVERNANCE_CONTRACT</x:v>
      </x:c>
      <x:c r="E7" s="28" t="str">
        <x:v>v1 ordinate bridge derivation</x:v>
      </x:c>
      <x:c r="F7" s="28" t="str">
        <x:v>T4_placeholder_or_expert_judgment</x:v>
      </x:c>
      <x:c r="G7" s="28" t="str">
        <x:v>uniform_value_and_full_replacement_bridge</x:v>
      </x:c>
      <x:c r="H7" s="28" t="str">
        <x:v>adopt_with_limits</x:v>
      </x:c>
      <x:c r="I7" s="28" t="str">
        <x:v>Emit a source-specific module-hardware screening DR only when both assumptions are explicitly acknowledged.</x:v>
      </x:c>
      <x:c r="J7" s="28" t="str">
        <x:v>Describe the result as observed economic loss, claims-calibrated DR, installed replacement cost, or full module-field all-damage DR.</x:v>
      </x:c>
      <x:c r="K7" s="28" t="str">
        <x:v>The physical numerator and denominator align only because the two economic bridge assumptions are imposed.</x:v>
      </x:c>
      <x:c r="L7" s="28" t="str">
        <x:v>Disposition or module-level value evidence replaces either assumption.</x:v>
      </x:c>
    </x:row>
    <x:row r="8">
      <x:c r="A8" s="28" t="str">
        <x:v>TCWS-C104</x:v>
      </x:c>
      <x:c r="B8" s="28" t="str">
        <x:v>The source x field is the dataset-reported event maximum gust in m/s; provider, station, height, averaging period, exposure, and query semantics are not pinned for the full manual multi-hurricane cohort.</x:v>
      </x:c>
      <x:c r="C8" s="28" t="str">
        <x:v>direct_observation</x:v>
      </x:c>
      <x:c r="D8" s="28" t="str">
        <x:v>TCWS-S020;TCWS-S021</x:v>
      </x:c>
      <x:c r="E8" s="28" t="str">
        <x:v>manual CSV max_wind_gust_(m/s) and data-description weather notes</x:v>
      </x:c>
      <x:c r="F8" s="28" t="str">
        <x:v>T1_claims_or_field_calibrated</x:v>
      </x:c>
      <x:c r="G8" s="28" t="str">
        <x:v>hazard_axis</x:v>
      </x:c>
      <x:c r="H8" s="28" t="str">
        <x:v>adopt_with_limits</x:v>
      </x:c>
      <x:c r="I8" s="28" t="str">
        <x:v>Require the exact dataset-reported axis identifier.</x:v>
      </x:c>
      <x:c r="J8" s="28" t="str">
        <x:v>Alias NHC sustained wind, ASCE 3-second gust, array-height wind, Visual Crossing generally, or another gust product.</x:v>
      </x:c>
      <x:c r="K8" s="28" t="str">
        <x:v>A numeric gust without complete source semantics is not universally transferable.</x:v>
      </x:c>
      <x:c r="L8" s="28" t="str">
        <x:v>The archive publishes exact full-cohort weather-query semantics or an approved bridge is validated.</x:v>
      </x:c>
    </x:row>
    <x:row r="9">
      <x:c r="A9" s="28" t="str">
        <x:v>TCWS-C105</x:v>
      </x:c>
      <x:c r="B9" s="28" t="str">
        <x:v>The runtime fit uses 34 source-cohort records from 17.4 through 39.1 m/s.</x:v>
      </x:c>
      <x:c r="C9" s="28" t="str">
        <x:v>derived_result</x:v>
      </x:c>
      <x:c r="D9" s="28" t="str">
        <x:v>TCWS-S020;GOVERNANCE_CONTRACT</x:v>
      </x:c>
      <x:c r="E9" s="28" t="str">
        <x:v>ground and tracking=false; x&lt;=39.1 filter</x:v>
      </x:c>
      <x:c r="F9" s="28" t="str">
        <x:v>T3_engineering_proxy_or_adjacent_empirical</x:v>
      </x:c>
      <x:c r="G9" s="28" t="str">
        <x:v>fit_population_and_range</x:v>
      </x:c>
      <x:c r="H9" s="28" t="str">
        <x:v>adopt</x:v>
      </x:c>
      <x:c r="I9" s="28" t="str">
        <x:v>Evaluate only inside the governed source-bounded range.</x:v>
      </x:c>
      <x:c r="J9" s="28" t="str">
        <x:v>Extrapolate below 17.4 or above 39.1 m/s.</x:v>
      </x:c>
      <x:c r="K9" s="28" t="str">
        <x:v>The next observed point is a lone severe-tail record separated by a 9.1 m/s gap.</x:v>
      </x:c>
      <x:c r="L9" s="28" t="str">
        <x:v>A sufficiently populated tail dataset supports a revised range.</x:v>
      </x:c>
    </x:row>
    <x:row r="10">
      <x:c r="A10" s="28" t="str">
        <x:v>TCWS-C106</x:v>
      </x:c>
      <x:c r="B10" s="28" t="str">
        <x:v>The one 48.2 m/s source-cohort record has visible damage fraction 0.4142383192 and is audit-only.</x:v>
      </x:c>
      <x:c r="C10" s="28" t="str">
        <x:v>direct_observation</x:v>
      </x:c>
      <x:c r="D10" s="28" t="str">
        <x:v>TCWS-S020</x:v>
      </x:c>
      <x:c r="E10" s="28" t="str">
        <x:v>manual CSV source cohort sparse-tail record</x:v>
      </x:c>
      <x:c r="F10" s="28" t="str">
        <x:v>T1_claims_or_field_calibrated</x:v>
      </x:c>
      <x:c r="G10" s="28" t="str">
        <x:v>sparse_tail_audit</x:v>
      </x:c>
      <x:c r="H10" s="28" t="str">
        <x:v>withhold_runtime</x:v>
      </x:c>
      <x:c r="I10" s="28" t="str">
        <x:v>Retain the point in evidence QA and tail-influence discussion.</x:v>
      </x:c>
      <x:c r="J10" s="28" t="str">
        <x:v>Use it as a runtime knot or interpolate the 39.1-48.2 m/s gap.</x:v>
      </x:c>
      <x:c r="K10" s="28" t="str">
        <x:v>One clustered observation cannot stabilize the severe tail.</x:v>
      </x:c>
      <x:c r="L10" s="28" t="str">
        <x:v>Additional architecture-matched observations close the gap and tail.</x:v>
      </x:c>
    </x:row>
    <x:row r="11">
      <x:c r="A11" s="28" t="str">
        <x:v>TCWS-C107</x:v>
      </x:c>
      <x:c r="B11" s="28" t="str">
        <x:v>The runtime curve is an unweighted site-level monotone PAVA fit linearized at pooled-block edges.</x:v>
      </x:c>
      <x:c r="C11" s="28" t="str">
        <x:v>method_decision</x:v>
      </x:c>
      <x:c r="D11" s="28" t="str">
        <x:v>TCWS-S020;GOVERNANCE_CONTRACT</x:v>
      </x:c>
      <x:c r="E11" s="28" t="str">
        <x:v>FIT_SUFFICIENT_STATISTICS and derivation script</x:v>
      </x:c>
      <x:c r="F11" s="28" t="str">
        <x:v>T3_engineering_proxy_or_adjacent_empirical</x:v>
      </x:c>
      <x:c r="G11" s="28" t="str">
        <x:v>fit_method</x:v>
      </x:c>
      <x:c r="H11" s="28" t="str">
        <x:v>adopt_with_limits</x:v>
      </x:c>
      <x:c r="I11" s="28" t="str">
        <x:v>Reproduce deterministic nondecreasing block means and linear interpolation between recorded edges.</x:v>
      </x:c>
      <x:c r="J11" s="28" t="str">
        <x:v>Claim a source-published curve, iid confidence interval, claims calibration, or causal parametric fragility.</x:v>
      </x:c>
      <x:c r="K11" s="28" t="str">
        <x:v>Site weighting avoids inventing module counts; monotonic pooling is transparent for sparse zero-inflated observations.</x:v>
      </x:c>
      <x:c r="L11" s="28" t="str">
        <x:v>A reviewed cluster-aware predictive method supersedes the screening fit.</x:v>
      </x:c>
    </x:row>
    <x:row r="12">
      <x:c r="A12" s="28" t="str">
        <x:v>TCWS-C108</x:v>
      </x:c>
      <x:c r="B12" s="28" t="str">
        <x:v>No curve-intrinsic uncertainty distribution is carried.</x:v>
      </x:c>
      <x:c r="C12" s="28" t="str">
        <x:v>governance_decision</x:v>
      </x:c>
      <x:c r="D12" s="28" t="str">
        <x:v>TCWS-S020;GOVERNANCE_CONTRACT</x:v>
      </x:c>
      <x:c r="E12" s="28" t="str">
        <x:v>FIT_EVENT_SENSITIVITY_tropical_cyclone_wind_solar__model_v1_0__docs_r1.csv</x:v>
      </x:c>
      <x:c r="F12" s="28" t="str">
        <x:v>T4_placeholder_or_expert_judgment</x:v>
      </x:c>
      <x:c r="G12" s="28" t="str">
        <x:v>uncertainty_status</x:v>
      </x:c>
      <x:c r="H12" s="28" t="str">
        <x:v>withhold</x:v>
      </x:c>
      <x:c r="I12" s="28" t="str">
        <x:v>Flag event clustering and fit sensitivity.</x:v>
      </x:c>
      <x:c r="J12" s="28" t="str">
        <x:v>Treat row count as iid evidence or construct unsupported confidence bands.</x:v>
      </x:c>
      <x:c r="K12" s="28" t="str">
        <x:v>Events and sites are clustered; leave-Maria-out reduces the highest fitted block by about 5.41 times and the severe tail is sparse.</x:v>
      </x:c>
      <x:c r="L12" s="28" t="str">
        <x:v>A hierarchical event-aware uncertainty model passes review.</x:v>
      </x:c>
    </x:row>
    <x:row r="13">
      <x:c r="A13" s="28" t="str">
        <x:v>TCWS-C109</x:v>
      </x:c>
      <x:c r="B13" s="28" t="str">
        <x:v>The observed site fraction already contains realized spatial extent and must not be multiplied by a second array exposure fraction.</x:v>
      </x:c>
      <x:c r="C13" s="28" t="str">
        <x:v>governance_decision</x:v>
      </x:c>
      <x:c r="D13" s="28" t="str">
        <x:v>TCWS-S003;TCWS-S020;TCWS-S021</x:v>
      </x:c>
      <x:c r="E13" s="28" t="str">
        <x:v>source endpoint definition</x:v>
      </x:c>
      <x:c r="F13" s="28" t="str">
        <x:v>T3_engineering_proxy_or_adjacent_empirical</x:v>
      </x:c>
      <x:c r="G13" s="28" t="str">
        <x:v>exposure_rule</x:v>
      </x:c>
      <x:c r="H13" s="28" t="str">
        <x:v>adopt</x:v>
      </x:c>
      <x:c r="I13" s="28" t="str">
        <x:v>Apply the DR once to the exact compatible module-hardware subject value.</x:v>
      </x:c>
      <x:c r="J13" s="28" t="str">
        <x:v>Apply an additional at-risk fraction or site overlap multiplier to the same response.</x:v>
      </x:c>
      <x:c r="K13" s="28" t="str">
        <x:v>A second fraction would double-attenuate the observed response.</x:v>
      </x:c>
      <x:c r="L13" s="28" t="str">
        <x:v>A future local-demand model changes the response grain.</x:v>
      </x:c>
    </x:row>
    <x:row r="14">
      <x:c r="A14" s="28" t="str">
        <x:v>TCWS-C110</x:v>
      </x:c>
      <x:c r="B14" s="28" t="str">
        <x:v>The source does not isolate pure aerodynamic uplift from cascade or debris-related visible module loss.</x:v>
      </x:c>
      <x:c r="C14" s="28" t="str">
        <x:v>source_interpretation</x:v>
      </x:c>
      <x:c r="D14" s="28" t="str">
        <x:v>TCWS-S003;TCWS-S020;TCWS-S021</x:v>
      </x:c>
      <x:c r="E14" s="28" t="str">
        <x:v>paper discussion and dataset fields</x:v>
      </x:c>
      <x:c r="F14" s="28" t="str">
        <x:v>T3_engineering_proxy_or_adjacent_empirical</x:v>
      </x:c>
      <x:c r="G14" s="28" t="str">
        <x:v>causal_scope_acknowledgement</x:v>
      </x:c>
      <x:c r="H14" s="28" t="str">
        <x:v>adopt_with_limits</x:v>
      </x:c>
      <x:c r="I14" s="28" t="str">
        <x:v>Label output SOURCE_COMPOSITE_HURRICANE_MODULE_LOSS.</x:v>
      </x:c>
      <x:c r="J14" s="28" t="str">
        <x:v>Present the proxy as pure wind-pressure fragility or combine it with a debris module curve without overlap review.</x:v>
      </x:c>
      <x:c r="K14" s="28" t="str">
        <x:v>Post-event imagery does not identify the causal mechanism of each damaged module.</x:v>
      </x:c>
      <x:c r="L14" s="28" t="str">
        <x:v>Mechanism-labeled event observations become available.</x:v>
      </x:c>
    </x:row>
    <x:row r="15">
      <x:c r="A15" s="28" t="str">
        <x:v>TCWS-C111</x:v>
      </x:c>
      <x:c r="B15" s="28" t="str">
        <x:v>Tracker modules and tracker SBOS are unsupported by this curve.</x:v>
      </x:c>
      <x:c r="C15" s="28" t="str">
        <x:v>governance_decision</x:v>
      </x:c>
      <x:c r="D15" s="28" t="str">
        <x:v>TCWS-S006;TCWS-S020</x:v>
      </x:c>
      <x:c r="E15" s="28" t="str">
        <x:v>manual cohort has only two ground tracking=true records</x:v>
      </x:c>
      <x:c r="F15" s="28" t="str">
        <x:v>T2_public_lab_standard_or_physics</x:v>
      </x:c>
      <x:c r="G15" s="28" t="str">
        <x:v>architecture_selector</x:v>
      </x:c>
      <x:c r="H15" s="28" t="str">
        <x:v>withhold</x:v>
      </x:c>
      <x:c r="I15" s="28" t="str">
        <x:v>Route tracking=false source-cohort screening only.</x:v>
      </x:c>
      <x:c r="J15" s="28" t="str">
        <x:v>Fallback from tracker to fixed tilt or infer stow benefit.</x:v>
      </x:c>
      <x:c r="K15" s="28" t="str">
        <x:v>Two tracker records cannot support a tracker route and tracker controls change response.</x:v>
      </x:c>
      <x:c r="L15" s="28" t="str">
        <x:v>A qualified tracker dataset passes the full evidence chain.</x:v>
      </x:c>
    </x:row>
    <x:row r="16">
      <x:c r="A16" s="28" t="str">
        <x:v>TCWS-C112</x:v>
      </x:c>
      <x:c r="B16" s="28" t="str">
        <x:v>Racking, foundations, power conversion, collection, GSU, SCADA, civil, fieldwork, logistics, and hidden damage remain withheld rather than zero.</x:v>
      </x:c>
      <x:c r="C16" s="28" t="str">
        <x:v>governance_decision</x:v>
      </x:c>
      <x:c r="D16" s="28" t="str">
        <x:v>TCWS-S003;TCWS-S006;TCWS-S020;GOVERNANCE_CONTRACT</x:v>
      </x:c>
      <x:c r="E16" s="28" t="str">
        <x:v>failure-unit coverage audit</x:v>
      </x:c>
      <x:c r="F16" s="28" t="str">
        <x:v>T4_placeholder_or_expert_judgment</x:v>
      </x:c>
      <x:c r="G16" s="28" t="str">
        <x:v>partial_coverage</x:v>
      </x:c>
      <x:c r="H16" s="28" t="str">
        <x:v>withhold</x:v>
      </x:c>
      <x:c r="I16" s="28" t="str">
        <x:v>Emit explicit null results and reason codes.</x:v>
      </x:c>
      <x:c r="J16" s="28" t="str">
        <x:v>Transfer the module proxy, assume zero loss, or multiply by plant TIV.</x:v>
      </x:c>
      <x:c r="K16" s="28" t="str">
        <x:v>The source endpoint and value bridge cover visible module hardware only.</x:v>
      </x:c>
      <x:c r="L16" s="28" t="str">
        <x:v>Failure-unit-specific evidence and value chains pass review.</x:v>
      </x:c>
    </x:row>
    <x:row r="17">
      <x:c r="A17" s="28" t="str">
        <x:v>TCWS-C113</x:v>
      </x:c>
      <x:c r="B17" s="28" t="str">
        <x:v>Scenario dollar loss and all annual or tail metrics are withheld before canonical promotion.</x:v>
      </x:c>
      <x:c r="C17" s="28" t="str">
        <x:v>governance_decision</x:v>
      </x:c>
      <x:c r="D17" s="28" t="str">
        <x:v>TCWS-S013;GOVERNANCE_CONTRACT</x:v>
      </x:c>
      <x:c r="E17" s="28" t="str">
        <x:v>capability and value-linkage gate</x:v>
      </x:c>
      <x:c r="F17" s="28" t="str">
        <x:v>T4_placeholder_or_expert_judgment</x:v>
      </x:c>
      <x:c r="G17" s="28" t="str">
        <x:v>loss_capability</x:v>
      </x:c>
      <x:c r="H17" s="28" t="str">
        <x:v>withhold</x:v>
      </x:c>
      <x:c r="I17" s="28" t="str">
        <x:v>Review scalar source-unit DR independently of financial output.</x:v>
      </x:c>
      <x:c r="J17" s="28" t="str">
        <x:v>Use the NLR benchmark, full TIV, EAL, PML, VaR, or TVaR from this proposal.</x:v>
      </x:c>
      <x:c r="K17" s="28" t="str">
        <x:v>The proposal is noncanonical and has partial physical and value coverage.</x:v>
      </x:c>
      <x:c r="L17" s="28" t="str">
        <x:v>Canonical promotion plus exact site module-hardware value and consumer validation.</x:v>
      </x:c>
    </x:row>
    <x:row r="18">
      <x:c r="A18" s="28" t="str">
        <x:v>TCWS-C114</x:v>
      </x:c>
      <x:c r="B18" s="28" t="str">
        <x:v>Raw DOI files are hash-pinned but not redistributed in-repository because the archive metadata reports no license.</x:v>
      </x:c>
      <x:c r="C18" s="28" t="str">
        <x:v>governance_decision</x:v>
      </x:c>
      <x:c r="D18" s="28" t="str">
        <x:v>TCWS-S020;TCWS-S021</x:v>
      </x:c>
      <x:c r="E18" s="28" t="str">
        <x:v>DOI resource metadata and pinned file hashes</x:v>
      </x:c>
      <x:c r="F18" s="28" t="str">
        <x:v>T4_placeholder_or_expert_judgment</x:v>
      </x:c>
      <x:c r="G18" s="28" t="str">
        <x:v>source_file_handling</x:v>
      </x:c>
      <x:c r="H18" s="28" t="str">
        <x:v>adopt</x:v>
      </x:c>
      <x:c r="I18" s="28" t="str">
        <x:v>Publish sufficient statistics and a reproducible derivation script that requires a user-supplied DOI download.</x:v>
      </x:c>
      <x:c r="J18" s="28" t="str">
        <x:v>Commit the raw CSV or PDF as if reuse permission were granted.</x:v>
      </x:c>
      <x:c r="K18" s="28" t="str">
        <x:v>A public download is not the same as an explicit redistribution license.</x:v>
      </x:c>
      <x:c r="L18" s="28" t="str">
        <x:v>The archive supplies a compatible license or written permission.</x:v>
      </x:c>
    </x:row>
    <x:row r="19">
      <x:c r="A19" s="28" t="str">
        <x:v>TCWS-C115</x:v>
      </x:c>
      <x:c r="B19" s="28" t="str">
        <x:v>Ceferino Supplementary Table 2 and Perry report materially different damage percentages at four apparent coordinate-nearest Caribbean matches and must not be pooled as one measurement system.</x:v>
      </x:c>
      <x:c r="C19" s="28" t="str">
        <x:v>cross_source_discrepancy</x:v>
      </x:c>
      <x:c r="D19" s="28" t="str">
        <x:v>TCWS-S003;TCWS-S020;TCWS-S022</x:v>
      </x:c>
      <x:c r="E19" s="28" t="str">
        <x:v>CROSS_METHOD_MATCH_AUDIT_tropical_cyclone_wind_solar__model_v1_0__docs_r1.csv; Ceferino Supplementary Table 2 p. 4; Perry aggregate CSV lines 7, 74, 242, 257</x:v>
      </x:c>
      <x:c r="F19" s="28" t="str">
        <x:v>T3_engineering_proxy_or_adjacent_empirical</x:v>
      </x:c>
      <x:c r="G19" s="28" t="str">
        <x:v>cross_method_same_event_endpoint_challenge</x:v>
      </x:c>
      <x:c r="H19" s="28" t="str">
        <x:v>adopt_as_limitation</x:v>
      </x:c>
      <x:c r="I19" s="28" t="str">
        <x:v>Treat the disagreement as correlated cross-method evidence of measurement and endpoint uncertainty and block canonical promotion.</x:v>
      </x:c>
      <x:c r="J19" s="28" t="str">
        <x:v>Average, pool, treat the values as independent labels, assert an authoritative identity join, or use Ceferino/Perry aggregate values in the Perry manual-cohort PAVA fit.</x:v>
      </x:c>
      <x:c r="K19" s="28" t="str">
        <x:v>The analyst-derived nearest-coordinate rule finds four same-event utility/ground records within 500 m, but no authoritative shared site identifier adjudicates identity; the sources use different labeling methods and do not establish one common endpoint.</x:v>
      </x:c>
      <x:c r="L19" s="28" t="str">
        <x:v>A reconciled site-level adjudication establishes shared identity and common endpoint semantics.</x:v>
      </x:c>
    </x:row>
    <x:row r="20">
      <x:c r="A20" s="28" t="str">
        <x:v>TCWS-C116</x:v>
      </x:c>
      <x:c r="B20" s="28" t="str">
        <x:v>Under the strict evidence-earned economic-DR gate, current evidence supports a docs-only v0.1 update rather than a numerical model v1.</x:v>
      </x:c>
      <x:c r="C20" s="28" t="str">
        <x:v>independent_review_finding</x:v>
      </x:c>
      <x:c r="D20" s="28" t="str">
        <x:v>TCWS-S020;TCWS-S021;TCWS-S022;GOVERNANCE_CONTRACT</x:v>
      </x:c>
      <x:c r="E20" s="28" t="str">
        <x:v>independent primary-source and repo audits dated 2026-07-29</x:v>
      </x:c>
      <x:c r="F20" s="28" t="str">
        <x:v>T4_placeholder_or_expert_judgment</x:v>
      </x:c>
      <x:c r="G20" s="28" t="str">
        <x:v>strict_gate_outcome</x:v>
      </x:c>
      <x:c r="H20" s="28" t="str">
        <x:v>adopt_as_limitation</x:v>
      </x:c>
      <x:c r="I20" s="28" t="str">
        <x:v>Label model v1 as a deliberate coverage-first noncanonical screening exception only.</x:v>
      </x:c>
      <x:c r="J20" s="28" t="str">
        <x:v>Describe model v1 as evidence-earned, canonical, field-calibrated economic DR, or ready for Hazard cutover.</x:v>
      </x:c>
      <x:c r="K20" s="28" t="str">
        <x:v>The T4 ordinate bridge, population transfer, source-axis ambiguity, endpoint conflict, clustering, and sparse tail remain unresolved.</x:v>
      </x:c>
      <x:c r="L20" s="28" t="str">
        <x:v>All strict promotion gates pass.</x:v>
      </x:c>
    </x:row>
    <x:row r="21">
      <x:c r="A21" s="28" t="str">
        <x:v>TCWS-C117</x:v>
      </x:c>
      <x:c r="B21" s="28" t="str">
        <x:v>The released manual CSV has 47 rows and omits the paper-described site_type field, so the governed cohort follows the released file rather than the paper's narrative count/schema.</x:v>
      </x:c>
      <x:c r="C21" s="28" t="str">
        <x:v>source_release_discrepancy</x:v>
      </x:c>
      <x:c r="D21" s="28" t="str">
        <x:v>TCWS-S003;TCWS-S020</x:v>
      </x:c>
      <x:c r="E21" s="28" t="str">
        <x:v>paper Methods/Data Availability compared with manual CSV header and row count</x:v>
      </x:c>
      <x:c r="F21" s="28" t="str">
        <x:v>T1_claims_or_field_calibrated</x:v>
      </x:c>
      <x:c r="G21" s="28" t="str">
        <x:v>source_release_schema_qa</x:v>
      </x:c>
      <x:c r="H21" s="28" t="str">
        <x:v>adopt_as_limitation</x:v>
      </x:c>
      <x:c r="I21" s="28" t="str">
        <x:v>Pin 47 rows, the released columns, and the exact SHA for reproducibility.</x:v>
      </x:c>
      <x:c r="J21" s="28" t="str">
        <x:v>Silently assume a 48th row, infer site type from missing fields, or call the 35-row cohort utility-scale.</x:v>
      </x:c>
      <x:c r="K21" s="28" t="str">
        <x:v>The public artifact and narrative do not fully align; the released file is the reproducible numerical object.</x:v>
      </x:c>
      <x:c r="L21" s="28" t="str">
        <x:v>Authors publish a corrected/versioned data release and change log.</x:v>
      </x:c>
    </x:row>
    <x:row r="22">
      <x:c r="A22" s="30" t="str">
        <x:v>TCWS-C118</x:v>
      </x:c>
      <x:c r="B22" s="30" t="str">
        <x:v>Ceferino's paper defines extensive failure using a strict greater-than-50-percent threshold, but Supplementary Table 2 contains one site at exactly 50 percent: the table yields 4/14 under greater-than 50 percent, while the reported 36 percent corresponds to 5/14 only when 50 percent is included.</x:v>
      </x:c>
      <x:c r="C22" s="30" t="str">
        <x:v>source_internal_threshold_discrepancy</x:v>
      </x:c>
      <x:c r="D22" s="30" t="str">
        <x:v>TCWS-S002;TCWS-S022</x:v>
      </x:c>
      <x:c r="E22" s="30" t="str">
        <x:v>paper Section 2.1 and Supplementary Table 2 p. 4</x:v>
      </x:c>
      <x:c r="F22" s="30" t="str">
        <x:v>T1_claims_or_field_calibrated</x:v>
      </x:c>
      <x:c r="G22" s="30" t="str">
        <x:v>ceferino_binary_endpoint_reproduction</x:v>
      </x:c>
      <x:c r="H22" s="30" t="str">
        <x:v>adopt_as_limitation</x:v>
      </x:c>
      <x:c r="I22" s="30" t="str">
        <x:v>Retain the discrepancy as a governed endpoint-semantics warning and do not independently reproduce the binary calibration count from the supplement.</x:v>
      </x:c>
      <x:c r="J22" s="30" t="str">
        <x:v>Silently classify the 50-percent row, claim that the supplement exactly reproduces the reported binary sample, or use either count in the Perry fit.</x:v>
      </x:c>
      <x:c r="K22" s="30" t="str">
        <x:v>The strict textual threshold and the reported proportion cannot both be reproduced from the tabulated percentages without an inclusion convention or author clarification.</x:v>
      </x:c>
      <x:c r="L22" s="30" t="str">
        <x:v>Authors publish a corrected threshold, exact binary labels, or a site-level calibration table.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0" hidden="0" customWidth="1"/>
    <x:col min="3" max="3" width="50" hidden="0" customWidth="1"/>
    <x:col min="4" max="4" width="56" hidden="0" customWidth="1"/>
    <x:col min="5" max="5" width="34" hidden="0" customWidth="1"/>
    <x:col min="6" max="6" width="36" hidden="0" customWidth="1"/>
    <x:col min="7" max="7" width="32" hidden="0" customWidth="1"/>
    <x:col min="8" max="8" width="68" hidden="0" customWidth="1"/>
    <x:col min="9" max="9" width="26" hidden="0" customWidth="1"/>
    <x:col min="10" max="10" width="52" hidden="0" customWidth="1"/>
  </x:cols>
  <x:sheetData>
    <x:row r="1" ht="26" customHeight="1">
      <x:c r="A1" s="2" t="str">
        <x:v>Parameter and rule tiers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4" t="str">
        <x:v>Physical observations are Tier 1; fit and economic conversion remain screening/Tier 3-4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3" t="str">
        <x:v>Parameter</x:v>
      </x:c>
      <x:c r="B4" s="14" t="str">
        <x:v>Pathway</x:v>
      </x:c>
      <x:c r="C4" s="14" t="str">
        <x:v>Curve</x:v>
      </x:c>
      <x:c r="D4" s="14" t="str">
        <x:v>Value/rule</x:v>
      </x:c>
      <x:c r="E4" s="14" t="str">
        <x:v>Role</x:v>
      </x:c>
      <x:c r="F4" s="14" t="str">
        <x:v>Tier</x:v>
      </x:c>
      <x:c r="G4" s="14" t="str">
        <x:v>Sources</x:v>
      </x:c>
      <x:c r="H4" s="14" t="str">
        <x:v>Reasoning</x:v>
      </x:c>
      <x:c r="I4" s="14" t="str">
        <x:v>Status</x:v>
      </x:c>
      <x:c r="J4" s="15" t="str">
        <x:v>Update trigger</x:v>
      </x:c>
    </x:row>
    <x:row r="5">
      <x:c r="A5" s="27" t="str">
        <x:v>runtime_curve_count</x:v>
      </x:c>
      <x:c r="B5" s="27" t="str">
        <x:v>tropical_cyclone_wind</x:v>
      </x:c>
      <x:c r="C5" s="27" t="str">
        <x:v>TCWS_PERRY_GROUND_FIXED_VISIBLE_REPLACEMENT_PROXY_V1</x:v>
      </x:c>
      <x:c r="D5" s="27" t="str">
        <x:v>1</x:v>
      </x:c>
      <x:c r="E5" s="27" t="str">
        <x:v>capability</x:v>
      </x:c>
      <x:c r="F5" s="27" t="str">
        <x:v>T4_placeholder_or_expert_judgment</x:v>
      </x:c>
      <x:c r="G5" s="27" t="str">
        <x:v>GOVERNANCE_CONTRACT</x:v>
      </x:c>
      <x:c r="H5" s="27" t="str">
        <x:v>One narrow noncanonical source-unit curve passes the screening gate.</x:v>
      </x:c>
      <x:c r="I5" s="27" t="str">
        <x:v>adopt</x:v>
      </x:c>
      <x:c r="J5" s="27" t="str">
        <x:v>Promotion or model revision.</x:v>
      </x:c>
    </x:row>
    <x:row r="6">
      <x:c r="A6" s="28" t="str">
        <x:v>source_manual_csv_sha256</x:v>
      </x:c>
      <x:c r="B6" s="28" t="str">
        <x:v>tropical_cyclone_wind</x:v>
      </x:c>
      <x:c r="C6" s="28" t="str">
        <x:v>TCWS_PERRY_GROUND_FIXED_VISIBLE_REPLACEMENT_PROXY_V1</x:v>
      </x:c>
      <x:c r="D6" s="28" t="str">
        <x:v>edb34e74cc078bba1fdbe34463abadc794fd416caa66eb64ac3d0ed176ac5e00</x:v>
      </x:c>
      <x:c r="E6" s="28" t="str">
        <x:v>provenance_pin</x:v>
      </x:c>
      <x:c r="F6" s="28" t="str">
        <x:v>T1_claims_or_field_calibrated</x:v>
      </x:c>
      <x:c r="G6" s="28" t="str">
        <x:v>TCWS-S020</x:v>
      </x:c>
      <x:c r="H6" s="28" t="str">
        <x:v>Pins the exact reviewed source file.</x:v>
      </x:c>
      <x:c r="I6" s="28" t="str">
        <x:v>adopt</x:v>
      </x:c>
      <x:c r="J6" s="28" t="str">
        <x:v>Source file changes.</x:v>
      </x:c>
    </x:row>
    <x:row r="7">
      <x:c r="A7" s="28" t="str">
        <x:v>source_cohort_filter</x:v>
      </x:c>
      <x:c r="B7" s="28" t="str">
        <x:v>tropical_cyclone_wind</x:v>
      </x:c>
      <x:c r="C7" s="28" t="str">
        <x:v>TCWS_PERRY_GROUND_FIXED_VISIBLE_REPLACEMENT_PROXY_V1</x:v>
      </x:c>
      <x:c r="D7" s="28" t="str">
        <x:v>mounting_type=ground AND tracking=false</x:v>
      </x:c>
      <x:c r="E7" s="28" t="str">
        <x:v>selector</x:v>
      </x:c>
      <x:c r="F7" s="28" t="str">
        <x:v>T1_claims_or_field_calibrated</x:v>
      </x:c>
      <x:c r="G7" s="28" t="str">
        <x:v>TCWS-S020</x:v>
      </x:c>
      <x:c r="H7" s="28" t="str">
        <x:v>Separates the only adequately populated explicit architecture cohort.</x:v>
      </x:c>
      <x:c r="I7" s="28" t="str">
        <x:v>adopt_with_limits</x:v>
      </x:c>
      <x:c r="J7" s="28" t="str">
        <x:v>Architecture labels or source population changes.</x:v>
      </x:c>
    </x:row>
    <x:row r="8">
      <x:c r="A8" s="28" t="str">
        <x:v>source_cohort_n</x:v>
      </x:c>
      <x:c r="B8" s="28" t="str">
        <x:v>tropical_cyclone_wind</x:v>
      </x:c>
      <x:c r="C8" s="28" t="str">
        <x:v>TCWS_PERRY_GROUND_FIXED_VISIBLE_REPLACEMENT_PROXY_V1</x:v>
      </x:c>
      <x:c r="D8" s="28" t="str">
        <x:v>35</x:v>
      </x:c>
      <x:c r="E8" s="28" t="str">
        <x:v>sample_size</x:v>
      </x:c>
      <x:c r="F8" s="28" t="str">
        <x:v>T1_claims_or_field_calibrated</x:v>
      </x:c>
      <x:c r="G8" s="28" t="str">
        <x:v>TCWS-S020</x:v>
      </x:c>
      <x:c r="H8" s="28" t="str">
        <x:v>All fixed ground source-cohort records including the tail audit point.</x:v>
      </x:c>
      <x:c r="I8" s="28" t="str">
        <x:v>adopt</x:v>
      </x:c>
      <x:c r="J8" s="28" t="str">
        <x:v>Source changes.</x:v>
      </x:c>
    </x:row>
    <x:row r="9">
      <x:c r="A9" s="28" t="str">
        <x:v>runtime_fit_n</x:v>
      </x:c>
      <x:c r="B9" s="28" t="str">
        <x:v>tropical_cyclone_wind</x:v>
      </x:c>
      <x:c r="C9" s="28" t="str">
        <x:v>TCWS_PERRY_GROUND_FIXED_VISIBLE_REPLACEMENT_PROXY_V1</x:v>
      </x:c>
      <x:c r="D9" s="28" t="str">
        <x:v>34</x:v>
      </x:c>
      <x:c r="E9" s="28" t="str">
        <x:v>sample_size</x:v>
      </x:c>
      <x:c r="F9" s="28" t="str">
        <x:v>T3_engineering_proxy_or_adjacent_empirical</x:v>
      </x:c>
      <x:c r="G9" s="28" t="str">
        <x:v>TCWS-S020;GOVERNANCE_CONTRACT</x:v>
      </x:c>
      <x:c r="H9" s="28" t="str">
        <x:v>Excludes the single 48.2 m/s sparse-tail observation.</x:v>
      </x:c>
      <x:c r="I9" s="28" t="str">
        <x:v>adopt_with_limits</x:v>
      </x:c>
      <x:c r="J9" s="28" t="str">
        <x:v>Tail evidence improves.</x:v>
      </x:c>
    </x:row>
    <x:row r="10">
      <x:c r="A10" s="28" t="str">
        <x:v>source_axis_id</x:v>
      </x:c>
      <x:c r="B10" s="28" t="str">
        <x:v>tropical_cyclone_wind</x:v>
      </x:c>
      <x:c r="C10" s="28" t="str">
        <x:v>TCWS_PERRY_GROUND_FIXED_VISIBLE_REPLACEMENT_PROXY_V1</x:v>
      </x:c>
      <x:c r="D10" s="28" t="str">
        <x:v>PERRY_DATASET_REPORTED_EVENT_MAX_GUST_MPS</x:v>
      </x:c>
      <x:c r="E10" s="28" t="str">
        <x:v>axis</x:v>
      </x:c>
      <x:c r="F10" s="28" t="str">
        <x:v>T1_claims_or_field_calibrated</x:v>
      </x:c>
      <x:c r="G10" s="28" t="str">
        <x:v>TCWS-S020;TCWS-S021</x:v>
      </x:c>
      <x:c r="H10" s="28" t="str">
        <x:v>Preserves the dataset-reported field without attributing one provider or inventing averaging, height, station, or query semantics for the full manual cohort.</x:v>
      </x:c>
      <x:c r="I10" s="28" t="str">
        <x:v>adopt_with_limits</x:v>
      </x:c>
      <x:c r="J10" s="28" t="str">
        <x:v>Source documentation clarifies the full manual-cohort weather lineage.</x:v>
      </x:c>
    </x:row>
    <x:row r="11">
      <x:c r="A11" s="28" t="str">
        <x:v>valid_range_mps</x:v>
      </x:c>
      <x:c r="B11" s="28" t="str">
        <x:v>tropical_cyclone_wind</x:v>
      </x:c>
      <x:c r="C11" s="28" t="str">
        <x:v>TCWS_PERRY_GROUND_FIXED_VISIBLE_REPLACEMENT_PROXY_V1</x:v>
      </x:c>
      <x:c r="D11" s="28" t="str">
        <x:v>17.4|39.1</x:v>
      </x:c>
      <x:c r="E11" s="28" t="str">
        <x:v>boundary_or_cap</x:v>
      </x:c>
      <x:c r="F11" s="28" t="str">
        <x:v>T3_engineering_proxy_or_adjacent_empirical</x:v>
      </x:c>
      <x:c r="G11" s="28" t="str">
        <x:v>TCWS-S020;GOVERNANCE_CONTRACT</x:v>
      </x:c>
      <x:c r="H11" s="28" t="str">
        <x:v>Source-bounded fit domain before the isolated severe-tail gap.</x:v>
      </x:c>
      <x:c r="I11" s="28" t="str">
        <x:v>adopt_with_limits</x:v>
      </x:c>
      <x:c r="J11" s="28" t="str">
        <x:v>Tail evidence improves.</x:v>
      </x:c>
    </x:row>
    <x:row r="12">
      <x:c r="A12" s="28" t="str">
        <x:v>fit_method</x:v>
      </x:c>
      <x:c r="B12" s="28" t="str">
        <x:v>tropical_cyclone_wind</x:v>
      </x:c>
      <x:c r="C12" s="28" t="str">
        <x:v>TCWS_PERRY_GROUND_FIXED_VISIBLE_REPLACEMENT_PROXY_V1</x:v>
      </x:c>
      <x:c r="D12" s="28" t="str">
        <x:v>unweighted_site_PAVA_then_block_edge_linearization</x:v>
      </x:c>
      <x:c r="E12" s="28" t="str">
        <x:v>curve_fit_shape</x:v>
      </x:c>
      <x:c r="F12" s="28" t="str">
        <x:v>T3_engineering_proxy_or_adjacent_empirical</x:v>
      </x:c>
      <x:c r="G12" s="28" t="str">
        <x:v>TCWS-S020;GOVERNANCE_CONTRACT</x:v>
      </x:c>
      <x:c r="H12" s="28" t="str">
        <x:v>Transparent monotone pooling without invented module weights.</x:v>
      </x:c>
      <x:c r="I12" s="28" t="str">
        <x:v>adopt_with_limits</x:v>
      </x:c>
      <x:c r="J12" s="28" t="str">
        <x:v>Reviewed predictive method replaces screening fit.</x:v>
      </x:c>
    </x:row>
    <x:row r="13">
      <x:c r="A13" s="28" t="str">
        <x:v>interpolation_policy</x:v>
      </x:c>
      <x:c r="B13" s="28" t="str">
        <x:v>tropical_cyclone_wind</x:v>
      </x:c>
      <x:c r="C13" s="28" t="str">
        <x:v>TCWS_PERRY_GROUND_FIXED_VISIBLE_REPLACEMENT_PROXY_V1</x:v>
      </x:c>
      <x:c r="D13" s="28" t="str">
        <x:v>linear_between_source_knots</x:v>
      </x:c>
      <x:c r="E13" s="28" t="str">
        <x:v>curve_fit_shape</x:v>
      </x:c>
      <x:c r="F13" s="28" t="str">
        <x:v>T3_engineering_proxy_or_adjacent_empirical</x:v>
      </x:c>
      <x:c r="G13" s="28" t="str">
        <x:v>GOVERNANCE_CONTRACT</x:v>
      </x:c>
      <x:c r="H13" s="28" t="str">
        <x:v>Continuous deterministic interpolation between governed block edges.</x:v>
      </x:c>
      <x:c r="I13" s="28" t="str">
        <x:v>adopt_with_limits</x:v>
      </x:c>
      <x:c r="J13" s="28" t="str">
        <x:v>Method revision.</x:v>
      </x:c>
    </x:row>
    <x:row r="14">
      <x:c r="A14" s="28" t="str">
        <x:v>extrapolation_policy</x:v>
      </x:c>
      <x:c r="B14" s="28" t="str">
        <x:v>tropical_cyclone_wind</x:v>
      </x:c>
      <x:c r="C14" s="28" t="str">
        <x:v>TCWS_PERRY_GROUND_FIXED_VISIBLE_REPLACEMENT_PROXY_V1</x:v>
      </x:c>
      <x:c r="D14" s="28" t="str">
        <x:v>withhold outside 17.4-39.1 m/s</x:v>
      </x:c>
      <x:c r="E14" s="28" t="str">
        <x:v>boundary_or_cap</x:v>
      </x:c>
      <x:c r="F14" s="28" t="str">
        <x:v>T4_placeholder_or_expert_judgment</x:v>
      </x:c>
      <x:c r="G14" s="28" t="str">
        <x:v>GOVERNANCE_CONTRACT</x:v>
      </x:c>
      <x:c r="H14" s="28" t="str">
        <x:v>No source-supported tail or low-end extrapolation.</x:v>
      </x:c>
      <x:c r="I14" s="28" t="str">
        <x:v>adopt</x:v>
      </x:c>
      <x:c r="J14" s="28" t="str">
        <x:v>New evidence expands range.</x:v>
      </x:c>
    </x:row>
    <x:row r="15">
      <x:c r="A15" s="28" t="str">
        <x:v>ordinate_percent_conversion</x:v>
      </x:c>
      <x:c r="B15" s="28" t="str">
        <x:v>tropical_cyclone_wind</x:v>
      </x:c>
      <x:c r="C15" s="28" t="str">
        <x:v>TCWS_PERRY_GROUND_FIXED_VISIBLE_REPLACEMENT_PROXY_V1</x:v>
      </x:c>
      <x:c r="D15" s="28" t="str">
        <x:v>damage_ratio=pct_modules_damaged/100</x:v>
      </x:c>
      <x:c r="E15" s="28" t="str">
        <x:v>ordinate_bridge</x:v>
      </x:c>
      <x:c r="F15" s="28" t="str">
        <x:v>T1_claims_or_field_calibrated</x:v>
      </x:c>
      <x:c r="G15" s="28" t="str">
        <x:v>TCWS-S020;TCWS-S021</x:v>
      </x:c>
      <x:c r="H15" s="28" t="str">
        <x:v>Exact unit conversion from percent to fraction.</x:v>
      </x:c>
      <x:c r="I15" s="28" t="str">
        <x:v>adopt</x:v>
      </x:c>
      <x:c r="J15" s="28" t="str">
        <x:v>Source units change.</x:v>
      </x:c>
    </x:row>
    <x:row r="16">
      <x:c r="A16" s="28" t="str">
        <x:v>uniform_module_value</x:v>
      </x:c>
      <x:c r="B16" s="28" t="str">
        <x:v>tropical_cyclone_wind</x:v>
      </x:c>
      <x:c r="C16" s="28" t="str">
        <x:v>TCWS_PERRY_GROUND_FIXED_VISIBLE_REPLACEMENT_PROXY_V1</x:v>
      </x:c>
      <x:c r="D16" s="28" t="str">
        <x:v>required_true</x:v>
      </x:c>
      <x:c r="E16" s="28" t="str">
        <x:v>value_bridge</x:v>
      </x:c>
      <x:c r="F16" s="28" t="str">
        <x:v>T4_placeholder_or_expert_judgment</x:v>
      </x:c>
      <x:c r="G16" s="28" t="str">
        <x:v>GOVERNANCE_CONTRACT</x:v>
      </x:c>
      <x:c r="H16" s="28" t="str">
        <x:v>Makes module-count or equal-area fraction align with module-hardware value fraction.</x:v>
      </x:c>
      <x:c r="I16" s="28" t="str">
        <x:v>adopt_with_limits</x:v>
      </x:c>
      <x:c r="J16" s="28" t="str">
        <x:v>Observed module value distribution replaces assumption.</x:v>
      </x:c>
    </x:row>
    <x:row r="17">
      <x:c r="A17" s="28" t="str">
        <x:v>full_replacement_if_visible</x:v>
      </x:c>
      <x:c r="B17" s="28" t="str">
        <x:v>tropical_cyclone_wind</x:v>
      </x:c>
      <x:c r="C17" s="28" t="str">
        <x:v>TCWS_PERRY_GROUND_FIXED_VISIBLE_REPLACEMENT_PROXY_V1</x:v>
      </x:c>
      <x:c r="D17" s="28" t="str">
        <x:v>required_true</x:v>
      </x:c>
      <x:c r="E17" s="28" t="str">
        <x:v>disposition_bridge</x:v>
      </x:c>
      <x:c r="F17" s="28" t="str">
        <x:v>T4_placeholder_or_expert_judgment</x:v>
      </x:c>
      <x:c r="G17" s="28" t="str">
        <x:v>GOVERNANCE_CONTRACT</x:v>
      </x:c>
      <x:c r="H17" s="28" t="str">
        <x:v>Maps visible or missing module physical fraction to material replacement proxy.</x:v>
      </x:c>
      <x:c r="I17" s="28" t="str">
        <x:v>adopt_with_limits</x:v>
      </x:c>
      <x:c r="J17" s="28" t="str">
        <x:v>Inspected repair-versus-replace data replaces assumption.</x:v>
      </x:c>
    </x:row>
    <x:row r="18">
      <x:c r="A18" s="28" t="str">
        <x:v>extra_exposure_fraction</x:v>
      </x:c>
      <x:c r="B18" s="28" t="str">
        <x:v>tropical_cyclone_wind</x:v>
      </x:c>
      <x:c r="C18" s="28" t="str">
        <x:v>TCWS_PERRY_GROUND_FIXED_VISIBLE_REPLACEMENT_PROXY_V1</x:v>
      </x:c>
      <x:c r="D18" s="28" t="str">
        <x:v>prohibited</x:v>
      </x:c>
      <x:c r="E18" s="28" t="str">
        <x:v>exposure_modifier</x:v>
      </x:c>
      <x:c r="F18" s="28" t="str">
        <x:v>T3_engineering_proxy_or_adjacent_empirical</x:v>
      </x:c>
      <x:c r="G18" s="28" t="str">
        <x:v>TCWS-S020;TCWS-S021</x:v>
      </x:c>
      <x:c r="H18" s="28" t="str">
        <x:v>The site response already measures realized affected fraction.</x:v>
      </x:c>
      <x:c r="I18" s="28" t="str">
        <x:v>adopt</x:v>
      </x:c>
      <x:c r="J18" s="28" t="str">
        <x:v>Response grain changes.</x:v>
      </x:c>
    </x:row>
    <x:row r="19">
      <x:c r="A19" s="28" t="str">
        <x:v>curve_intrinsic_spread</x:v>
      </x:c>
      <x:c r="B19" s="28" t="str">
        <x:v>tropical_cyclone_wind</x:v>
      </x:c>
      <x:c r="C19" s="28" t="str">
        <x:v>TCWS_PERRY_GROUND_FIXED_VISIBLE_REPLACEMENT_PROXY_V1</x:v>
      </x:c>
      <x:c r="D19" s="28" t="str">
        <x:v>not_carried</x:v>
      </x:c>
      <x:c r="E19" s="28" t="str">
        <x:v>uncertainty</x:v>
      </x:c>
      <x:c r="F19" s="28" t="str">
        <x:v>T4_placeholder_or_expert_judgment</x:v>
      </x:c>
      <x:c r="G19" s="28" t="str">
        <x:v>GOVERNANCE_CONTRACT</x:v>
      </x:c>
      <x:c r="H19" s="28" t="str">
        <x:v>Cluster-aware uncertainty is not identified by the sparse event sample.</x:v>
      </x:c>
      <x:c r="I19" s="28" t="str">
        <x:v>withhold</x:v>
      </x:c>
      <x:c r="J19" s="28" t="str">
        <x:v>Validated hierarchical uncertainty model.</x:v>
      </x:c>
    </x:row>
    <x:row r="20">
      <x:c r="A20" s="28" t="str">
        <x:v>tail_audit_point</x:v>
      </x:c>
      <x:c r="B20" s="28" t="str">
        <x:v>tropical_cyclone_wind</x:v>
      </x:c>
      <x:c r="C20" s="28" t="str">
        <x:v>TCWS_PERRY_GROUND_FIXED_VISIBLE_REPLACEMENT_PROXY_V1</x:v>
      </x:c>
      <x:c r="D20" s="28" t="str">
        <x:v>48.2 m/s|0.4142383192 DR|n=1</x:v>
      </x:c>
      <x:c r="E20" s="28" t="str">
        <x:v>audit_only</x:v>
      </x:c>
      <x:c r="F20" s="28" t="str">
        <x:v>T1_claims_or_field_calibrated</x:v>
      </x:c>
      <x:c r="G20" s="28" t="str">
        <x:v>TCWS-S020</x:v>
      </x:c>
      <x:c r="H20" s="28" t="str">
        <x:v>Retains the severe observation without granting runtime interpolation.</x:v>
      </x:c>
      <x:c r="I20" s="28" t="str">
        <x:v>withhold_runtime</x:v>
      </x:c>
      <x:c r="J20" s="28" t="str">
        <x:v>Tail cohort grows.</x:v>
      </x:c>
    </x:row>
    <x:row r="21">
      <x:c r="A21" s="30" t="str">
        <x:v>model_grade</x:v>
      </x:c>
      <x:c r="B21" s="30" t="str">
        <x:v>tropical_cyclone_wind</x:v>
      </x:c>
      <x:c r="C21" s="30" t="str">
        <x:v>TCWS_PERRY_GROUND_FIXED_VISIBLE_REPLACEMENT_PROXY_V1</x:v>
      </x:c>
      <x:c r="D21" s="30" t="str">
        <x:v>screening_remote_sensing_labeled_visible_fraction_with_T4_economic_bridge</x:v>
      </x:c>
      <x:c r="E21" s="30" t="str">
        <x:v>release_state</x:v>
      </x:c>
      <x:c r="F21" s="30" t="str">
        <x:v>T4_placeholder_or_expert_judgment</x:v>
      </x:c>
      <x:c r="G21" s="30" t="str">
        <x:v>TCWS-S020;GOVERNANCE_CONTRACT</x:v>
      </x:c>
      <x:c r="H21" s="30" t="str">
        <x:v>Separates remote-sensing-labeled visible physical severity from assumed economic disposition.</x:v>
      </x:c>
      <x:c r="I21" s="30" t="str">
        <x:v>adopt</x:v>
      </x:c>
      <x:c r="J21" s="30" t="str">
        <x:v>Evidence chain improves.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30" hidden="0" customWidth="1"/>
    <x:col min="5" max="5" width="72" hidden="0" customWidth="1"/>
  </x:cols>
  <x:sheetData>
    <x:row r="1" ht="26" customHeight="1">
      <x:c r="A1" s="2" t="str">
        <x:v>Workbook QA</x:v>
      </x:c>
      <x:c r="B1" s="2"/>
      <x:c r="C1" s="2"/>
      <x:c r="D1" s="2"/>
      <x:c r="E1" s="2"/>
    </x:row>
    <x:row r="2" ht="22" customHeight="1">
      <x:c r="A2" s="4" t="str">
        <x:v>Formula assertions; external validator also executes schemas, evaluator KATs, source derivation, links, and canonical-index checks</x:v>
      </x:c>
      <x:c r="B2" s="4"/>
      <x:c r="C2" s="4"/>
      <x:c r="D2" s="4"/>
      <x:c r="E2" s="4"/>
    </x:row>
    <x:row r="4">
      <x:c r="A4" s="13" t="str">
        <x:v>Check</x:v>
      </x:c>
      <x:c r="B4" s="14" t="str">
        <x:v>Status formula</x:v>
      </x:c>
      <x:c r="C4" s="14" t="str">
        <x:v>Expected</x:v>
      </x:c>
      <x:c r="D4" s="14" t="str">
        <x:v>Scope</x:v>
      </x:c>
      <x:c r="E4" s="15" t="str">
        <x:v>Why it matters</x:v>
      </x:c>
    </x:row>
    <x:row r="5">
      <x:c r="A5" s="27" t="str">
        <x:v>Runtime fit site count</x:v>
      </x:c>
      <x:c r="B5" s="65" t="str">
        <x:f>IF(SUM('Cohort_Fit'!D5:D12)=34,"PASS","FAIL")</x:f>
        <x:v>PASS</x:v>
      </x:c>
      <x:c r="C5" s="27" t="n">
        <x:v>34</x:v>
      </x:c>
      <x:c r="D5" s="27" t="str">
        <x:v>Cohort_Fit</x:v>
      </x:c>
      <x:c r="E5" s="27" t="str">
        <x:v>Exact fit cohort</x:v>
      </x:c>
    </x:row>
    <x:row r="6">
      <x:c r="A6" s="28" t="str">
        <x:v>Sparse tail audit count</x:v>
      </x:c>
      <x:c r="B6" s="66" t="str">
        <x:f>IF('Cohort_Fit'!D13=1,"PASS","FAIL")</x:f>
        <x:v>PASS</x:v>
      </x:c>
      <x:c r="C6" s="28" t="n">
        <x:v>1</x:v>
      </x:c>
      <x:c r="D6" s="28" t="str">
        <x:v>Cohort_Fit</x:v>
      </x:c>
      <x:c r="E6" s="28" t="str">
        <x:v>Tail not discarded</x:v>
      </x:c>
    </x:row>
    <x:row r="7">
      <x:c r="A7" s="28" t="str">
        <x:v>Sufficient-stat deltas zero</x:v>
      </x:c>
      <x:c r="B7" s="66" t="str">
        <x:f>IF(COUNTIF('Cohort_Fit'!H5:H13,"&lt;0.000000001")=9,"PASS","FAIL")</x:f>
        <x:v>PASS</x:v>
      </x:c>
      <x:c r="C7" s="28" t="n">
        <x:v>0</x:v>
      </x:c>
      <x:c r="D7" s="28" t="str">
        <x:v>Cohort_Fit</x:v>
      </x:c>
      <x:c r="E7" s="28" t="str">
        <x:v>Mean reproduction</x:v>
      </x:c>
    </x:row>
    <x:row r="8">
      <x:c r="A8" s="28" t="str">
        <x:v>Runtime knot count</x:v>
      </x:c>
      <x:c r="B8" s="66" t="str">
        <x:f>IF(COUNTA('PAVA_Curve'!A5:A17)=13,"PASS","FAIL")</x:f>
        <x:v>PASS</x:v>
      </x:c>
      <x:c r="C8" s="28" t="n">
        <x:v>13</x:v>
      </x:c>
      <x:c r="D8" s="28" t="str">
        <x:v>PAVA_Curve</x:v>
      </x:c>
      <x:c r="E8" s="28" t="str">
        <x:v>Exact artifact knots</x:v>
      </x:c>
    </x:row>
    <x:row r="9">
      <x:c r="A9" s="28" t="str">
        <x:v>All runtime knots monotone</x:v>
      </x:c>
      <x:c r="B9" s="66" t="str">
        <x:f>IF(COUNTIF('PAVA_Curve'!F5:F17,"PASS")=13,"PASS","FAIL")</x:f>
        <x:v>PASS</x:v>
      </x:c>
      <x:c r="C9" s="28" t="n">
        <x:v>13</x:v>
      </x:c>
      <x:c r="D9" s="28" t="str">
        <x:v>PAVA_Curve</x:v>
      </x:c>
      <x:c r="E9" s="28" t="str">
        <x:v>No decreasing x or DR</x:v>
      </x:c>
    </x:row>
    <x:row r="10">
      <x:c r="A10" s="28" t="str">
        <x:v>Interpolation deltas zero</x:v>
      </x:c>
      <x:c r="B10" s="66" t="str">
        <x:f>IF(COUNTIF('PAVA_Curve'!F22:F25,"&lt;0.000000001")=4,"PASS","FAIL")</x:f>
        <x:v>PASS</x:v>
      </x:c>
      <x:c r="C10" s="28" t="n">
        <x:v>0</x:v>
      </x:c>
      <x:c r="D10" s="28" t="str">
        <x:v>PAVA_Curve</x:v>
      </x:c>
      <x:c r="E10" s="28" t="str">
        <x:v>Representative KATs</x:v>
      </x:c>
    </x:row>
    <x:row r="11">
      <x:c r="A11" s="28" t="str">
        <x:v>Event rows sum to fit count</x:v>
      </x:c>
      <x:c r="B11" s="66" t="str">
        <x:f>IF(SUM('Event_Sensitivity'!B5:B10)=34,"PASS","FAIL")</x:f>
        <x:v>PASS</x:v>
      </x:c>
      <x:c r="C11" s="28" t="n">
        <x:v>34</x:v>
      </x:c>
      <x:c r="D11" s="28" t="str">
        <x:v>Event_Sensitivity</x:v>
      </x:c>
      <x:c r="E11" s="28" t="str">
        <x:v>Cluster accounting</x:v>
      </x:c>
    </x:row>
    <x:row r="12">
      <x:c r="A12" s="28" t="str">
        <x:v>Source register exact count</x:v>
      </x:c>
      <x:c r="B12" s="66" t="str">
        <x:f>IF(COUNTA('Source_Register'!A5:A14)=10,"PASS","FAIL")</x:f>
        <x:v>PASS</x:v>
      </x:c>
      <x:c r="C12" s="28" t="n">
        <x:v>10</x:v>
      </x:c>
      <x:c r="D12" s="28" t="str">
        <x:v>Source_Register</x:v>
      </x:c>
      <x:c r="E12" s="28" t="str">
        <x:v>All governed sources</x:v>
      </x:c>
    </x:row>
    <x:row r="13">
      <x:c r="A13" s="28" t="str">
        <x:v>Claim register exact count</x:v>
      </x:c>
      <x:c r="B13" s="66" t="str">
        <x:f>IF(COUNTA('Claim_Register'!A5:A22)=18,"PASS","FAIL")</x:f>
        <x:v>PASS</x:v>
      </x:c>
      <x:c r="C13" s="28" t="n">
        <x:v>18</x:v>
      </x:c>
      <x:c r="D13" s="28" t="str">
        <x:v>Claim_Register</x:v>
      </x:c>
      <x:c r="E13" s="28" t="str">
        <x:v>All governed claims</x:v>
      </x:c>
    </x:row>
    <x:row r="14">
      <x:c r="A14" s="28" t="str">
        <x:v>Parameter table exact count</x:v>
      </x:c>
      <x:c r="B14" s="66" t="str">
        <x:f>IF(COUNTA('Parameter_Tiers'!A5:A21)=17,"PASS","FAIL")</x:f>
        <x:v>PASS</x:v>
      </x:c>
      <x:c r="C14" s="28" t="n">
        <x:v>17</x:v>
      </x:c>
      <x:c r="D14" s="28" t="str">
        <x:v>Parameter_Tiers</x:v>
      </x:c>
      <x:c r="E14" s="28" t="str">
        <x:v>All governed parameters</x:v>
      </x:c>
    </x:row>
    <x:row r="15">
      <x:c r="A15" s="28" t="str">
        <x:v>Value crosswalk exact count</x:v>
      </x:c>
      <x:c r="B15" s="66" t="str">
        <x:f>IF(COUNTA('Value_Crosswalk'!A5:A15)=11,"PASS","FAIL")</x:f>
        <x:v>PASS</x:v>
      </x:c>
      <x:c r="C15" s="28" t="n">
        <x:v>11</x:v>
      </x:c>
      <x:c r="D15" s="28" t="str">
        <x:v>Value_Crosswalk</x:v>
      </x:c>
      <x:c r="E15" s="28" t="str">
        <x:v>No dropped value row</x:v>
      </x:c>
    </x:row>
    <x:row r="16">
      <x:c r="A16" s="28" t="str">
        <x:v>Failure unit exact count</x:v>
      </x:c>
      <x:c r="B16" s="66" t="str">
        <x:f>IF(COUNTA('Failure_Units'!A5:A15)=11,"PASS","FAIL")</x:f>
        <x:v>PASS</x:v>
      </x:c>
      <x:c r="C16" s="28" t="n">
        <x:v>11</x:v>
      </x:c>
      <x:c r="D16" s="28" t="str">
        <x:v>Failure_Units</x:v>
      </x:c>
      <x:c r="E16" s="28" t="str">
        <x:v>Complete unit inventory</x:v>
      </x:c>
    </x:row>
    <x:row r="17">
      <x:c r="A17" s="28" t="str">
        <x:v>One primary source atom</x:v>
      </x:c>
      <x:c r="B17" s="66" t="str">
        <x:f>IF(COUNTIF('Failure_Units'!D5:D15,"primary nonzero")=1,"PASS","FAIL")</x:f>
        <x:v>PASS</x:v>
      </x:c>
      <x:c r="C17" s="28" t="n">
        <x:v>1</x:v>
      </x:c>
      <x:c r="D17" s="28" t="str">
        <x:v>Failure_Units</x:v>
      </x:c>
      <x:c r="E17" s="28" t="str">
        <x:v>Partial coverage only</x:v>
      </x:c>
    </x:row>
    <x:row r="18">
      <x:c r="A18" s="28" t="str">
        <x:v>Supported atom present once</x:v>
      </x:c>
      <x:c r="B18" s="66" t="str">
        <x:f>IF(COUNTIF('Failure_Units'!A5:A15,"PV_PERRY_GROUND_FIXED_VISIBLE_MODULE_HARDWARE_SOURCE_UNIT")=1,"PASS","FAIL")</x:f>
        <x:v>PASS</x:v>
      </x:c>
      <x:c r="C18" s="28" t="n">
        <x:v>1</x:v>
      </x:c>
      <x:c r="D18" s="28" t="str">
        <x:v>Failure_Units</x:v>
      </x:c>
      <x:c r="E18" s="28" t="str">
        <x:v>No genericization</x:v>
      </x:c>
    </x:row>
    <x:row r="19">
      <x:c r="A19" s="28" t="str">
        <x:v>KAT rows complete</x:v>
      </x:c>
      <x:c r="B19" s="66" t="str">
        <x:f>IF(COUNTIF('KATs'!H5:H25,"PASS")=21,"PASS","FAIL")</x:f>
        <x:v>PASS</x:v>
      </x:c>
      <x:c r="C19" s="28" t="n">
        <x:v>21</x:v>
      </x:c>
      <x:c r="D19" s="28" t="str">
        <x:v>KATs</x:v>
      </x:c>
      <x:c r="E19" s="28" t="str">
        <x:v>Every fixture represented</x:v>
      </x:c>
    </x:row>
    <x:row r="20">
      <x:c r="A20" s="28" t="str">
        <x:v>Proposal remains noncanonical</x:v>
      </x:c>
      <x:c r="B20" s="66" t="str">
        <x:f>IF('README'!B12=FALSE,"PASS","FAIL")</x:f>
        <x:v>PASS</x:v>
      </x:c>
      <x:c r="C20" s="29" t="b">
        <x:v>0</x:v>
      </x:c>
      <x:c r="D20" s="28" t="str">
        <x:v>README</x:v>
      </x:c>
      <x:c r="E20" s="28" t="str">
        <x:v>No runtime cutover</x:v>
      </x:c>
    </x:row>
    <x:row r="21">
      <x:c r="A21" s="28" t="str">
        <x:v>Package remains excluded</x:v>
      </x:c>
      <x:c r="B21" s="66" t="str">
        <x:f>IF('README'!B13="not_included","PASS","FAIL")</x:f>
        <x:v>PASS</x:v>
      </x:c>
      <x:c r="C21" s="28" t="str">
        <x:v>not_included</x:v>
      </x:c>
      <x:c r="D21" s="28" t="str">
        <x:v>README</x:v>
      </x:c>
      <x:c r="E21" s="28" t="str">
        <x:v>No silent release</x:v>
      </x:c>
    </x:row>
    <x:row r="22">
      <x:c r="A22" s="30" t="str">
        <x:v>Ceferino conflict source present</x:v>
      </x:c>
      <x:c r="B22" s="67" t="str">
        <x:f>IF(COUNTIF('Source_Register'!A5:A14,"TCWS-S022")=1,"PASS","FAIL")</x:f>
        <x:v>PASS</x:v>
      </x:c>
      <x:c r="C22" s="30" t="n">
        <x:v>1</x:v>
      </x:c>
      <x:c r="D22" s="30" t="str">
        <x:v>Source_Register</x:v>
      </x:c>
      <x:c r="E22" s="30" t="str">
        <x:v>Cross-method challenge retained</x:v>
      </x:c>
    </x:row>
  </x:sheetData>
  <x:mergeCells>
    <x:mergeCell ref="A1:E1"/>
    <x:mergeCell ref="A2:E2"/>
  </x:mergeCells>
  <x:pageMargins left="0.7" right="0.7" top="0.75" bottom="0.75" header="0.3" footer="0.3"/>
</x:worksheet>
</file>