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ee7fa2fc6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343c0cd1fc48d3"/>
    <x:sheet xmlns:r="http://schemas.openxmlformats.org/officeDocument/2006/relationships" name="Seven_Steps" sheetId="2" r:id="R1936ccf89b0348ee"/>
    <x:sheet xmlns:r="http://schemas.openxmlformats.org/officeDocument/2006/relationships" name="Asset_Value" sheetId="3" r:id="R3a9aa54ee07544dd"/>
    <x:sheet xmlns:r="http://schemas.openxmlformats.org/officeDocument/2006/relationships" name="Value_Crosswalk" sheetId="4" r:id="R51785ff5aa3a4dcc"/>
    <x:sheet xmlns:r="http://schemas.openxmlformats.org/officeDocument/2006/relationships" name="Failure_Units" sheetId="5" r:id="R49a4b9c1ba714398"/>
    <x:sheet xmlns:r="http://schemas.openxmlformats.org/officeDocument/2006/relationships" name="Candidate_Fragility" sheetId="6" r:id="Rd2386ce3e6b448ef"/>
    <x:sheet xmlns:r="http://schemas.openxmlformats.org/officeDocument/2006/relationships" name="Site_Adapter" sheetId="7" r:id="R174b211ad8dc44f8"/>
    <x:sheet xmlns:r="http://schemas.openxmlformats.org/officeDocument/2006/relationships" name="Legacy_Audit" sheetId="8" r:id="Ra49211bdd5854b4f"/>
    <x:sheet xmlns:r="http://schemas.openxmlformats.org/officeDocument/2006/relationships" name="Claim_Register" sheetId="9" r:id="Re857fccae64f4695"/>
    <x:sheet xmlns:r="http://schemas.openxmlformats.org/officeDocument/2006/relationships" name="Source_Register" sheetId="10" r:id="Rba2ffe4fb8e04adf"/>
    <x:sheet xmlns:r="http://schemas.openxmlformats.org/officeDocument/2006/relationships" name="Parameter_Tiers" sheetId="11" r:id="Reb16f79b6d1e4487"/>
    <x:sheet xmlns:r="http://schemas.openxmlformats.org/officeDocument/2006/relationships" name="QA_Checks" sheetId="12" r:id="R4dd80cce0816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00"/>
    <x:numFmt numFmtId="201" formatCode="0.0000%"/>
    <x:numFmt numFmtId="202" formatCode="0.000000000000"/>
    <x:numFmt numFmtId="203" formatCode="#,##0.00"/>
    <x:numFmt numFmtId="204" formatCode="0 &quot;m/s&quot;"/>
    <x:numFmt numFmtId="205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678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7F1D1D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3"/>
      </x:patternFill>
    </x:fill>
    <x:fill>
      <x:patternFill patternType="solid">
        <x:fgColor rgb="FFFCE0E0"/>
      </x:patternFill>
    </x:fill>
  </x:fills>
  <x:borders count="17">
    <x:border/>
    <x:border>
      <x:left style="thin">
        <x:color rgb="FFCCD4DF"/>
      </x:left>
      <x:right style="thin">
        <x:color rgb="FFCCD4DF"/>
      </x:right>
      <x:top style="thin">
        <x:color rgb="FFCCD4DF"/>
      </x:top>
      <x:bottom style="thin">
        <x:color rgb="FFCCD4DF"/>
      </x:bottom>
    </x:border>
    <x:border>
      <x:left style="medium">
        <x:color rgb="FFD99B2B"/>
      </x:left>
      <x:top style="medium">
        <x:color rgb="FFD99B2B"/>
      </x:top>
    </x:border>
    <x:border>
      <x:top style="medium">
        <x:color rgb="FFD99B2B"/>
      </x:top>
    </x:border>
    <x:border>
      <x:right style="medium">
        <x:color rgb="FFD99B2B"/>
      </x:right>
      <x:top style="medium">
        <x:color rgb="FFD99B2B"/>
      </x:top>
    </x:border>
    <x:border>
      <x:left style="medium">
        <x:color rgb="FFD99B2B"/>
      </x:left>
      <x:bottom style="medium">
        <x:color rgb="FFD99B2B"/>
      </x:bottom>
    </x:border>
    <x:border>
      <x:bottom style="medium">
        <x:color rgb="FFD99B2B"/>
      </x:bottom>
    </x:border>
    <x:border>
      <x:right style="medium">
        <x:color rgb="FFD99B2B"/>
      </x:right>
      <x:bottom style="medium">
        <x:color rgb="FFD99B2B"/>
      </x:bottom>
    </x:border>
    <x:border>
      <x:left style="medium">
        <x:color rgb="FFB91C1C"/>
      </x:left>
      <x:top style="medium">
        <x:color rgb="FFB91C1C"/>
      </x:top>
    </x:border>
    <x:border>
      <x:top style="medium">
        <x:color rgb="FFB91C1C"/>
      </x:top>
    </x:border>
    <x:border>
      <x:right style="medium">
        <x:color rgb="FFB91C1C"/>
      </x:right>
      <x:top style="medium">
        <x:color rgb="FFB91C1C"/>
      </x:top>
    </x:border>
    <x:border>
      <x:left style="medium">
        <x:color rgb="FFB91C1C"/>
      </x:left>
      <x:bottom style="medium">
        <x:color rgb="FFB91C1C"/>
      </x:bottom>
    </x:border>
    <x:border>
      <x:bottom style="medium">
        <x:color rgb="FFB91C1C"/>
      </x:bottom>
    </x:border>
    <x:border>
      <x:right style="medium">
        <x:color rgb="FFB91C1C"/>
      </x:right>
      <x:bottom style="medium">
        <x:color rgb="FFB91C1C"/>
      </x:bottom>
    </x:border>
    <x:border>
      <x:left style="thin">
        <x:color rgb="FFCCD4DF"/>
      </x:left>
      <x:top style="thin">
        <x:color rgb="FFCCD4DF"/>
      </x:top>
      <x:bottom style="thin">
        <x:color rgb="FFCCD4DF"/>
      </x:bottom>
    </x:border>
    <x:border>
      <x:top style="thin">
        <x:color rgb="FFCCD4DF"/>
      </x:top>
      <x:bottom style="thin">
        <x:color rgb="FFCCD4DF"/>
      </x:bottom>
    </x:border>
    <x:border>
      <x:right style="thin">
        <x:color rgb="FFCCD4DF"/>
      </x:right>
      <x:top style="thin">
        <x:color rgb="FFCCD4DF"/>
      </x:top>
      <x:bottom style="thin">
        <x:color rgb="FFCCD4DF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204" fontId="3" fillId="4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6" xfId="0" applyNumberFormat="1" applyFont="1" applyFill="1" applyBorder="1"/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991B1B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3eb10aeea4bec" /><Relationship Type="http://schemas.openxmlformats.org/officeDocument/2006/relationships/theme" Target="/xl/theme/theme1.xml" Id="R0feea7da19794823" /><Relationship Type="http://schemas.microsoft.com/office/2022/11/relationships/FeaturePropertyBag" Target="/xl/featurePropertyBag/featurePropertyBag.xml" Id="R89348d817a1c403d" /><Relationship Type="http://schemas.openxmlformats.org/officeDocument/2006/relationships/sharedStrings" Target="/xl/sharedStrings.xml" Id="R37cb8e1f241048da" /><Relationship Type="http://schemas.openxmlformats.org/officeDocument/2006/relationships/worksheet" Target="/xl/worksheets/sheet1.xml" Id="R9c343c0cd1fc48d3" /><Relationship Type="http://schemas.openxmlformats.org/officeDocument/2006/relationships/worksheet" Target="/xl/worksheets/sheet2.xml" Id="R1936ccf89b0348ee" /><Relationship Type="http://schemas.openxmlformats.org/officeDocument/2006/relationships/worksheet" Target="/xl/worksheets/sheet3.xml" Id="R3a9aa54ee07544dd" /><Relationship Type="http://schemas.openxmlformats.org/officeDocument/2006/relationships/worksheet" Target="/xl/worksheets/sheet4.xml" Id="R51785ff5aa3a4dcc" /><Relationship Type="http://schemas.openxmlformats.org/officeDocument/2006/relationships/worksheet" Target="/xl/worksheets/sheet5.xml" Id="R49a4b9c1ba714398" /><Relationship Type="http://schemas.openxmlformats.org/officeDocument/2006/relationships/worksheet" Target="/xl/worksheets/sheet6.xml" Id="Rd2386ce3e6b448ef" /><Relationship Type="http://schemas.openxmlformats.org/officeDocument/2006/relationships/worksheet" Target="/xl/worksheets/sheet7.xml" Id="R174b211ad8dc44f8" /><Relationship Type="http://schemas.openxmlformats.org/officeDocument/2006/relationships/worksheet" Target="/xl/worksheets/sheet8.xml" Id="Ra49211bdd5854b4f" /><Relationship Type="http://schemas.openxmlformats.org/officeDocument/2006/relationships/worksheet" Target="/xl/worksheets/sheet9.xml" Id="Re857fccae64f4695" /><Relationship Type="http://schemas.openxmlformats.org/officeDocument/2006/relationships/worksheet" Target="/xl/worksheets/sheet10.xml" Id="Rba2ffe4fb8e04adf" /><Relationship Type="http://schemas.openxmlformats.org/officeDocument/2006/relationships/worksheet" Target="/xl/worksheets/sheet11.xml" Id="Reb16f79b6d1e4487" /><Relationship Type="http://schemas.openxmlformats.org/officeDocument/2006/relationships/worksheet" Target="/xl/worksheets/sheet12.xml" Id="R4dd80cce081646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1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1.600000381469727" hidden="0" customHeight="1">
      <x:c r="A1" s="3" t="str">
        <x:v>Tropical-cyclone wind × utility-scale solar — audit workbook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Proposed model v0.1/docs r1 • noncanonical • zero runtime curves • every damage/loss metric withheld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Identity</x:v>
      </x:c>
      <x:c r="B4" s="13" t="str">
        <x:v>Value</x:v>
      </x:c>
      <x:c r="D4" s="13" t="str">
        <x:v>Order</x:v>
      </x:c>
      <x:c r="E4" s="13" t="str">
        <x:v>Sheet</x:v>
      </x:c>
      <x:c r="F4" s="13" t="str">
        <x:v>Purpose</x:v>
      </x:c>
    </x:row>
    <x:row r="5" ht="15" hidden="0" customHeight="1">
      <x:c r="A5" s="20" t="str">
        <x:v>Cell ID</x:v>
      </x:c>
      <x:c r="B5" s="20" t="str">
        <x:v>tropical_cyclone_wind_solar</x:v>
      </x:c>
      <x:c r="D5" s="20" t="n">
        <x:v>1</x:v>
      </x:c>
      <x:c r="E5" s="20" t="str">
        <x:v>README</x:v>
      </x:c>
      <x:c r="F5" s="20" t="str">
        <x:v>Identity, status, and map</x:v>
      </x:c>
    </x:row>
    <x:row r="6" ht="15" hidden="0" customHeight="1">
      <x:c r="A6" s="20" t="str">
        <x:v>Damage code ID</x:v>
      </x:c>
      <x:c r="B6" s="20" t="str">
        <x:v>TROPICAL_CYCLONE_WIND_SOLAR_PROPOSED_V0_1</x:v>
      </x:c>
      <x:c r="D6" s="20" t="n">
        <x:v>2</x:v>
      </x:c>
      <x:c r="E6" s="20" t="str">
        <x:v>Seven_Steps</x:v>
      </x:c>
      <x:c r="F6" s="20" t="str">
        <x:v>Gate-by-gate audit</x:v>
      </x:c>
    </x:row>
    <x:row r="7" ht="15" hidden="0" customHeight="1">
      <x:c r="A7" s="20" t="str">
        <x:v>Semantic model</x:v>
      </x:c>
      <x:c r="B7" s="20" t="str">
        <x:v>model v0.1</x:v>
      </x:c>
      <x:c r="D7" s="20" t="n">
        <x:v>3</x:v>
      </x:c>
      <x:c r="E7" s="20" t="str">
        <x:v>Asset_Value</x:v>
      </x:c>
      <x:c r="F7" s="20" t="str">
        <x:v>Reference value reconciliation</x:v>
      </x:c>
    </x:row>
    <x:row r="8" ht="15" hidden="0" customHeight="1">
      <x:c r="A8" s="20" t="str">
        <x:v>Documentation</x:v>
      </x:c>
      <x:c r="B8" s="20" t="str">
        <x:v>docs r1</x:v>
      </x:c>
      <x:c r="D8" s="20" t="n">
        <x:v>4</x:v>
      </x:c>
      <x:c r="E8" s="20" t="str">
        <x:v>Value_Crosswalk</x:v>
      </x:c>
      <x:c r="F8" s="20" t="str">
        <x:v>Row-level value mapping</x:v>
      </x:c>
    </x:row>
    <x:row r="9" ht="15" hidden="0" customHeight="1">
      <x:c r="A9" s="20" t="str">
        <x:v>Lifecycle</x:v>
      </x:c>
      <x:c r="B9" s="20" t="str">
        <x:v>scaffold / proposed / pressure-tested</x:v>
      </x:c>
      <x:c r="D9" s="20" t="n">
        <x:v>5</x:v>
      </x:c>
      <x:c r="E9" s="20" t="str">
        <x:v>Failure_Units</x:v>
      </x:c>
      <x:c r="F9" s="20" t="str">
        <x:v>Physical/spatial units and blockers</x:v>
      </x:c>
    </x:row>
    <x:row r="10" ht="24" hidden="0" customHeight="1">
      <x:c r="A10" s="20" t="str">
        <x:v>Runtime curve count</x:v>
      </x:c>
      <x:c r="B10" s="20" t="n">
        <x:v>0</x:v>
      </x:c>
      <x:c r="D10" s="20" t="n">
        <x:v>6</x:v>
      </x:c>
      <x:c r="E10" s="20" t="str">
        <x:v>Candidate_Fragility</x:v>
      </x:c>
      <x:c r="F10" s="20" t="str">
        <x:v>Audit-only formula reproduction; never DR</x:v>
      </x:c>
    </x:row>
    <x:row r="11" ht="15" hidden="0" customHeight="1">
      <x:c r="A11" s="20" t="str">
        <x:v>Canonical runtime artifact</x:v>
      </x:c>
      <x:c r="B11" s="21" t="b">
        <x:v>0</x:v>
      </x:c>
      <x:c r="D11" s="20" t="n">
        <x:v>7</x:v>
      </x:c>
      <x:c r="E11" s="20" t="str">
        <x:v>Site_Adapter</x:v>
      </x:c>
      <x:c r="F11" s="20" t="str">
        <x:v>Field roles and fail-closed behavior</x:v>
      </x:c>
    </x:row>
    <x:row r="12" ht="24" hidden="0" customHeight="1">
      <x:c r="A12" s="20" t="str">
        <x:v>Runtime reason</x:v>
      </x:c>
      <x:c r="B12" s="20" t="str">
        <x:v>NO_RUNTIME_CURVE</x:v>
      </x:c>
      <x:c r="D12" s="20" t="n">
        <x:v>8</x:v>
      </x:c>
      <x:c r="E12" s="20" t="str">
        <x:v>Legacy_Audit</x:v>
      </x:c>
      <x:c r="F12" s="20" t="str">
        <x:v>Rejected formula and aggregation checks</x:v>
      </x:c>
    </x:row>
    <x:row r="13" ht="15" hidden="0" customHeight="1">
      <x:c r="A13" s="20" t="str">
        <x:v>Package release</x:v>
      </x:c>
      <x:c r="B13" s="20" t="str">
        <x:v>unreleased</x:v>
      </x:c>
      <x:c r="D13" s="20" t="n">
        <x:v>9</x:v>
      </x:c>
      <x:c r="E13" s="20" t="str">
        <x:v>Claim_Register</x:v>
      </x:c>
      <x:c r="F13" s="20" t="str">
        <x:v>Claims and permitted inference</x:v>
      </x:c>
    </x:row>
    <x:row r="14" ht="15" hidden="0" customHeight="1">
      <x:c r="A14" s="20" t="str">
        <x:v>Schema envelope</x:v>
      </x:c>
      <x:c r="B14" s="20" t="str">
        <x:v>v1 noncanonical zero-curve scaffold exception</x:v>
      </x:c>
      <x:c r="D14" s="20" t="n">
        <x:v>10</x:v>
      </x:c>
      <x:c r="E14" s="20" t="str">
        <x:v>Source_Register</x:v>
      </x:c>
      <x:c r="F14" s="20" t="str">
        <x:v>Citations, locators, and tiers</x:v>
      </x:c>
    </x:row>
    <x:row r="15" ht="15" hidden="0" customHeight="1">
      <x:c r="A15" s="20" t="str">
        <x:v>Consumer action</x:v>
      </x:c>
      <x:c r="B15" s="20" t="str">
        <x:v>Do not load or cut over</x:v>
      </x:c>
      <x:c r="D15" s="20" t="n">
        <x:v>11</x:v>
      </x:c>
      <x:c r="E15" s="20" t="str">
        <x:v>Parameter_Tiers</x:v>
      </x:c>
      <x:c r="F15" s="20" t="str">
        <x:v>Parameters, status, and triggers</x:v>
      </x:c>
    </x:row>
    <x:row r="16" ht="15" hidden="0" customHeight="1">
      <x:c r="D16" s="20" t="n">
        <x:v>12</x:v>
      </x:c>
      <x:c r="E16" s="20" t="str">
        <x:v>QA_Checks</x:v>
      </x:c>
      <x:c r="F16" s="20" t="str">
        <x:v>Formula-driven integrity assertions</x:v>
      </x:c>
    </x:row>
    <x:row r="17"/>
    <x:row r="18">
      <x:c r="A18" s="36" t="str">
        <x:v>Interpretation guardrail: candidate site extensive-failure probabilities and field damage percentages are evidence audits only. They are not failure-unit economic DR, runtime curve records, or loss outputs.</x:v>
      </x:c>
      <x:c r="B18" s="37"/>
      <x:c r="C18" s="37"/>
      <x:c r="D18" s="37"/>
      <x:c r="E18" s="37"/>
      <x:c r="F18" s="37"/>
      <x:c r="G18" s="37"/>
      <x:c r="H18" s="38"/>
    </x:row>
    <x:row r="19">
      <x:c r="A19" s="39"/>
      <x:c r="B19" s="40"/>
      <x:c r="C19" s="40"/>
      <x:c r="D19" s="40"/>
      <x:c r="E19" s="40"/>
      <x:c r="F19" s="40"/>
      <x:c r="G19" s="40"/>
      <x:c r="H19" s="41"/>
    </x:row>
  </x:sheetData>
  <x:mergeCells>
    <x:mergeCell ref="A1:H1"/>
    <x:mergeCell ref="A2:H2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1.600000381469727" hidden="0" customHeight="1">
      <x:c r="A1" s="3" t="str">
        <x:v>Seven-step audit</x:v>
      </x:c>
      <x:c r="B1" s="3"/>
      <x:c r="C1" s="3"/>
      <x:c r="D1" s="3"/>
      <x:c r="E1" s="3"/>
      <x:c r="F1" s="3"/>
    </x:row>
    <x:row r="2" ht="15" hidden="0" customHeight="1">
      <x:c r="A2" s="7" t="str">
        <x:v>A structural PASS means the scaffold is coherent; it does not mean a damage curve is calibrated.</x:v>
      </x:c>
      <x:c r="B2" s="7"/>
      <x:c r="C2" s="7"/>
      <x:c r="D2" s="7"/>
      <x:c r="E2" s="7"/>
      <x:c r="F2" s="7"/>
    </x:row>
    <x:row r="3"/>
    <x:row r="4" ht="15" hidden="0" customHeight="1">
      <x:c r="A4" s="13" t="str">
        <x:v>Step</x:v>
      </x:c>
      <x:c r="B4" s="13" t="str">
        <x:v>Question</x:v>
      </x:c>
      <x:c r="C4" s="13" t="str">
        <x:v>v0.1 result</x:v>
      </x:c>
      <x:c r="D4" s="13" t="str">
        <x:v>Retained work</x:v>
      </x:c>
      <x:c r="E4" s="13" t="str">
        <x:v>Blocking seam</x:v>
      </x:c>
      <x:c r="F4" s="13" t="str">
        <x:v>Promotion trigger</x:v>
      </x:c>
    </x:row>
    <x:row r="5" ht="24" hidden="0" customHeight="1">
      <x:c r="A5" s="20" t="n">
        <x:v>1</x:v>
      </x:c>
      <x:c r="B5" s="20" t="str">
        <x:v>Define asset</x:v>
      </x:c>
      <x:c r="C5" s="20" t="str">
        <x:v>PASS_REFERENCE_BOUNDARY</x:v>
      </x:c>
      <x:c r="D5" s="20" t="str">
        <x:v>Utility-scale fixed tilt + exact-system tracker; direct TC wind</x:v>
      </x:c>
      <x:c r="E5" s="20" t="str">
        <x:v>Site/OEM/BOM configuration external</x:v>
      </x:c>
      <x:c r="F5" s="20" t="str">
        <x:v>Verified target systems and site inventory</x:v>
      </x:c>
    </x:row>
    <x:row r="6" ht="24" hidden="0" customHeight="1">
      <x:c r="A6" s="20" t="n">
        <x:v>2</x:v>
      </x:c>
      <x:c r="B6" s="20" t="str">
        <x:v>Decompose</x:v>
      </x:c>
      <x:c r="C6" s="20" t="str">
        <x:v>PASS_CANDIDATE_WITHHOLDING</x:v>
      </x:c>
      <x:c r="D6" s="20" t="str">
        <x:v>Four array candidates + explicit foundation/electrical/GSU/SCADA/civil units</x:v>
      </x:c>
      <x:c r="E6" s="20" t="str">
        <x:v>Dependency states and mixed-row splits</x:v>
      </x:c>
      <x:c r="F6" s="20" t="str">
        <x:v>Exhaustive units and mutually exclusive terminal states</x:v>
      </x:c>
    </x:row>
    <x:row r="7" ht="24" hidden="0" customHeight="1">
      <x:c r="A7" s="20" t="n">
        <x:v>3</x:v>
      </x:c>
      <x:c r="B7" s="20" t="str">
        <x:v>Choose basis</x:v>
      </x:c>
      <x:c r="C7" s="20" t="str">
        <x:v>PARTIAL_CANDIDATES_ONLY</x:v>
      </x:c>
      <x:c r="D7" s="20" t="str">
        <x:v>Same-unit economic DR; separate fixed-pressure and tracker-Ucrit research axes</x:v>
      </x:c>
      <x:c r="E7" s="20" t="str">
        <x:v>Neither axis/bridge is frozen</x:v>
      </x:c>
      <x:c r="F7" s="20" t="str">
        <x:v>Independent wind/structural and tracker-aeroelastic review</x:v>
      </x:c>
    </x:row>
    <x:row r="8" ht="15" hidden="0" customHeight="1">
      <x:c r="A8" s="20" t="n">
        <x:v>4</x:v>
      </x:c>
      <x:c r="B8" s="20" t="str">
        <x:v>Split basis</x:v>
      </x:c>
      <x:c r="C8" s="20" t="str">
        <x:v>PASS_REFERENCE_RECONCILIATION</x:v>
      </x:c>
      <x:c r="D8" s="20" t="str">
        <x:v>Q1-2025 row-level solar reference ledger</x:v>
      </x:c>
      <x:c r="E8" s="20" t="str">
        <x:v>Reference values are not site values</x:v>
      </x:c>
      <x:c r="F8" s="20" t="str">
        <x:v>Site BOM and exact unit-value split</x:v>
      </x:c>
    </x:row>
    <x:row r="9" ht="15" hidden="0" customHeight="1">
      <x:c r="A9" s="20" t="n">
        <x:v>5</x:v>
      </x:c>
      <x:c r="B9" s="20" t="str">
        <x:v>Allocate value/exposure</x:v>
      </x:c>
      <x:c r="C9" s="20" t="str">
        <x:v>PARTIAL_FAIL_CLOSED</x:v>
      </x:c>
      <x:c r="D9" s="20" t="str">
        <x:v>Array zone vs point/line/network/GSU yard discipline</x:v>
      </x:c>
      <x:c r="E9" s="20" t="str">
        <x:v>Site subjects/fractions/support rule</x:v>
      </x:c>
      <x:c r="F9" s="20" t="str">
        <x:v>Auditable unit value and exposure map</x:v>
      </x:c>
    </x:row>
    <x:row r="10" ht="24" hidden="0" customHeight="1">
      <x:c r="A10" s="20" t="n">
        <x:v>6</x:v>
      </x:c>
      <x:c r="B10" s="20" t="str">
        <x:v>Apply TC adapter</x:v>
      </x:c>
      <x:c r="C10" s="20" t="str">
        <x:v>SPECIFIED_NOT_PARAMETERIZED</x:v>
      </x:c>
      <x:c r="D10" s="20" t="str">
        <x:v>Identity, source metadata, selectors, conditioners, attained tracker state</x:v>
      </x:c>
      <x:c r="E10" s="20" t="str">
        <x:v>No approved demand bridge or modifiers</x:v>
      </x:c>
      <x:c r="F10" s="20" t="str">
        <x:v>Versioned bridges with KATs and uncertainty</x:v>
      </x:c>
    </x:row>
    <x:row r="11" ht="15" hidden="0" customHeight="1">
      <x:c r="A11" s="20" t="n">
        <x:v>7</x:v>
      </x:c>
      <x:c r="B11" s="20" t="str">
        <x:v>Curves and loss</x:v>
      </x:c>
      <x:c r="C11" s="20" t="str">
        <x:v>WITHHELD_NO_RUNTIME_CURVE</x:v>
      </x:c>
      <x:c r="D11" s="20" t="str">
        <x:v>Ceferino/Perry/St Croix retained in audit layer</x:v>
      </x:c>
      <x:c r="E11" s="20" t="str">
        <x:v>No all-severity same-unit economic curve</x:v>
      </x:c>
      <x:c r="F11" s="20" t="str">
        <x:v>Reviewed model v1.0 numerical records</x:v>
      </x:c>
    </x:row>
    <x:row r="12"/>
    <x:row r="13">
      <x:c r="A13" s="56" t="str">
        <x:v>Final result: failure-unit DR, scenario loss, EAL, PML, VaR, and TVaR are null/withheld with NO_RUNTIME_CURVE.</x:v>
      </x:c>
      <x:c r="B13" s="57"/>
      <x:c r="C13" s="57"/>
      <x:c r="D13" s="57"/>
      <x:c r="E13" s="57"/>
      <x:c r="F13" s="58"/>
    </x:row>
    <x:row r="14">
      <x:c r="A14" s="59"/>
      <x:c r="B14" s="60"/>
      <x:c r="C14" s="60"/>
      <x:c r="D14" s="60"/>
      <x:c r="E14" s="60"/>
      <x:c r="F14" s="61"/>
    </x:row>
  </x:sheetData>
  <x:mergeCells>
    <x:mergeCell ref="A1:F1"/>
    <x:mergeCell ref="A2:F2"/>
    <x:mergeCell ref="A13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4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1.600000381469727" hidden="0" customHeight="1">
      <x:c r="A1" s="3" t="str">
        <x:v>Reference value basis</x:v>
      </x:c>
      <x:c r="B1" s="3"/>
      <x:c r="C1" s="3"/>
      <x:c r="D1" s="3"/>
      <x:c r="E1" s="3"/>
      <x:c r="F1" s="3"/>
    </x:row>
    <x:row r="2" ht="15" hidden="0" customHeight="1">
      <x:c r="A2" s="7" t="str">
        <x:v>NLR Q1-2025 utility-scale PV • 2024 USD/kWdc • reference anatomy only, never a site appraisal</x:v>
      </x:c>
      <x:c r="B2" s="7"/>
      <x:c r="C2" s="7"/>
      <x:c r="D2" s="7"/>
      <x:c r="E2" s="7"/>
      <x:c r="F2" s="7"/>
    </x:row>
    <x:row r="3"/>
    <x:row r="4" ht="15" hidden="0" customHeight="1">
      <x:c r="A4" s="13" t="str">
        <x:v>Bucket</x:v>
      </x:c>
      <x:c r="B4" s="13" t="str">
        <x:v>2024 USD/kWdc</x:v>
      </x:c>
      <x:c r="C4" s="13" t="str">
        <x:v>Treatment</x:v>
      </x:c>
      <x:c r="D4" s="13" t="str">
        <x:v>Share of physical</x:v>
      </x:c>
      <x:c r="E4" s="13" t="str">
        <x:v>Share of installed</x:v>
      </x:c>
      <x:c r="F4" s="13" t="str">
        <x:v>Guardrail</x:v>
      </x:c>
    </x:row>
    <x:row r="5" ht="15" hidden="0" customHeight="1">
      <x:c r="A5" s="20" t="str">
        <x:v>Module + mounting anatomy</x:v>
      </x:c>
      <x:c r="B5" s="62" t="n">
        <x:v>401.2045774673221</x:v>
      </x:c>
      <x:c r="C5" s="20" t="str">
        <x:v>candidate architecture-specific rows</x:v>
      </x:c>
      <x:c r="D5" s="63" t="n">
        <x:f>B5/$B$9</x:f>
        <x:v>0.4570591726382843</x:v>
      </x:c>
      <x:c r="E5" s="63" t="n">
        <x:f>B5/$B$11</x:f>
        <x:v>0.3582183727386805</x:v>
      </x:c>
      <x:c r="F5" s="20" t="str">
        <x:v>Not supported coverage or a DR cap</x:v>
      </x:c>
    </x:row>
    <x:row r="6" ht="15" hidden="0" customHeight="1">
      <x:c r="A6" s="20" t="str">
        <x:v>Other direct hardware</x:v>
      </x:c>
      <x:c r="B6" s="62" t="n">
        <x:v>255.7768796830501</x:v>
      </x:c>
      <x:c r="C6" s="20" t="str">
        <x:v>foundation/electrical/GSU/SCADA withheld/split</x:v>
      </x:c>
      <x:c r="D6" s="63" t="n">
        <x:f>B6/$B$9</x:f>
        <x:v>0.2913854317064932</x:v>
      </x:c>
      <x:c r="E6" s="63" t="n">
        <x:f>B6/$B$11</x:f>
        <x:v>0.22837221400272337</x:v>
      </x:c>
      <x:c r="F6" s="20" t="str">
        <x:v>Never inherit array DR</x:v>
      </x:c>
    </x:row>
    <x:row r="7" ht="15" hidden="0" customHeight="1">
      <x:c r="A7" s="20" t="str">
        <x:v>Mixed civil</x:v>
      </x:c>
      <x:c r="B7" s="62" t="n">
        <x:v>31.223744292237445</x:v>
      </x:c>
      <x:c r="C7" s="20" t="str">
        <x:v>split-required physical row</x:v>
      </x:c>
      <x:c r="D7" s="63" t="n">
        <x:f>B7/$B$9</x:f>
        <x:v>0.035570627890061324</x:v>
      </x:c>
      <x:c r="E7" s="63" t="n">
        <x:f>B7/$B$11</x:f>
        <x:v>0.02787834311806915</x:v>
      </x:c>
      <x:c r="F7" s="20" t="str">
        <x:v>No array exposure reuse</x:v>
      </x:c>
    </x:row>
    <x:row r="8" ht="15" hidden="0" customHeight="1">
      <x:c r="A8" s="20" t="str">
        <x:v>Replacement support</x:v>
      </x:c>
      <x:c r="B8" s="62" t="n">
        <x:v>189.59050092005714</x:v>
      </x:c>
      <x:c r="C8" s="20" t="str">
        <x:v>allocate once after qualified disposition</x:v>
      </x:c>
      <x:c r="D8" s="63" t="n">
        <x:f>B8/$B$9</x:f>
        <x:v>0.21598476776516118</x:v>
      </x:c>
      <x:c r="E8" s="63" t="n">
        <x:f>B8/$B$11</x:f>
        <x:v>0.16927723296433678</x:v>
      </x:c>
      <x:c r="F8" s="20" t="str">
        <x:v>No independent fragility</x:v>
      </x:c>
    </x:row>
    <x:row r="9" ht="15" hidden="0" customHeight="1">
      <x:c r="A9" s="20" t="str">
        <x:v>Physical total</x:v>
      </x:c>
      <x:c r="B9" s="62" t="n">
        <x:f>SUM(B5:B8)</x:f>
        <x:v>877.7957023626668</x:v>
      </x:c>
      <x:c r="C9" s="20" t="str">
        <x:v>reconciliation/reporting denominator</x:v>
      </x:c>
      <x:c r="D9" s="63" t="n">
        <x:f>B9/$B$9</x:f>
        <x:v>1</x:v>
      </x:c>
      <x:c r="E9" s="63" t="n">
        <x:f>B9/$B$11</x:f>
        <x:v>0.7837461628238098</x:v>
      </x:c>
      <x:c r="F9" s="20" t="str">
        <x:v>No pooled physical-base DR</x:v>
      </x:c>
    </x:row>
    <x:row r="10" ht="15" hidden="0" customHeight="1">
      <x:c r="A10" s="20" t="str">
        <x:v>Excluded</x:v>
      </x:c>
      <x:c r="B10" s="62" t="n">
        <x:v>242.20429763733296</x:v>
      </x:c>
      <x:c r="C10" s="20" t="str">
        <x:v>soft/sunk/nonphysical</x:v>
      </x:c>
      <x:c r="D10" s="63"/>
      <x:c r="E10" s="63" t="n">
        <x:f>B10/$B$11</x:f>
        <x:v>0.21625383717619018</x:v>
      </x:c>
      <x:c r="F10" s="20" t="str">
        <x:v>Outside physical damage</x:v>
      </x:c>
    </x:row>
    <x:row r="11" ht="15" hidden="0" customHeight="1">
      <x:c r="A11" s="20" t="str">
        <x:v>Installed total</x:v>
      </x:c>
      <x:c r="B11" s="62" t="n">
        <x:f>B9+B10</x:f>
        <x:v>1119.9999999999998</x:v>
      </x:c>
      <x:c r="C11" s="20" t="str">
        <x:v>reference reporting denominator</x:v>
      </x:c>
      <x:c r="D11" s="63" t="n">
        <x:f>B9/B11</x:f>
        <x:v>0.7837461628238098</x:v>
      </x:c>
      <x:c r="E11" s="63" t="n">
        <x:f>B11/$B$11</x:f>
        <x:v>1</x:v>
      </x:c>
      <x:c r="F11" s="20" t="str">
        <x:v>Not site TIV</x:v>
      </x:c>
    </x:row>
    <x:row r="12"/>
    <x:row r="13"/>
    <x:row r="14"/>
    <x:row r="15" ht="15" hidden="0" customHeight="1">
      <x:c r="A15" s="67" t="str">
        <x:v>QA reconciliation</x:v>
      </x:c>
      <x:c r="B15" s="67" t="str">
        <x:v>Formula result</x:v>
      </x:c>
      <x:c r="C15" s="67" t="str">
        <x:v>Expected</x:v>
      </x:c>
      <x:c r="D15" s="67" t="str">
        <x:v>Status</x:v>
      </x:c>
    </x:row>
    <x:row r="16" ht="15" hidden="0" customHeight="1">
      <x:c r="A16" s="20" t="str">
        <x:v>Physical = array anatomy + other direct + civil + support</x:v>
      </x:c>
      <x:c r="B16" s="20" t="n">
        <x:f>B9</x:f>
        <x:v>877.7957023626668</x:v>
      </x:c>
      <x:c r="C16" s="20" t="n">
        <x:v>877.7957023626668</x:v>
      </x:c>
      <x:c r="D16" s="20" t="str">
        <x:f>IF(ABS(B16-C16)&lt;0.000000001,"PASS","FAIL")</x:f>
        <x:v>PASS</x:v>
      </x:c>
    </x:row>
    <x:row r="17" ht="15" hidden="0" customHeight="1">
      <x:c r="A17" s="20" t="str">
        <x:v>Installed = physical + excluded</x:v>
      </x:c>
      <x:c r="B17" s="20" t="n">
        <x:f>B11</x:f>
        <x:v>1119.9999999999998</x:v>
      </x:c>
      <x:c r="C17" s="20" t="n">
        <x:v>1120</x:v>
      </x:c>
      <x:c r="D17" s="20" t="str">
        <x:f>IF(ABS(B17-C17)&lt;0.000000001,"PASS","FAIL")</x:f>
        <x:v>PASS</x:v>
      </x:c>
    </x:row>
    <x:row r="18" ht="15" hidden="0" customHeight="1">
      <x:c r="A18" s="20" t="str">
        <x:v>Module + mounting share of physical</x:v>
      </x:c>
      <x:c r="B18" s="68" t="n">
        <x:f>D5</x:f>
        <x:v>0.4570591726382843</x:v>
      </x:c>
      <x:c r="C18" s="68" t="n">
        <x:v>0.457059172638</x:v>
      </x:c>
      <x:c r="D18" s="20" t="str">
        <x:f>IF(ABS(B18-C18)&lt;0.000000001,"PASS","FAIL")</x:f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0" hidden="0" customWidth="1"/>
    <x:col min="4" max="4" width="34" hidden="0" customWidth="1"/>
    <x:col min="5" max="5" width="14" hidden="0" customWidth="1"/>
    <x:col min="6" max="6" width="18" hidden="0" customWidth="1"/>
    <x:col min="7" max="7" width="24" hidden="0" customWidth="1"/>
    <x:col min="8" max="8" width="34" hidden="0" customWidth="1"/>
    <x:col min="9" max="9" width="22" hidden="0" customWidth="1"/>
    <x:col min="10" max="10" width="24" hidden="0" customWidth="1"/>
    <x:col min="11" max="11" width="18" hidden="0" customWidth="1"/>
    <x:col min="12" max="12" width="55" hidden="0" customWidth="1"/>
    <x:col min="13" max="13" width="55" hidden="0" customWidth="1"/>
    <x:col min="14" max="14" width="22" hidden="0" customWidth="1"/>
    <x:col min="15" max="15" width="55" hidden="0" customWidth="1"/>
  </x:cols>
  <x:sheetData>
    <x:row r="1" ht="44" hidden="0" customHeight="1">
      <x:c r="A1" s="79" t="str">
        <x:v>value_source_id</x:v>
      </x:c>
      <x:c r="B1" s="79" t="str">
        <x:v>source_location</x:v>
      </x:c>
      <x:c r="C1" s="79" t="str">
        <x:v>row_or_bucket_id</x:v>
      </x:c>
      <x:c r="D1" s="79" t="str">
        <x:v>row_or_bucket_label</x:v>
      </x:c>
      <x:c r="E1" s="79" t="str">
        <x:v>value</x:v>
      </x:c>
      <x:c r="F1" s="79" t="str">
        <x:v>unit</x:v>
      </x:c>
      <x:c r="G1" s="79" t="str">
        <x:v>financial_class</x:v>
      </x:c>
      <x:c r="H1" s="79" t="str">
        <x:v>failure_unit_id</x:v>
      </x:c>
      <x:c r="I1" s="79" t="str">
        <x:v>applicable_pathway_ids</x:v>
      </x:c>
      <x:c r="J1" s="79" t="str">
        <x:v>role_in_loss</x:v>
      </x:c>
      <x:c r="K1" s="79" t="str">
        <x:v>include_in_direct_denominator</x:v>
      </x:c>
      <x:c r="L1" s="79" t="str">
        <x:v>allocation_rule</x:v>
      </x:c>
      <x:c r="M1" s="79" t="str">
        <x:v>double_count_guardrail</x:v>
      </x:c>
      <x:c r="N1" s="79" t="str">
        <x:v>status</x:v>
      </x:c>
      <x:c r="O1" s="79" t="str">
        <x:v>notes</x:v>
      </x:c>
    </x:row>
    <x:row r="2" ht="21.600000381469727" hidden="0" customHeight="1">
      <x:c r="A2" s="75" t="str">
        <x:v>NLR_Q1_2025_UPV_PV_ONLY_2024_USD</x:v>
      </x:c>
      <x:c r="B2" s="75" t="str">
        <x:v>docs/method/value_basis/solar_wind_value_breakdown.xlsx::Solar_Map!2</x:v>
      </x:c>
      <x:c r="C2" s="75" t="str">
        <x:v>SOLAR_VALUE_002_MODULE</x:v>
      </x:c>
      <x:c r="D2" s="75" t="str">
        <x:v>Module hardware + manufacturing allocation</x:v>
      </x:c>
      <x:c r="E2" s="80" t="n">
        <x:v>291.21485143992487</x:v>
      </x:c>
      <x:c r="F2" s="75" t="str">
        <x:v>2024_USD_per_kWdc</x:v>
      </x:c>
      <x:c r="G2" s="75" t="str">
        <x:v>direct_hardware</x:v>
      </x:c>
      <x:c r="H2" s="75" t="str">
        <x:v>PV_FIXED_TILT_MODULE_FIELD|PV_TRACKER_MODULE_FIELD</x:v>
      </x:c>
      <x:c r="I2" s="75" t="str">
        <x:v>tropical_cyclone_wind</x:v>
      </x:c>
      <x:c r="J2" s="75" t="str">
        <x:v>direct_vulnerable_value</x:v>
      </x:c>
      <x:c r="K2" s="76" t="b">
        <x:v>1</x:v>
      </x:c>
      <x:c r="L2" s="75" t="str">
        <x:v>Candidate same-unit denominator only for the active selected architecture with explicit site value and exposure; model v0.1 loss remains withheld.</x:v>
      </x:c>
      <x:c r="M2" s="75" t="str">
        <x:v>Never charge both architectures, reuse a neighboring-pathway DR, or charge module replacement again through a future terminal-structure rule.</x:v>
      </x:c>
      <x:c r="N2" s="75" t="str">
        <x:v>mapped_candidate_no_runtime_curve</x:v>
      </x:c>
      <x:c r="O2" s="75" t="str">
        <x:v>Exact Q1-2025 reference row reused from strong_wind_solar; TCWS-S013 is the cell source-register cross-reference. Benchmark is not an implicit site default or cap.</x:v>
      </x:c>
    </x:row>
    <x:row r="3" ht="21.600000381469727" hidden="0" customHeight="1">
      <x:c r="A3" s="75" t="str">
        <x:v>NLR_Q1_2025_UPV_PV_ONLY_2024_USD</x:v>
      </x:c>
      <x:c r="B3" s="75" t="str">
        <x:v>docs/method/value_basis/solar_wind_value_breakdown.xlsx::Solar_Map!3</x:v>
      </x:c>
      <x:c r="C3" s="75" t="str">
        <x:v>SOLAR_VALUE_003_MOUNTING</x:v>
      </x:c>
      <x:c r="D3" s="75" t="str">
        <x:v>Tracker/racking hardware</x:v>
      </x:c>
      <x:c r="E3" s="80" t="n">
        <x:v>109.98972602739727</x:v>
      </x:c>
      <x:c r="F3" s="75" t="str">
        <x:v>2024_USD_per_kWdc</x:v>
      </x:c>
      <x:c r="G3" s="75" t="str">
        <x:v>direct_hardware</x:v>
      </x:c>
      <x:c r="H3" s="75" t="str">
        <x:v>PV_FIXED_TILT_SUPPORT_STRUCTURE|PV_TRACKER_SBOS_ASSEMBLY</x:v>
      </x:c>
      <x:c r="I3" s="75" t="str">
        <x:v>tropical_cyclone_wind</x:v>
      </x:c>
      <x:c r="J3" s="75" t="str">
        <x:v>direct_vulnerable_value</x:v>
      </x:c>
      <x:c r="K3" s="76" t="b">
        <x:v>1</x:v>
      </x:c>
      <x:c r="L3" s="75" t="str">
        <x:v>Candidate same-unit denominator only for the active architecture when the site BOM supports transfer; fixed tilt requires explicit site value.</x:v>
      </x:c>
      <x:c r="M3" s="75" t="str">
        <x:v>Do not split torque tube, drive, rails, piles, and foundations beyond source support; do not sum fixed and tracker units or inherit strong-wind curves.</x:v>
      </x:c>
      <x:c r="N3" s="75" t="str">
        <x:v>mapped_candidate_no_runtime_curve</x:v>
      </x:c>
      <x:c r="O3" s="75" t="str">
        <x:v>Architecture-generic reference row; tracker/fixed composition transfer remains limited and no TC-wind curve exists.</x:v>
      </x:c>
    </x:row>
    <x:row r="4" ht="21.600000381469727" hidden="0" customHeight="1">
      <x:c r="A4" s="75" t="str">
        <x:v>NLR_Q1_2025_UPV_PV_ONLY_2024_USD</x:v>
      </x:c>
      <x:c r="B4" s="75" t="str">
        <x:v>docs/method/value_basis/solar_wind_value_breakdown.xlsx::Solar_Map!4</x:v>
      </x:c>
      <x:c r="C4" s="75" t="str">
        <x:v>SOLAR_VALUE_004_FOUNDATION</x:v>
      </x:c>
      <x:c r="D4" s="75" t="str">
        <x:v>Driven piers + inverter pad</x:v>
      </x:c>
      <x:c r="E4" s="80" t="n">
        <x:v>31.12448715327472</x:v>
      </x:c>
      <x:c r="F4" s="75" t="str">
        <x:v>2024_USD_per_kWdc</x:v>
      </x:c>
      <x:c r="G4" s="75" t="str">
        <x:v>direct_hardware</x:v>
      </x:c>
      <x:c r="H4" s="75" t="str">
        <x:v>PV_FOUNDATION</x:v>
      </x:c>
      <x:c r="I4" s="75" t="str">
        <x:v>tropical_cyclone_wind</x:v>
      </x:c>
      <x:c r="J4" s="75" t="str">
        <x:v>withheld</x:v>
      </x:c>
      <x:c r="K4" s="76" t="b">
        <x:v>0</x:v>
      </x:c>
      <x:c r="L4" s="75" t="str">
        <x:v>Retain for reconciliation; require architecture/geotechnical split and separate TC-wind fragility before loss.</x:v>
      </x:c>
      <x:c r="M4" s="75" t="str">
        <x:v>Never inherit module/support DR or include surge, flood, or scour in this pathway.</x:v>
      </x:c>
      <x:c r="N4" s="75" t="str">
        <x:v>withheld</x:v>
      </x:c>
      <x:c r="O4" s="75" t="str">
        <x:v>Mixed foundation bucket; absence of a curve is not zero damage.</x:v>
      </x:c>
    </x:row>
    <x:row r="5" ht="21.600000381469727" hidden="0" customHeight="1">
      <x:c r="A5" s="75" t="str">
        <x:v>NLR_Q1_2025_UPV_PV_ONLY_2024_USD</x:v>
      </x:c>
      <x:c r="B5" s="75" t="str">
        <x:v>docs/method/value_basis/solar_wind_value_breakdown.xlsx::Solar_Map!5</x:v>
      </x:c>
      <x:c r="C5" s="75" t="str">
        <x:v>SOLAR_VALUE_005_INVERTER</x:v>
      </x:c>
      <x:c r="D5" s="75" t="str">
        <x:v>Central inverter hardware</x:v>
      </x:c>
      <x:c r="E5" s="80" t="n">
        <x:v>32.306366410372384</x:v>
      </x:c>
      <x:c r="F5" s="75" t="str">
        <x:v>2024_USD_per_kWdc</x:v>
      </x:c>
      <x:c r="G5" s="75" t="str">
        <x:v>direct_hardware</x:v>
      </x:c>
      <x:c r="H5" s="75" t="str">
        <x:v>PV_POWER_CONVERSION_AND_COLLECTION</x:v>
      </x:c>
      <x:c r="I5" s="75" t="str">
        <x:v>tropical_cyclone_wind</x:v>
      </x:c>
      <x:c r="J5" s="75" t="str">
        <x:v>withheld</x:v>
      </x:c>
      <x:c r="K5" s="76" t="b">
        <x:v>0</x:v>
      </x:c>
      <x:c r="L5" s="75" t="str">
        <x:v>Separate point-asset exposure, enclosure state, and direct TC-wind mechanism required.</x:v>
      </x:c>
      <x:c r="M5" s="75" t="str">
        <x:v>Do not apply array pressure DR or array exposed fraction.</x:v>
      </x:c>
      <x:c r="N5" s="75" t="str">
        <x:v>withheld</x:v>
      </x:c>
      <x:c r="O5" s="75" t="str">
        <x:v>No qualified direct TC-wind inverter curve.</x:v>
      </x:c>
    </x:row>
    <x:row r="6" ht="21.600000381469727" hidden="0" customHeight="1">
      <x:c r="A6" s="75" t="str">
        <x:v>NLR_Q1_2025_UPV_PV_ONLY_2024_USD</x:v>
      </x:c>
      <x:c r="B6" s="75" t="str">
        <x:v>docs/method/value_basis/solar_wind_value_breakdown.xlsx::Solar_Map!6</x:v>
      </x:c>
      <x:c r="C6" s="75" t="str">
        <x:v>SOLAR_VALUE_006_COMBINER</x:v>
      </x:c>
      <x:c r="D6" s="75" t="str">
        <x:v>Combiner boxes</x:v>
      </x:c>
      <x:c r="E6" s="80" t="n">
        <x:v>6.82625</x:v>
      </x:c>
      <x:c r="F6" s="75" t="str">
        <x:v>2024_USD_per_kWdc</x:v>
      </x:c>
      <x:c r="G6" s="75" t="str">
        <x:v>direct_hardware</x:v>
      </x:c>
      <x:c r="H6" s="75" t="str">
        <x:v>PV_POWER_CONVERSION_AND_COLLECTION</x:v>
      </x:c>
      <x:c r="I6" s="75" t="str">
        <x:v>tropical_cyclone_wind</x:v>
      </x:c>
      <x:c r="J6" s="75" t="str">
        <x:v>withheld</x:v>
      </x:c>
      <x:c r="K6" s="76" t="b">
        <x:v>0</x:v>
      </x:c>
      <x:c r="L6" s="75" t="str">
        <x:v>Split enclosure, location, wind pressure, debris, and ingress pathways before modeling.</x:v>
      </x:c>
      <x:c r="M6" s="75" t="str">
        <x:v>Do not pool with inverter, cable, GSU, or module response; debris and ingress are excluded pathways.</x:v>
      </x:c>
      <x:c r="N6" s="75" t="str">
        <x:v>withheld</x:v>
      </x:c>
      <x:c r="O6" s="75" t="str">
        <x:v>No qualified direct aerodynamic curve.</x:v>
      </x:c>
    </x:row>
    <x:row r="7" ht="21.600000381469727" hidden="0" customHeight="1">
      <x:c r="A7" s="75" t="str">
        <x:v>NLR_Q1_2025_UPV_PV_ONLY_2024_USD</x:v>
      </x:c>
      <x:c r="B7" s="75" t="str">
        <x:v>docs/method/value_basis/solar_wind_value_breakdown.xlsx::Solar_Map!7</x:v>
      </x:c>
      <x:c r="C7" s="75" t="str">
        <x:v>SOLAR_VALUE_007_CABLE</x:v>
      </x:c>
      <x:c r="D7" s="75" t="str">
        <x:v>AC and DC conductors and project electrical line</x:v>
      </x:c>
      <x:c r="E7" s="80" t="n">
        <x:v>69.3201119402985</x:v>
      </x:c>
      <x:c r="F7" s="75" t="str">
        <x:v>2024_USD_per_kWdc</x:v>
      </x:c>
      <x:c r="G7" s="75" t="str">
        <x:v>direct_hardware</x:v>
      </x:c>
      <x:c r="H7" s="75" t="str">
        <x:v>PV_POWER_CONVERSION_AND_COLLECTION</x:v>
      </x:c>
      <x:c r="I7" s="75" t="str">
        <x:v>tropical_cyclone_wind</x:v>
      </x:c>
      <x:c r="J7" s="75" t="str">
        <x:v>withheld</x:v>
      </x:c>
      <x:c r="K7" s="76" t="b">
        <x:v>0</x:v>
      </x:c>
      <x:c r="L7" s="75" t="str">
        <x:v>Split exposed, buried, conduit, termination, and line/network segments before spatial allocation.</x:v>
      </x:c>
      <x:c r="M7" s="75" t="str">
        <x:v>Do not reuse array-zone or GSU point exposure.</x:v>
      </x:c>
      <x:c r="N7" s="75" t="str">
        <x:v>withheld</x:v>
      </x:c>
      <x:c r="O7" s="75" t="str">
        <x:v>Mixed line-asset value; no qualified TC-wind curve.</x:v>
      </x:c>
    </x:row>
    <x:row r="8" ht="21.600000381469727" hidden="0" customHeight="1">
      <x:c r="A8" s="75" t="str">
        <x:v>NLR_Q1_2025_UPV_PV_ONLY_2024_USD</x:v>
      </x:c>
      <x:c r="B8" s="75" t="str">
        <x:v>docs/method/value_basis/solar_wind_value_breakdown.xlsx::Solar_Map!8</x:v>
      </x:c>
      <x:c r="C8" s="75" t="str">
        <x:v>SOLAR_VALUE_008_MV</x:v>
      </x:c>
      <x:c r="D8" s="75" t="str">
        <x:v>Transformer, switches, breakers and substation</x:v>
      </x:c>
      <x:c r="E8" s="80" t="n">
        <x:v>106.50466417910448</x:v>
      </x:c>
      <x:c r="F8" s="75" t="str">
        <x:v>2024_USD_per_kWdc</x:v>
      </x:c>
      <x:c r="G8" s="75" t="str">
        <x:v>direct_hardware</x:v>
      </x:c>
      <x:c r="H8" s="75" t="str">
        <x:v>PV_GSU_SUBSTATION</x:v>
      </x:c>
      <x:c r="I8" s="75" t="str">
        <x:v>tropical_cyclone_wind</x:v>
      </x:c>
      <x:c r="J8" s="75" t="str">
        <x:v>withheld</x:v>
      </x:c>
      <x:c r="K8" s="76" t="b">
        <x:v>0</x:v>
      </x:c>
      <x:c r="L8" s="75" t="str">
        <x:v>Treat as a shared point/yard subasset and split GSU, switching, and any non-GSU MV content before modeling.</x:v>
      </x:c>
      <x:c r="M8" s="75" t="str">
        <x:v>Reuse only asset-neutral GSU identity/value governance; never apply array exposure or inherit flood, solar-array wind, or wind-farm numerical response.</x:v>
      </x:c>
      <x:c r="N8" s="75" t="str">
        <x:v>withheld_split_required</x:v>
      </x:c>
      <x:c r="O8" s="75" t="str">
        <x:v>Explicit GSU-substation candidate; shared anatomy does not provide a TC-wind curve.</x:v>
      </x:c>
    </x:row>
    <x:row r="9" ht="21.600000381469727" hidden="0" customHeight="1">
      <x:c r="A9" s="75" t="str">
        <x:v>NLR_Q1_2025_UPV_PV_ONLY_2024_USD</x:v>
      </x:c>
      <x:c r="B9" s="75" t="str">
        <x:v>docs/method/value_basis/solar_wind_value_breakdown.xlsx::Solar_Map!9</x:v>
      </x:c>
      <x:c r="C9" s="75" t="str">
        <x:v>SOLAR_VALUE_009_GROUNDING</x:v>
      </x:c>
      <x:c r="D9" s="75" t="str">
        <x:v>Grounding and lightning protection</x:v>
      </x:c>
      <x:c r="E9" s="80" t="n">
        <x:v>8.385</x:v>
      </x:c>
      <x:c r="F9" s="75" t="str">
        <x:v>2024_USD_per_kWdc</x:v>
      </x:c>
      <x:c r="G9" s="75" t="str">
        <x:v>direct_hardware</x:v>
      </x:c>
      <x:c r="H9" s="75" t="str">
        <x:v>PV_POWER_CONVERSION_AND_COLLECTION</x:v>
      </x:c>
      <x:c r="I9" s="75" t="str">
        <x:v>tropical_cyclone_wind</x:v>
      </x:c>
      <x:c r="J9" s="75" t="str">
        <x:v>withheld</x:v>
      </x:c>
      <x:c r="K9" s="76" t="b">
        <x:v>0</x:v>
      </x:c>
      <x:c r="L9" s="75" t="str">
        <x:v>Retain for reconciliation; split grounding from lightning-protection mechanism before modeling.</x:v>
      </x:c>
      <x:c r="M9" s="75" t="str">
        <x:v>Do not inherit array wind response; lightning is a separate pathway.</x:v>
      </x:c>
      <x:c r="N9" s="75" t="str">
        <x:v>withheld</x:v>
      </x:c>
      <x:c r="O9" s="75" t="str">
        <x:v>Mixed grounding/lightning row.</x:v>
      </x:c>
    </x:row>
    <x:row r="10" ht="21.600000381469727" hidden="0" customHeight="1">
      <x:c r="A10" s="75" t="str">
        <x:v>NLR_Q1_2025_UPV_PV_ONLY_2024_USD</x:v>
      </x:c>
      <x:c r="B10" s="75" t="str">
        <x:v>docs/method/value_basis/solar_wind_value_breakdown.xlsx::Solar_Map!10</x:v>
      </x:c>
      <x:c r="C10" s="75" t="str">
        <x:v>SOLAR_VALUE_010_SCADA</x:v>
      </x:c>
      <x:c r="D10" s="75" t="str">
        <x:v>System monitor</x:v>
      </x:c>
      <x:c r="E10" s="80" t="n">
        <x:v>1.31</x:v>
      </x:c>
      <x:c r="F10" s="75" t="str">
        <x:v>2024_USD_per_kWdc</x:v>
      </x:c>
      <x:c r="G10" s="75" t="str">
        <x:v>direct_hardware</x:v>
      </x:c>
      <x:c r="H10" s="75" t="str">
        <x:v>PV_SCADA_COMMUNICATIONS</x:v>
      </x:c>
      <x:c r="I10" s="75" t="str">
        <x:v>tropical_cyclone_wind</x:v>
      </x:c>
      <x:c r="J10" s="75" t="str">
        <x:v>withheld</x:v>
      </x:c>
      <x:c r="K10" s="76" t="b">
        <x:v>0</x:v>
      </x:c>
      <x:c r="L10" s="75" t="str">
        <x:v>Split enclosure, location, communications, control function, and point/network exposure.</x:v>
      </x:c>
      <x:c r="M10" s="75" t="str">
        <x:v>Tracker control state may condition demand but is not a duplicate SCADA physical loss by default.</x:v>
      </x:c>
      <x:c r="N10" s="75" t="str">
        <x:v>withheld</x:v>
      </x:c>
      <x:c r="O10" s="75" t="str">
        <x:v>No qualified direct TC-wind SCADA curve.</x:v>
      </x:c>
    </x:row>
    <x:row r="11" ht="21.600000381469727" hidden="0" customHeight="1">
      <x:c r="A11" s="75" t="str">
        <x:v>NLR_Q1_2025_UPV_PV_ONLY_2024_USD</x:v>
      </x:c>
      <x:c r="B11" s="75" t="str">
        <x:v>docs/method/value_basis/solar_wind_value_breakdown.xlsx::Solar_Map!11</x:v>
      </x:c>
      <x:c r="C11" s="75" t="str">
        <x:v>SOLAR_VALUE_011_NETWORK</x:v>
      </x:c>
      <x:c r="D11" s="75" t="str">
        <x:v>Grid network upgrade</x:v>
      </x:c>
      <x:c r="E11" s="80" t="n">
        <x:v>0</x:v>
      </x:c>
      <x:c r="F11" s="75" t="str">
        <x:v>2024_USD_per_kWdc</x:v>
      </x:c>
      <x:c r="G11" s="75" t="str">
        <x:v>excluded_nonphysical</x:v>
      </x:c>
      <x:c r="H11" s="75" t="str">
        <x:v>OUTSIDE_PHYSICAL_CELL</x:v>
      </x:c>
      <x:c r="I11" s="75" t="str">
        <x:v>tropical_cyclone_wind</x:v>
      </x:c>
      <x:c r="J11" s="75" t="str">
        <x:v>excluded</x:v>
      </x:c>
      <x:c r="K11" s="76" t="b">
        <x:v>0</x:v>
      </x:c>
      <x:c r="L11" s="75" t="str">
        <x:v>Exclude.</x:v>
      </x:c>
      <x:c r="M11" s="75" t="str">
        <x:v>Never reintroduce through physical loss or support scaling.</x:v>
      </x:c>
      <x:c r="N11" s="75" t="str">
        <x:v>excluded</x:v>
      </x:c>
      <x:c r="O11" s="75" t="str">
        <x:v>Zero reference row.</x:v>
      </x:c>
    </x:row>
    <x:row r="12" ht="21.600000381469727" hidden="0" customHeight="1">
      <x:c r="A12" s="75" t="str">
        <x:v>NLR_Q1_2025_UPV_PV_ONLY_2024_USD</x:v>
      </x:c>
      <x:c r="B12" s="75" t="str">
        <x:v>docs/method/value_basis/solar_wind_value_breakdown.xlsx::Solar_Map!12</x:v>
      </x:c>
      <x:c r="C12" s="75" t="str">
        <x:v>SOLAR_VALUE_012_SBOS_LABOR</x:v>
      </x:c>
      <x:c r="D12" s="75" t="str">
        <x:v>Mounting field labor</x:v>
      </x:c>
      <x:c r="E12" s="80" t="n">
        <x:v>43.273972602739725</x:v>
      </x:c>
      <x:c r="F12" s="75" t="str">
        <x:v>2024_USD_per_kWdc</x:v>
      </x:c>
      <x:c r="G12" s="75" t="str">
        <x:v>replacement_support_cost</x:v>
      </x:c>
      <x:c r="H12" s="75" t="str">
        <x:v>PV_REPLACEMENT_SUPPORT</x:v>
      </x:c>
      <x:c r="I12" s="75" t="str">
        <x:v>tropical_cyclone_wind</x:v>
      </x:c>
      <x:c r="J12" s="75" t="str">
        <x:v>support_once</x:v>
      </x:c>
      <x:c r="K12" s="76" t="b">
        <x:v>0</x:v>
      </x:c>
      <x:c r="L12" s="75" t="str">
        <x:v>Allocate once after qualified direct module/structure state and repair scope using a reviewed reinstatement rule.</x:v>
      </x:c>
      <x:c r="M12" s="75" t="str">
        <x:v>No intrinsic DR and no duplication inside failure-unit denominators or downstream support.</x:v>
      </x:c>
      <x:c r="N12" s="75" t="str">
        <x:v>mapped_support_rule_open</x:v>
      </x:c>
      <x:c r="O12" s="75" t="str">
        <x:v>Not all greenfield labor necessarily recurs; model v0.1 scenario loss is withheld.</x:v>
      </x:c>
    </x:row>
    <x:row r="13" ht="21.600000381469727" hidden="0" customHeight="1">
      <x:c r="A13" s="75" t="str">
        <x:v>NLR_Q1_2025_UPV_PV_ONLY_2024_USD</x:v>
      </x:c>
      <x:c r="B13" s="75" t="str">
        <x:v>docs/method/value_basis/solar_wind_value_breakdown.xlsx::Solar_Map!13</x:v>
      </x:c>
      <x:c r="C13" s="75" t="str">
        <x:v>SOLAR_VALUE_013_EBOS_LABOR</x:v>
      </x:c>
      <x:c r="D13" s="75" t="str">
        <x:v>Electrical field labor</x:v>
      </x:c>
      <x:c r="E13" s="80" t="n">
        <x:v>39.447761194029844</x:v>
      </x:c>
      <x:c r="F13" s="75" t="str">
        <x:v>2024_USD_per_kWdc</x:v>
      </x:c>
      <x:c r="G13" s="75" t="str">
        <x:v>replacement_support_cost</x:v>
      </x:c>
      <x:c r="H13" s="75" t="str">
        <x:v>PV_REPLACEMENT_SUPPORT</x:v>
      </x:c>
      <x:c r="I13" s="75" t="str">
        <x:v>tropical_cyclone_wind</x:v>
      </x:c>
      <x:c r="J13" s="75" t="str">
        <x:v>support_once</x:v>
      </x:c>
      <x:c r="K13" s="76" t="b">
        <x:v>0</x:v>
      </x:c>
      <x:c r="L13" s="75" t="str">
        <x:v>Allocate only when separately qualified electrical, collection, GSU, or SCADA repair work occurs.</x:v>
      </x:c>
      <x:c r="M13" s="75" t="str">
        <x:v>Do not scale by array DR or charge across several electrical subjects by default.</x:v>
      </x:c>
      <x:c r="N13" s="75" t="str">
        <x:v>mapped_support_rule_open</x:v>
      </x:c>
      <x:c r="O13" s="75" t="str">
        <x:v>No independent curve; all associated direct electrical units are withheld.</x:v>
      </x:c>
    </x:row>
    <x:row r="14" ht="21.600000381469727" hidden="0" customHeight="1">
      <x:c r="A14" s="75" t="str">
        <x:v>NLR_Q1_2025_UPV_PV_ONLY_2024_USD</x:v>
      </x:c>
      <x:c r="B14" s="75" t="str">
        <x:v>docs/method/value_basis/solar_wind_value_breakdown.xlsx::Solar_Map!14</x:v>
      </x:c>
      <x:c r="C14" s="75" t="str">
        <x:v>SOLAR_VALUE_014_CIVIL</x:v>
      </x:c>
      <x:c r="D14" s="75" t="str">
        <x:v>Grading, fencing, roads and buildings</x:v>
      </x:c>
      <x:c r="E14" s="80" t="n">
        <x:v>31.223744292237445</x:v>
      </x:c>
      <x:c r="F14" s="75" t="str">
        <x:v>2024_USD_per_kWdc</x:v>
      </x:c>
      <x:c r="G14" s="75" t="str">
        <x:v>mixed_civil_replacement_bucket</x:v>
      </x:c>
      <x:c r="H14" s="75" t="str">
        <x:v>PV_CIVIL_INFRA</x:v>
      </x:c>
      <x:c r="I14" s="75" t="str">
        <x:v>tropical_cyclone_wind</x:v>
      </x:c>
      <x:c r="J14" s="75" t="str">
        <x:v>withheld</x:v>
      </x:c>
      <x:c r="K14" s="76" t="b">
        <x:v>0</x:v>
      </x:c>
      <x:c r="L14" s="75" t="str">
        <x:v>Split line, network, area, point, and building subjects before exposure and damage modeling.</x:v>
      </x:c>
      <x:c r="M14" s="75" t="str">
        <x:v>Do not reuse array-zone exposure or structure DR.</x:v>
      </x:c>
      <x:c r="N14" s="75" t="str">
        <x:v>withheld</x:v>
      </x:c>
      <x:c r="O14" s="75" t="str">
        <x:v>Mixed civil bucket; access/downtime is outside the physical curve.</x:v>
      </x:c>
    </x:row>
    <x:row r="15" ht="21.600000381469727" hidden="0" customHeight="1">
      <x:c r="A15" s="75" t="str">
        <x:v>NLR_Q1_2025_UPV_PV_ONLY_2024_USD</x:v>
      </x:c>
      <x:c r="B15" s="75" t="str">
        <x:v>docs/method/value_basis/solar_wind_value_breakdown.xlsx::Solar_Map!15</x:v>
      </x:c>
      <x:c r="C15" s="75" t="str">
        <x:v>SOLAR_VALUE_015_GENERAL_SUPPORT</x:v>
      </x:c>
      <x:c r="D15" s="75" t="str">
        <x:v>Site management, equipment rental and inspection</x:v>
      </x:c>
      <x:c r="E15" s="80" t="n">
        <x:v>106.86876712328767</x:v>
      </x:c>
      <x:c r="F15" s="75" t="str">
        <x:v>2024_USD_per_kWdc</x:v>
      </x:c>
      <x:c r="G15" s="75" t="str">
        <x:v>replacement_support_cost</x:v>
      </x:c>
      <x:c r="H15" s="75" t="str">
        <x:v>PV_REPLACEMENT_SUPPORT</x:v>
      </x:c>
      <x:c r="I15" s="75" t="str">
        <x:v>tropical_cyclone_wind</x:v>
      </x:c>
      <x:c r="J15" s="75" t="str">
        <x:v>support_once</x:v>
      </x:c>
      <x:c r="K15" s="76" t="b">
        <x:v>0</x:v>
      </x:c>
      <x:c r="L15" s="75" t="str">
        <x:v>Allocate once at reviewed repair scope; site rule required.</x:v>
      </x:c>
      <x:c r="M15" s="75" t="str">
        <x:v>Do not multiply independently by module, structure, GSU, or other unit DRs.</x:v>
      </x:c>
      <x:c r="N15" s="75" t="str">
        <x:v>mapped_support_rule_open</x:v>
      </x:c>
      <x:c r="O15" s="75" t="str">
        <x:v>No independent curve; model v0.1 scenario loss is withheld.</x:v>
      </x:c>
    </x:row>
    <x:row r="16" ht="21.600000381469727" hidden="0" customHeight="1">
      <x:c r="A16" s="75" t="str">
        <x:v>NLR_Q1_2025_UPV_PV_ONLY_2024_USD</x:v>
      </x:c>
      <x:c r="B16" s="75" t="str">
        <x:v>docs/method/value_basis/solar_wind_value_breakdown.xlsx::Solar_Map!16-17</x:v>
      </x:c>
      <x:c r="C16" s="75" t="str">
        <x:v>SOLAR_VALUE_016_017_EXCLUDED</x:v>
      </x:c>
      <x:c r="D16" s="75" t="str">
        <x:v>Officework and other soft/nonphysical value</x:v>
      </x:c>
      <x:c r="E16" s="80" t="n">
        <x:v>242.20429763733296</x:v>
      </x:c>
      <x:c r="F16" s="75" t="str">
        <x:v>2024_USD_per_kWdc</x:v>
      </x:c>
      <x:c r="G16" s="75" t="str">
        <x:v>excluded_soft_sunk_nonphysical</x:v>
      </x:c>
      <x:c r="H16" s="75" t="str">
        <x:v>OUTSIDE_PHYSICAL_CELL</x:v>
      </x:c>
      <x:c r="I16" s="75" t="str">
        <x:v>tropical_cyclone_wind</x:v>
      </x:c>
      <x:c r="J16" s="75" t="str">
        <x:v>excluded</x:v>
      </x:c>
      <x:c r="K16" s="76" t="b">
        <x:v>0</x:v>
      </x:c>
      <x:c r="L16" s="75" t="str">
        <x:v>Exclude from the physical denominator unless a separate explicit insured-value contract says otherwise.</x:v>
      </x:c>
      <x:c r="M16" s="75" t="str">
        <x:v>Never turn installed-TIV share into an intrinsic DR cap or reintroduce through support.</x:v>
      </x:c>
      <x:c r="N16" s="75" t="str">
        <x:v>excluded</x:v>
      </x:c>
      <x:c r="O16" s="75" t="str">
        <x:v>Installed 1120 minus physical 877.7957023626668.</x:v>
      </x:c>
    </x:row>
    <x:row r="17" ht="21.600000381469727" hidden="0" customHeight="1">
      <x:c r="A17" s="75" t="str">
        <x:v>NLR_Q1_2025_UPV_PV_ONLY_2024_USD</x:v>
      </x:c>
      <x:c r="B17" s="75" t="str">
        <x:v>docs/method/value_basis/solar_wind_value_breakdown.xlsx::Solar_Map summary</x:v>
      </x:c>
      <x:c r="C17" s="75" t="str">
        <x:v>SOLAR_VALUE_SUMMARY_DIRECT</x:v>
      </x:c>
      <x:c r="D17" s="75" t="str">
        <x:v>Direct hardware subtotal</x:v>
      </x:c>
      <x:c r="E17" s="80" t="n">
        <x:v>656.9814571503722</x:v>
      </x:c>
      <x:c r="F17" s="75" t="str">
        <x:v>2024_USD_per_kWdc</x:v>
      </x:c>
      <x:c r="G17" s="75" t="str">
        <x:v>reconciliation</x:v>
      </x:c>
      <x:c r="H17" s="75" t="str">
        <x:v>ALL_DIRECT_FAILURE_UNITS</x:v>
      </x:c>
      <x:c r="I17" s="75" t="str">
        <x:v>tropical_cyclone_wind</x:v>
      </x:c>
      <x:c r="J17" s="75" t="str">
        <x:v>reference_only</x:v>
      </x:c>
      <x:c r="K17" s="76" t="b">
        <x:v>0</x:v>
      </x:c>
      <x:c r="L17" s="75" t="str">
        <x:v>Reconcile rows 2-10; never pool under one curve.</x:v>
      </x:c>
      <x:c r="M17" s="75" t="str">
        <x:v>Candidate array units cover only module and mounting anatomy; withheld direct units remain unknown rather than zero.</x:v>
      </x:c>
      <x:c r="N17" s="75" t="str">
        <x:v>reconciled_reference_only</x:v>
      </x:c>
      <x:c r="O17" s="75" t="str">
        <x:v>Reference only; no model v0.1 monetary loss.</x:v>
      </x:c>
    </x:row>
    <x:row r="18" ht="21.600000381469727" hidden="0" customHeight="1">
      <x:c r="A18" s="75" t="str">
        <x:v>NLR_Q1_2025_UPV_PV_ONLY_2024_USD</x:v>
      </x:c>
      <x:c r="B18" s="75" t="str">
        <x:v>docs/method/value_basis/solar_wind_value_breakdown.xlsx::Solar_Map summary</x:v>
      </x:c>
      <x:c r="C18" s="75" t="str">
        <x:v>SOLAR_VALUE_SUMMARY_PHYSICAL</x:v>
      </x:c>
      <x:c r="D18" s="75" t="str">
        <x:v>Physical replaceable reference basis</x:v>
      </x:c>
      <x:c r="E18" s="80" t="n">
        <x:v>877.7957023626668</x:v>
      </x:c>
      <x:c r="F18" s="75" t="str">
        <x:v>2024_USD_per_kWdc</x:v>
      </x:c>
      <x:c r="G18" s="75" t="str">
        <x:v>reconciliation</x:v>
      </x:c>
      <x:c r="H18" s="75" t="str">
        <x:v>ALL_PHYSICAL_FAILURE_UNITS_AND_SUPPORT</x:v>
      </x:c>
      <x:c r="I18" s="75" t="str">
        <x:v>tropical_cyclone_wind</x:v>
      </x:c>
      <x:c r="J18" s="75" t="str">
        <x:v>reference_only</x:v>
      </x:c>
      <x:c r="K18" s="76" t="b">
        <x:v>0</x:v>
      </x:c>
      <x:c r="L18" s="75" t="str">
        <x:v>Physical reference equals direct hardware plus replacement/civil/support rows.</x:v>
      </x:c>
      <x:c r="M18" s="75" t="str">
        <x:v>No pooled physical-base DR may bypass unit, exposure, withholding, or support-once rules.</x:v>
      </x:c>
      <x:c r="N18" s="75" t="str">
        <x:v>reconciled_reference_only</x:v>
      </x:c>
      <x:c r="O18" s="75" t="str">
        <x:v>Withheld rows are unknown, not zero; no model v0.1 monetary loss.</x:v>
      </x:c>
    </x:row>
    <x:row r="19" ht="21.600000381469727" hidden="0" customHeight="1">
      <x:c r="A19" s="75" t="str">
        <x:v>NLR_Q1_2025_UPV_PV_ONLY_2024_USD</x:v>
      </x:c>
      <x:c r="B19" s="75" t="str">
        <x:v>docs/method/value_basis/solar_wind_value_breakdown.xlsx::Solar_Map summary</x:v>
      </x:c>
      <x:c r="C19" s="75" t="str">
        <x:v>SOLAR_VALUE_SUMMARY_INSTALLED</x:v>
      </x:c>
      <x:c r="D19" s="75" t="str">
        <x:v>Installed CAPEX reference basis</x:v>
      </x:c>
      <x:c r="E19" s="80" t="n">
        <x:v>1120</x:v>
      </x:c>
      <x:c r="F19" s="75" t="str">
        <x:v>2024_USD_per_kWdc</x:v>
      </x:c>
      <x:c r="G19" s="75" t="str">
        <x:v>installed_reference</x:v>
      </x:c>
      <x:c r="H19" s="75" t="str">
        <x:v>OUTSIDE_INTRINSIC_CURVE</x:v>
      </x:c>
      <x:c r="I19" s="75" t="str">
        <x:v>tropical_cyclone_wind</x:v>
      </x:c>
      <x:c r="J19" s="75" t="str">
        <x:v>reference_only</x:v>
      </x:c>
      <x:c r="K19" s="76" t="b">
        <x:v>0</x:v>
      </x:c>
      <x:c r="L19" s="75" t="str">
        <x:v>Reporting conversion only with an explicit numerator and denominator label.</x:v>
      </x:c>
      <x:c r="M19" s="75" t="str">
        <x:v>Not an intrinsic curve denominator, cap, site default, or authorization for whole-plant exposure.</x:v>
      </x:c>
      <x:c r="N19" s="75" t="str">
        <x:v>reconciled_reference_only</x:v>
      </x:c>
      <x:c r="O19" s="75" t="str">
        <x:v>Module plus mounting reference is 0.35821837273868046 of installed; value share is not DR.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34" hidden="0" customWidth="1"/>
    <x:col min="4" max="4" width="36" hidden="0" customWidth="1"/>
    <x:col min="5" max="5" width="22" hidden="0" customWidth="1"/>
    <x:col min="6" max="6" width="22" hidden="0" customWidth="1"/>
    <x:col min="7" max="7" width="44" hidden="0" customWidth="1"/>
  </x:cols>
  <x:sheetData>
    <x:row r="1" ht="21.600000381469727" hidden="0" customHeight="1">
      <x:c r="A1" s="3" t="str">
        <x:v>Failure-unit and exposure plan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Withheld means unresolved/not released; it never means zero damage.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3" t="str">
        <x:v>ID</x:v>
      </x:c>
      <x:c r="B4" s="13" t="str">
        <x:v>Physical subject</x:v>
      </x:c>
      <x:c r="C4" s="13" t="str">
        <x:v>Coverage role</x:v>
      </x:c>
      <x:c r="D4" s="13" t="str">
        <x:v>Natural exposure grain</x:v>
      </x:c>
      <x:c r="E4" s="13" t="str">
        <x:v>Reference value</x:v>
      </x:c>
      <x:c r="F4" s="13" t="str">
        <x:v>v0.1 result</x:v>
      </x:c>
      <x:c r="G4" s="13" t="str">
        <x:v>Promotion blocker</x:v>
      </x:c>
    </x:row>
    <x:row r="5" ht="15" hidden="0" customHeight="1">
      <x:c r="A5" s="20" t="str">
        <x:v>PV_FIXED_TILT_MODULE_FIELD</x:v>
      </x:c>
      <x:c r="B5" s="20" t="str">
        <x:v>Modules + frames + clamps/retention</x:v>
      </x:c>
      <x:c r="C5" s="20" t="str">
        <x:v>primary candidate</x:v>
      </x:c>
      <x:c r="D5" s="20" t="str">
        <x:v>module/row/array block</x:v>
      </x:c>
      <x:c r="E5" s="20" t="str">
        <x:v>291.214851 USD/kWdc</x:v>
      </x:c>
      <x:c r="F5" s="20" t="str">
        <x:v>no curve</x:v>
      </x:c>
      <x:c r="G5" s="20" t="str">
        <x:v>All-severity disposition and same-unit cost</x:v>
      </x:c>
    </x:row>
    <x:row r="6" ht="24" hidden="0" customHeight="1">
      <x:c r="A6" s="20" t="str">
        <x:v>PV_FIXED_TILT_SUPPORT_STRUCTURE</x:v>
      </x:c>
      <x:c r="B6" s="20" t="str">
        <x:v>Rails + posts + braces + connections</x:v>
      </x:c>
      <x:c r="C6" s="20" t="str">
        <x:v>primary candidate</x:v>
      </x:c>
      <x:c r="D6" s="20" t="str">
        <x:v>row/array block</x:v>
      </x:c>
      <x:c r="E6" s="20" t="str">
        <x:v>109.989726 USD/kWdc shared row</x:v>
      </x:c>
      <x:c r="F6" s="20" t="str">
        <x:v>no curve</x:v>
      </x:c>
      <x:c r="G6" s="20" t="str">
        <x:v>Qualified pressure bridge, states, cost and fixed BOM</x:v>
      </x:c>
    </x:row>
    <x:row r="7" ht="15" hidden="0" customHeight="1">
      <x:c r="A7" s="20" t="str">
        <x:v>PV_TRACKER_MODULE_FIELD</x:v>
      </x:c>
      <x:c r="B7" s="20" t="str">
        <x:v>Modules + frames + clamps on exact tracker</x:v>
      </x:c>
      <x:c r="C7" s="20" t="str">
        <x:v>exact-system primary candidate</x:v>
      </x:c>
      <x:c r="D7" s="20" t="str">
        <x:v>module/row/array block</x:v>
      </x:c>
      <x:c r="E7" s="20" t="str">
        <x:v>291.214851 USD/kWdc</x:v>
      </x:c>
      <x:c r="F7" s="20" t="str">
        <x:v>no curve</x:v>
      </x:c>
      <x:c r="G7" s="20" t="str">
        <x:v>Tracker-specific response/disposition/cost</x:v>
      </x:c>
    </x:row>
    <x:row r="8" ht="24" hidden="0" customHeight="1">
      <x:c r="A8" s="20" t="str">
        <x:v>PV_TRACKER_SBOS_ASSEMBLY</x:v>
      </x:c>
      <x:c r="B8" s="20" t="str">
        <x:v>Torque tube + bearings + drive + structure</x:v>
      </x:c>
      <x:c r="C8" s="20" t="str">
        <x:v>exact-system primary candidate</x:v>
      </x:c>
      <x:c r="D8" s="20" t="str">
        <x:v>row/array block</x:v>
      </x:c>
      <x:c r="E8" s="20" t="str">
        <x:v>109.989726 USD/kWdc shared row</x:v>
      </x:c>
      <x:c r="F8" s="20" t="str">
        <x:v>no curve</x:v>
      </x:c>
      <x:c r="G8" s="20" t="str">
        <x:v>Exact Ucrit/history/state and site BOM</x:v>
      </x:c>
    </x:row>
    <x:row r="9" ht="15" hidden="0" customHeight="1">
      <x:c r="A9" s="20" t="str">
        <x:v>PV_FOUNDATION</x:v>
      </x:c>
      <x:c r="B9" s="20" t="str">
        <x:v>Piles/posts/anchors/pads</x:v>
      </x:c>
      <x:c r="C9" s="20" t="str">
        <x:v>separate physical candidate</x:v>
      </x:c>
      <x:c r="D9" s="20" t="str">
        <x:v>row/point/zone after split</x:v>
      </x:c>
      <x:c r="E9" s="20" t="str">
        <x:v>31.124487 USD/kWdc</x:v>
      </x:c>
      <x:c r="F9" s="20" t="str">
        <x:v>withheld, not zero</x:v>
      </x:c>
      <x:c r="G9" s="20" t="str">
        <x:v>Boundary, capacity, disposition and dependency</x:v>
      </x:c>
    </x:row>
    <x:row r="10" ht="15" hidden="0" customHeight="1">
      <x:c r="A10" s="20" t="str">
        <x:v>PV_POWER_CONVERSION_AND_COLLECTION</x:v>
      </x:c>
      <x:c r="B10" s="20" t="str">
        <x:v>Inverter + combiner + cable + grounding</x:v>
      </x:c>
      <x:c r="C10" s="20" t="str">
        <x:v>decomposition gate</x:v>
      </x:c>
      <x:c r="D10" s="20" t="str">
        <x:v>point + line/network</x:v>
      </x:c>
      <x:c r="E10" s="20" t="str">
        <x:v>116.837728 USD/kWdc</x:v>
      </x:c>
      <x:c r="F10" s="20" t="str">
        <x:v>split required</x:v>
      </x:c>
      <x:c r="G10" s="20" t="str">
        <x:v>Direct-wind mechanism, exposure, disposition and cost</x:v>
      </x:c>
    </x:row>
    <x:row r="11" ht="24" hidden="0" customHeight="1">
      <x:c r="A11" s="20" t="str">
        <x:v>PV_GSU_SUBSTATION</x:v>
      </x:c>
      <x:c r="B11" s="20" t="str">
        <x:v>Transformer + switchgear + breakers + yard systems</x:v>
      </x:c>
      <x:c r="C11" s="20" t="str">
        <x:v>shared-component binding</x:v>
      </x:c>
      <x:c r="D11" s="20" t="str">
        <x:v>shared point/yard polygon</x:v>
      </x:c>
      <x:c r="E11" s="20" t="str">
        <x:v>106.504664 USD/kWdc mixed row</x:v>
      </x:c>
      <x:c r="F11" s="20" t="str">
        <x:v>withheld, not zero</x:v>
      </x:c>
      <x:c r="G11" s="20" t="str">
        <x:v>Site BOM/value/ownership, wind response and cost</x:v>
      </x:c>
    </x:row>
    <x:row r="12" ht="15" hidden="0" customHeight="1">
      <x:c r="A12" s="20" t="str">
        <x:v>PV_SCADA_COMMUNICATIONS</x:v>
      </x:c>
      <x:c r="B12" s="20" t="str">
        <x:v>Monitoring + communications + controls/sensors</x:v>
      </x:c>
      <x:c r="C12" s="20" t="str">
        <x:v>decomposition gate</x:v>
      </x:c>
      <x:c r="D12" s="20" t="str">
        <x:v>point/network</x:v>
      </x:c>
      <x:c r="E12" s="20" t="str">
        <x:v>1.310000 USD/kWdc</x:v>
      </x:c>
      <x:c r="F12" s="20" t="str">
        <x:v>split required</x:v>
      </x:c>
      <x:c r="G12" s="20" t="str">
        <x:v>Location, exposure, dependency and cost</x:v>
      </x:c>
    </x:row>
    <x:row r="13" ht="15" hidden="0" customHeight="1">
      <x:c r="A13" s="20" t="str">
        <x:v>PV_CIVIL_INFRA</x:v>
      </x:c>
      <x:c r="B13" s="20" t="str">
        <x:v>Roads + fence + drainage + buildings</x:v>
      </x:c>
      <x:c r="C13" s="20" t="str">
        <x:v>decomposition gate</x:v>
      </x:c>
      <x:c r="D13" s="20" t="str">
        <x:v>line/network/polygon/point</x:v>
      </x:c>
      <x:c r="E13" s="20" t="str">
        <x:v>31.223744 USD/kWdc</x:v>
      </x:c>
      <x:c r="F13" s="20" t="str">
        <x:v>split required</x:v>
      </x:c>
      <x:c r="G13" s="20" t="str">
        <x:v>Physical subject, direct-wind response and cost</x:v>
      </x:c>
    </x:row>
    <x:row r="14" ht="15" hidden="0" customHeight="1">
      <x:c r="A14" s="20" t="str">
        <x:v>PV_REPLACEMENT_SUPPORT</x:v>
      </x:c>
      <x:c r="B14" s="20" t="str">
        <x:v>Labor + management + rental + inspection</x:v>
      </x:c>
      <x:c r="C14" s="20" t="str">
        <x:v>support allocation</x:v>
      </x:c>
      <x:c r="D14" s="20" t="str">
        <x:v>post-damage repair scope</x:v>
      </x:c>
      <x:c r="E14" s="20" t="str">
        <x:v>189.590501 USD/kWdc</x:v>
      </x:c>
      <x:c r="F14" s="20" t="str">
        <x:v>no intrinsic DR</x:v>
      </x:c>
      <x:c r="G14" s="20" t="str">
        <x:v>Reviewed allocate-once reinstatement rule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48" hidden="0" customWidth="1"/>
  </x:cols>
  <x:sheetData>
    <x:row r="1" ht="21.600000381469727" hidden="0" customHeight="1">
      <x:c r="A1" s="3" t="str">
        <x:v>Candidate structural fragility audit — never runtime DR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Ceferino source-native diagnostic plus field constraints. Numeric values stay in this audit layer and are excluded from curve_records/KAT outputs.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84" t="str">
        <x:v>Ceferino et al.: probability that a large ground-mounted site has extensive clip/racking structural failure affecting &gt;50% of panels • reconstructed 3-second gust • H:L are native-axis diagnostic fixtures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6"/>
    </x:row>
    <x:row r="5" ht="26.399999618530273" hidden="0" customHeight="1">
      <x:c r="A5" s="13" t="str">
        <x:v>Candidate</x:v>
      </x:c>
      <x:c r="B5" s="13" t="str">
        <x:v>Sites</x:v>
      </x:c>
      <x:c r="C5" s="13" t="str">
        <x:v>Observed significant failures</x:v>
      </x:c>
      <x:c r="D5" s="13" t="str">
        <x:v>v median m/s</x:v>
      </x:c>
      <x:c r="E5" s="13" t="str">
        <x:v>beta median</x:v>
      </x:c>
      <x:c r="F5" s="13" t="str">
        <x:v>v posterior SD m/s</x:v>
      </x:c>
      <x:c r="G5" s="13" t="str">
        <x:v>beta posterior SD</x:v>
      </x:c>
      <x:c r="H5" s="87" t="n">
        <x:v>73</x:v>
      </x:c>
      <x:c r="I5" s="87" t="n">
        <x:v>83</x:v>
      </x:c>
      <x:c r="J5" s="87" t="n">
        <x:v>90</x:v>
      </x:c>
      <x:c r="K5" s="87" t="n">
        <x:v>100</x:v>
      </x:c>
      <x:c r="L5" s="87" t="n">
        <x:v>116</x:v>
      </x:c>
      <x:c r="M5" s="13" t="str">
        <x:v>Runtime enabled</x:v>
      </x:c>
      <x:c r="N5" s="13" t="str">
        <x:v>Endpoint/use</x:v>
      </x:c>
    </x:row>
    <x:row r="6" ht="24" hidden="0" customHeight="1">
      <x:c r="A6" s="20" t="str">
        <x:v>CEFERINO_GROUND_MOUNT_EXTENSIVE_FAILURE</x:v>
      </x:c>
      <x:c r="B6" s="20" t="n">
        <x:v>14</x:v>
      </x:c>
      <x:c r="C6" s="20" t="n">
        <x:v>5</x:v>
      </x:c>
      <x:c r="D6" s="88" t="n">
        <x:v>90</x:v>
      </x:c>
      <x:c r="E6" s="88" t="n">
        <x:v>0.15</x:v>
      </x:c>
      <x:c r="F6" s="88" t="n">
        <x:v>6</x:v>
      </x:c>
      <x:c r="G6" s="88" t="n">
        <x:v>0.07</x:v>
      </x:c>
      <x:c r="H6" s="88" t="n">
        <x:f>NORM.S.DIST((LN(H$5)-LN($D6))/$E6,TRUE)</x:f>
        <x:v>0.08140721812687784</x:v>
      </x:c>
      <x:c r="I6" s="88" t="n">
        <x:f>NORM.S.DIST((LN(I$5)-LN($D6))/$E6,TRUE)</x:f>
        <x:v>0.2946696388111597</x:v>
      </x:c>
      <x:c r="J6" s="88" t="n">
        <x:f>NORM.S.DIST((LN(J$5)-LN($D6))/$E6,TRUE)</x:f>
        <x:v>0.5</x:v>
      </x:c>
      <x:c r="K6" s="88" t="n">
        <x:f>NORM.S.DIST((LN(K$5)-LN($D6))/$E6,TRUE)</x:f>
        <x:v>0.758786198981909</x:v>
      </x:c>
      <x:c r="L6" s="88" t="n">
        <x:f>NORM.S.DIST((LN(L$5)-LN($D6))/$E6,TRUE)</x:f>
        <x:v>0.954664631633728</x:v>
      </x:c>
      <x:c r="M6" s="21" t="b">
        <x:v>0</x:v>
      </x:c>
      <x:c r="N6" s="20" t="str">
        <x:v>Site-level composite structural exceedance; audit-only probability, not DR</x:v>
      </x:c>
    </x:row>
    <x:row r="7"/>
    <x:row r="8"/>
    <x:row r="9" ht="15" hidden="0" customHeight="1">
      <x:c r="A9" s="93" t="str">
        <x:v>Field constraints are complementary but may overlap in Irma/Maria sites. Perry is mixed asset classes and imagery-only; St Croix is one compound fixed-tilt total-loss case.</x:v>
      </x:c>
      <x:c r="B9" s="94"/>
      <x:c r="C9" s="94"/>
      <x:c r="D9" s="94"/>
      <x:c r="E9" s="94"/>
      <x:c r="F9" s="94"/>
      <x:c r="G9" s="94"/>
      <x:c r="H9" s="94"/>
      <x:c r="I9" s="94"/>
      <x:c r="J9" s="94"/>
      <x:c r="K9" s="94"/>
      <x:c r="L9" s="94"/>
      <x:c r="M9" s="94"/>
      <x:c r="N9" s="95"/>
    </x:row>
    <x:row r="10"/>
    <x:row r="11" ht="26.399999618530273" hidden="0" customHeight="1">
      <x:c r="A11" s="13" t="str">
        <x:v>Source</x:v>
      </x:c>
      <x:c r="B11" s="13" t="str">
        <x:v>Population</x:v>
      </x:c>
      <x:c r="C11" s="13" t="str">
        <x:v>Visible/significant damage</x:v>
      </x:c>
      <x:c r="D11" s="13" t="str">
        <x:v>&gt;50% damage</x:v>
      </x:c>
      <x:c r="E11" s="13" t="str">
        <x:v>Hazard/demand</x:v>
      </x:c>
      <x:c r="F11" s="13" t="str">
        <x:v>Endpoint</x:v>
      </x:c>
      <x:c r="G11" s="13" t="str">
        <x:v>Permitted use</x:v>
      </x:c>
      <x:c r="H11" s="13" t="str">
        <x:v>Runtime curve</x:v>
      </x:c>
    </x:row>
    <x:row r="12" ht="24" hidden="0" customHeight="1">
      <x:c r="A12" s="20" t="str">
        <x:v>Ceferino 2023</x:v>
      </x:c>
      <x:c r="B12" s="20" t="str">
        <x:v>14 large Caribbean ground sites</x:v>
      </x:c>
      <x:c r="C12" s="20" t="str">
        <x:v>5/14 significant structural failure</x:v>
      </x:c>
      <x:c r="D12" s="20" t="str">
        <x:v>failure definition &gt;50% panels</x:v>
      </x:c>
      <x:c r="E12" s="20" t="str">
        <x:v>reconstructed 3-second gust</x:v>
      </x:c>
      <x:c r="F12" s="20" t="str">
        <x:v>site composite clips/racking</x:v>
      </x:c>
      <x:c r="G12" s="20" t="str">
        <x:v>source-native audit candidate</x:v>
      </x:c>
      <x:c r="H12" s="21" t="b">
        <x:v>0</x:v>
      </x:c>
    </x:row>
    <x:row r="13" ht="24" hidden="0" customHeight="1">
      <x:c r="A13" s="20" t="str">
        <x:v>Perry 2025</x:v>
      </x:c>
      <x:c r="B13" s="20" t="str">
        <x:v>1,534 mixed PV sites</x:v>
      </x:c>
      <x:c r="C13" s="20" t="str">
        <x:v>17% visible damage</x:v>
      </x:c>
      <x:c r="D13" s="20" t="str">
        <x:v>2.8%</x:v>
      </x:c>
      <x:c r="E13" s="20" t="str">
        <x:v>third-party maximum gust</x:v>
      </x:c>
      <x:c r="F13" s="20" t="str">
        <x:v>visible module-area damage</x:v>
      </x:c>
      <x:c r="G13" s="20" t="str">
        <x:v>field prevalence/data design</x:v>
      </x:c>
      <x:c r="H13" s="21" t="b">
        <x:v>0</x:v>
      </x:c>
    </x:row>
    <x:row r="14" ht="24" hidden="0" customHeight="1">
      <x:c r="A14" s="20" t="str">
        <x:v>DOE/FEMP St Croix</x:v>
      </x:c>
      <x:c r="B14" s="20" t="str">
        <x:v>one 469 kW fixed-tilt site</x:v>
      </x:c>
      <x:c r="C14" s="20" t="str">
        <x:v>assessed total loss</x:v>
      </x:c>
      <x:c r="D14" s="20" t="str">
        <x:v>not a population statistic</x:v>
      </x:c>
      <x:c r="E14" s="20" t="str">
        <x:v>compound wind/rain/flood case</x:v>
      </x:c>
      <x:c r="F14" s="20" t="str">
        <x:v>mechanisms + one disposition</x:v>
      </x:c>
      <x:c r="G14" s="20" t="str">
        <x:v>anatomy/selector/compound routing</x:v>
      </x:c>
      <x:c r="H14" s="21" t="b">
        <x:v>0</x:v>
      </x:c>
    </x:row>
    <x:row r="15"/>
    <x:row r="16"/>
    <x:row r="17">
      <x:c r="A17" s="56" t="str">
        <x:v>WITHHOLDING RULE: P(site extensive/visible structural state) ≠ conditional failure-unit economic damage ratio. Architecture split, exhaustive states, disposition, same-unit cost, site value/exposure, and non-overlapping compound mechanisms remain open.</x:v>
      </x:c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8"/>
    </x:row>
    <x:row r="18">
      <x:c r="A18" s="59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1"/>
    </x:row>
  </x:sheetData>
  <x:mergeCells>
    <x:mergeCell ref="A1:N1"/>
    <x:mergeCell ref="A2:N2"/>
    <x:mergeCell ref="A4:N4"/>
    <x:mergeCell ref="A9:N9"/>
    <x:mergeCell ref="A17:N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1.600000381469727" hidden="0" customHeight="1">
      <x:c r="A1" s="3" t="str">
        <x:v>Site and event-condition adapter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Specified but not parameterized: no bridge factor, conditioner multiplier, or protection credit is active.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3" t="str">
        <x:v>Role</x:v>
      </x:c>
      <x:c r="B4" s="13" t="str">
        <x:v>Fields/examples</x:v>
      </x:c>
      <x:c r="C4" s="13" t="str">
        <x:v>Permitted effect</x:v>
      </x:c>
      <x:c r="D4" s="13" t="str">
        <x:v>v0.1 behavior</x:v>
      </x:c>
      <x:c r="E4" s="13" t="str">
        <x:v>Missing behavior</x:v>
      </x:c>
      <x:c r="F4" s="13" t="str">
        <x:v>Double-count guardrail</x:v>
      </x:c>
      <x:c r="G4" s="13" t="str">
        <x:v>Evidence/status</x:v>
      </x:c>
    </x:row>
    <x:row r="5" ht="15" hidden="0" customHeight="1">
      <x:c r="A5" s="20" t="str">
        <x:v>Identity</x:v>
      </x:c>
      <x:c r="B5" s="20" t="str">
        <x:v>event_id, event_family_id, pathway_id</x:v>
      </x:c>
      <x:c r="C5" s="20" t="str">
        <x:v>route occurrence and compound family</x:v>
      </x:c>
      <x:c r="D5" s="20" t="str">
        <x:v>exact tropical_cyclone_wind only</x:v>
      </x:c>
      <x:c r="E5" s="20" t="str">
        <x:v>reject</x:v>
      </x:c>
      <x:c r="F5" s="20" t="str">
        <x:v>No speed-based fallback</x:v>
      </x:c>
      <x:c r="G5" s="20" t="str">
        <x:v>governance</x:v>
      </x:c>
    </x:row>
    <x:row r="6" ht="15" hidden="0" customHeight="1">
      <x:c r="A6" s="20" t="str">
        <x:v>Source wind</x:v>
      </x:c>
      <x:c r="B6" s="20" t="str">
        <x:v>speed, height, averaging, exposure, product, time</x:v>
      </x:c>
      <x:c r="C6" s="20" t="str">
        <x:v>preserve source-native field</x:v>
      </x:c>
      <x:c r="D6" s="20" t="str">
        <x:v>research-state validation</x:v>
      </x:c>
      <x:c r="E6" s="20" t="str">
        <x:v>reject/withhold</x:v>
      </x:c>
      <x:c r="F6" s="20" t="str">
        <x:v>Category is context only</x:v>
      </x:c>
      <x:c r="G6" s="20" t="str">
        <x:v>NHC</x:v>
      </x:c>
    </x:row>
    <x:row r="7" ht="24" hidden="0" customHeight="1">
      <x:c r="A7" s="20" t="str">
        <x:v>Fixed-tilt bridge</x:v>
      </x:c>
      <x:c r="B7" s="20" t="str">
        <x:v>local event/design net pressure, geometry, zone, coefficient, terrain, duration</x:v>
      </x:c>
      <x:c r="C7" s="20" t="str">
        <x:v>produce matching fixed-tilt demand</x:v>
      </x:c>
      <x:c r="D7" s="20" t="str">
        <x:v>none approved</x:v>
      </x:c>
      <x:c r="E7" s="20" t="str">
        <x:v>withhold</x:v>
      </x:c>
      <x:c r="F7" s="20" t="str">
        <x:v>One named transformation only</x:v>
      </x:c>
      <x:c r="G7" s="20" t="str">
        <x:v>open independent review</x:v>
      </x:c>
    </x:row>
    <x:row r="8" ht="24" hidden="0" customHeight="1">
      <x:c r="A8" s="20" t="str">
        <x:v>Tracker bridge</x:v>
      </x:c>
      <x:c r="B8" s="20" t="str">
        <x:v>normal wind/Ucrit, exact system, row, angle, duration/cycling, turbulence</x:v>
      </x:c>
      <x:c r="C8" s="20" t="str">
        <x:v>produce matching tracker demand/state</x:v>
      </x:c>
      <x:c r="D8" s="20" t="str">
        <x:v>none approved</x:v>
      </x:c>
      <x:c r="E8" s="20" t="str">
        <x:v>withhold</x:v>
      </x:c>
      <x:c r="F8" s="20" t="str">
        <x:v>No generic Ucrit or convective fallback</x:v>
      </x:c>
      <x:c r="G8" s="20" t="str">
        <x:v>open independent review</x:v>
      </x:c>
    </x:row>
    <x:row r="9" ht="24" hidden="0" customHeight="1">
      <x:c r="A9" s="20" t="str">
        <x:v>Selector</x:v>
      </x:c>
      <x:c r="B9" s="20" t="str">
        <x:v>architecture, system/BOM, module/clamp, geometry, design basis, qualification</x:v>
      </x:c>
      <x:c r="C9" s="20" t="str">
        <x:v>choose verified archetype</x:v>
      </x:c>
      <x:c r="D9" s="20" t="str">
        <x:v>capture only</x:v>
      </x:c>
      <x:c r="E9" s="20" t="str">
        <x:v>no credit/default</x:v>
      </x:c>
      <x:c r="F9" s="20" t="str">
        <x:v>Do not alter exposure/value</x:v>
      </x:c>
      <x:c r="G9" s="20" t="str">
        <x:v>partial</x:v>
      </x:c>
    </x:row>
    <x:row r="10" ht="24" hidden="0" customHeight="1">
      <x:c r="A10" s="20" t="str">
        <x:v>Conditioner</x:v>
      </x:c>
      <x:c r="B10" s="20" t="str">
        <x:v>commanded/attained state, drive/lock, power/control, maintenance, history</x:v>
      </x:c>
      <x:c r="C10" s="20" t="str">
        <x:v>choose/modify validated state response</x:v>
      </x:c>
      <x:c r="D10" s="20" t="str">
        <x:v>capture only</x:v>
      </x:c>
      <x:c r="E10" s="20" t="str">
        <x:v>unknown no credit</x:v>
      </x:c>
      <x:c r="F10" s="20" t="str">
        <x:v>Commanded stow ≠ attained stow</x:v>
      </x:c>
      <x:c r="G10" s="20" t="str">
        <x:v>mechanism only</x:v>
      </x:c>
    </x:row>
    <x:row r="11" ht="15" hidden="0" customHeight="1">
      <x:c r="A11" s="20" t="str">
        <x:v>Exposure</x:v>
      </x:c>
      <x:c r="B11" s="20" t="str">
        <x:v>module/row/block, point, line/network, GSU shared point/yard</x:v>
      </x:c>
      <x:c r="C11" s="20" t="str">
        <x:v>identify matching value touched</x:v>
      </x:c>
      <x:c r="D11" s="20" t="str">
        <x:v>explicit by subject</x:v>
      </x:c>
      <x:c r="E11" s="20" t="str">
        <x:v>no whole-site default</x:v>
      </x:c>
      <x:c r="F11" s="20" t="str">
        <x:v>Do not alter intrinsic fragility</x:v>
      </x:c>
      <x:c r="G11" s="20" t="str">
        <x:v>structure only</x:v>
      </x:c>
    </x:row>
    <x:row r="12" ht="15" hidden="0" customHeight="1">
      <x:c r="A12" s="20" t="str">
        <x:v>Value</x:v>
      </x:c>
      <x:c r="B12" s="20" t="str">
        <x:v>same-unit direct replacement value</x:v>
      </x:c>
      <x:c r="C12" s="20" t="str">
        <x:v>convert DR to direct cost</x:v>
      </x:c>
      <x:c r="D12" s="20" t="str">
        <x:v>reference ledger only</x:v>
      </x:c>
      <x:c r="E12" s="20" t="str">
        <x:v>loss withheld</x:v>
      </x:c>
      <x:c r="F12" s="20" t="str">
        <x:v>No full-TIV scaling</x:v>
      </x:c>
      <x:c r="G12" s="20" t="str">
        <x:v>NLR reference</x:v>
      </x:c>
    </x:row>
    <x:row r="13" ht="15" hidden="0" customHeight="1">
      <x:c r="A13" s="20" t="str">
        <x:v>GSU</x:v>
      </x:c>
      <x:c r="B13" s="20" t="str">
        <x:v>site-owned GSU/substation point/yard + BOM/value</x:v>
      </x:c>
      <x:c r="C13" s="20" t="str">
        <x:v>bind shared anatomy once</x:v>
      </x:c>
      <x:c r="D13" s="20" t="str">
        <x:v>withheld separate unit</x:v>
      </x:c>
      <x:c r="E13" s="20" t="str">
        <x:v>no array default</x:v>
      </x:c>
      <x:c r="F13" s="20" t="str">
        <x:v>No flood/neighboring numerical inheritance</x:v>
      </x:c>
      <x:c r="G13" s="20" t="str">
        <x:v>governance only</x:v>
      </x:c>
    </x:row>
    <x:row r="14" ht="15" hidden="0" customHeight="1">
      <x:c r="A14" s="20" t="str">
        <x:v>Support</x:v>
      </x:c>
      <x:c r="B14" s="20" t="str">
        <x:v>labor, management, rental, inspection</x:v>
      </x:c>
      <x:c r="C14" s="20" t="str">
        <x:v>allocate once after disposition</x:v>
      </x:c>
      <x:c r="D14" s="20" t="str">
        <x:v>rule open</x:v>
      </x:c>
      <x:c r="E14" s="20" t="str">
        <x:v>withhold loss</x:v>
      </x:c>
      <x:c r="F14" s="20" t="str">
        <x:v>No independent DR</x:v>
      </x:c>
      <x:c r="G14" s="20" t="str">
        <x:v>Tier 4</x:v>
      </x:c>
    </x:row>
    <x:row r="15"/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</x:cols>
  <x:sheetData>
    <x:row r="1" ht="21.600000381469727" hidden="0" customHeight="1">
      <x:c r="A1" s="3" t="str">
        <x:v>Legacy hurricane-solar audit — rejected for runtime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7" t="str">
        <x:v>Anchored logistics and hardcoded full-TIV weights are reproduced only for migration comparison; they are not calibration.</x:v>
      </x:c>
      <x:c r="B2" s="7"/>
      <x:c r="C2" s="7"/>
      <x:c r="D2" s="7"/>
      <x:c r="E2" s="7"/>
      <x:c r="F2" s="7"/>
      <x:c r="G2" s="7"/>
      <x:c r="H2" s="7"/>
      <x:c r="I2" s="7"/>
    </x:row>
    <x:row r="3"/>
    <x:row r="4" ht="15" hidden="0" customHeight="1">
      <x:c r="A4" s="13" t="str">
        <x:v>Legacy record</x:v>
      </x:c>
      <x:c r="B4" s="13" t="str">
        <x:v>L</x:v>
      </x:c>
      <x:c r="C4" s="13" t="str">
        <x:v>k</x:v>
      </x:c>
      <x:c r="D4" s="13" t="str">
        <x:v>x0 mph</x:v>
      </x:c>
      <x:c r="E4" s="13" t="str">
        <x:v>Full-TIV weight</x:v>
      </x:c>
      <x:c r="F4" s="13" t="str">
        <x:v>Former role</x:v>
      </x:c>
      <x:c r="G4" s="13" t="str">
        <x:v>Runtime enabled</x:v>
      </x:c>
      <x:c r="H4" s="13" t="str">
        <x:v>Decision</x:v>
      </x:c>
    </x:row>
    <x:row r="5" ht="15" hidden="0" customHeight="1">
      <x:c r="A5" s="20" t="str">
        <x:v>pv_array_tracker_stow</x:v>
      </x:c>
      <x:c r="B5" s="88" t="n">
        <x:v>0.85</x:v>
      </x:c>
      <x:c r="C5" s="88" t="n">
        <x:v>0.055</x:v>
      </x:c>
      <x:c r="D5" s="88" t="n">
        <x:v>148</x:v>
      </x:c>
      <x:c r="E5" s="88" t="n">
        <x:v>0.35</x:v>
      </x:c>
      <x:c r="F5" s="20" t="str">
        <x:v>headline PV array</x:v>
      </x:c>
      <x:c r="G5" s="21" t="b">
        <x:v>0</x:v>
      </x:c>
      <x:c r="H5" s="20" t="str">
        <x:v>reject</x:v>
      </x:c>
    </x:row>
    <x:row r="6" ht="15" hidden="0" customHeight="1">
      <x:c r="A6" s="20" t="str">
        <x:v>pv_array_tracker_midtilt</x:v>
      </x:c>
      <x:c r="B6" s="88" t="n">
        <x:v>0.95</x:v>
      </x:c>
      <x:c r="C6" s="88" t="n">
        <x:v>0.065</x:v>
      </x:c>
      <x:c r="D6" s="88" t="n">
        <x:v>115</x:v>
      </x:c>
      <x:c r="E6" s="88" t="n">
        <x:v>0.35</x:v>
      </x:c>
      <x:c r="F6" s="20" t="str">
        <x:v>stow-failure sensitivity</x:v>
      </x:c>
      <x:c r="G6" s="21" t="b">
        <x:v>0</x:v>
      </x:c>
      <x:c r="H6" s="20" t="str">
        <x:v>reject</x:v>
      </x:c>
    </x:row>
    <x:row r="7" ht="15" hidden="0" customHeight="1">
      <x:c r="A7" s="20" t="str">
        <x:v>pv_array_generic</x:v>
      </x:c>
      <x:c r="B7" s="88" t="n">
        <x:v>0.85</x:v>
      </x:c>
      <x:c r="C7" s="88" t="n">
        <x:v>0.05</x:v>
      </x:c>
      <x:c r="D7" s="88" t="n">
        <x:v>135</x:v>
      </x:c>
      <x:c r="E7" s="88" t="n">
        <x:v>0.35</x:v>
      </x:c>
      <x:c r="F7" s="20" t="str">
        <x:v>generic PV array</x:v>
      </x:c>
      <x:c r="G7" s="21" t="b">
        <x:v>0</x:v>
      </x:c>
      <x:c r="H7" s="20" t="str">
        <x:v>reject</x:v>
      </x:c>
    </x:row>
    <x:row r="8" ht="15" hidden="0" customHeight="1">
      <x:c r="A8" s="20" t="str">
        <x:v>mounting_tracker_solar</x:v>
      </x:c>
      <x:c r="B8" s="88" t="n">
        <x:v>0.8</x:v>
      </x:c>
      <x:c r="C8" s="88" t="n">
        <x:v>0.055</x:v>
      </x:c>
      <x:c r="D8" s="88" t="n">
        <x:v>120</x:v>
      </x:c>
      <x:c r="E8" s="88" t="n">
        <x:v>0.15</x:v>
      </x:c>
      <x:c r="F8" s="20" t="str">
        <x:v>mounting/racking</x:v>
      </x:c>
      <x:c r="G8" s="21" t="b">
        <x:v>0</x:v>
      </x:c>
      <x:c r="H8" s="20" t="str">
        <x:v>reject</x:v>
      </x:c>
    </x:row>
    <x:row r="9" ht="15" hidden="0" customHeight="1">
      <x:c r="A9" s="20" t="str">
        <x:v>substation_solar</x:v>
      </x:c>
      <x:c r="B9" s="88" t="n">
        <x:v>0.8</x:v>
      </x:c>
      <x:c r="C9" s="88" t="n">
        <x:v>0.04</x:v>
      </x:c>
      <x:c r="D9" s="88" t="n">
        <x:v>120</x:v>
      </x:c>
      <x:c r="E9" s="88" t="n">
        <x:v>0.08</x:v>
      </x:c>
      <x:c r="F9" s="20" t="str">
        <x:v>generic substation</x:v>
      </x:c>
      <x:c r="G9" s="21" t="b">
        <x:v>0</x:v>
      </x:c>
      <x:c r="H9" s="20" t="str">
        <x:v>reject</x:v>
      </x:c>
    </x:row>
    <x:row r="10"/>
    <x:row r="11"/>
    <x:row r="12" ht="26.399999618530273" hidden="0" customHeight="1">
      <x:c r="A12" s="67" t="str">
        <x:v>Gust mph</x:v>
      </x:c>
      <x:c r="B12" s="67" t="str">
        <x:v>Generic PV anchored DR</x:v>
      </x:c>
      <x:c r="C12" s="67" t="str">
        <x:v>Mounting anchored DR</x:v>
      </x:c>
      <x:c r="D12" s="67" t="str">
        <x:v>Substation anchored DR</x:v>
      </x:c>
      <x:c r="E12" s="67" t="str">
        <x:v>Generic asset DR</x:v>
      </x:c>
      <x:c r="F12" s="67" t="str">
        <x:v>Stow asset DR</x:v>
      </x:c>
      <x:c r="G12" s="67" t="str">
        <x:v>Mid-tilt asset DR</x:v>
      </x:c>
      <x:c r="H12" s="67" t="str">
        <x:v>Remainder weight forced to zero</x:v>
      </x:c>
      <x:c r="I12" s="67" t="str">
        <x:v>Decision</x:v>
      </x:c>
    </x:row>
    <x:row r="13" ht="15" hidden="0" customHeight="1">
      <x:c r="A13" s="20" t="n">
        <x:v>90</x:v>
      </x:c>
      <x:c r="B13" s="88" t="n">
        <x:f>MAX($B$7/(1+EXP(-$C$7*(A13-$D$7)))-$B$7/(1+EXP(-$C$7*(0-$D$7))),0)</x:f>
        <x:v>0.08005296143894587</x:v>
      </x:c>
      <x:c r="C13" s="88" t="n">
        <x:f>MAX($B$8/(1+EXP(-$C$8*(A13-$D$8)))-$B$8/(1+EXP(-$C$8*(0-$D$8))),0)</x:f>
        <x:v>0.12780034370092505</x:v>
      </x:c>
      <x:c r="D13" s="88" t="n">
        <x:f>MAX($B$9/(1+EXP(-$C$9*(A13-$D$9)))-$B$9/(1+EXP(-$C$9*(0-$D$9))),0)</x:f>
        <x:v>0.178650116278258</x:v>
      </x:c>
      <x:c r="E13" s="88" t="n">
        <x:f>0.35*B13+0.15*C13+0.08*D13</x:f>
        <x:v>0.061480597361030453</x:v>
      </x:c>
      <x:c r="F13" s="88" t="n">
        <x:f>0.35*MAX($B$5/(1+EXP(-$C$5*(A13-$D$5)))-$B$5/(1+EXP(-$C$5*(0-$D$5))),0)+0.15*C13+0.08*D13</x:f>
        <x:v>0.04513959850300164</x:v>
      </x:c>
      <x:c r="G13" s="88" t="n">
        <x:f>0.35*MAX($B$6/(1+EXP(-$C$6*(A13-$D$6)))-$B$6/(1+EXP(-$C$6*(0-$D$6))),0)+0.15*C13+0.08*D13</x:f>
        <x:v>0.0879753356195983</x:v>
      </x:c>
      <x:c r="H13" s="88" t="n">
        <x:v>0.42</x:v>
      </x:c>
      <x:c r="I13" s="20" t="str">
        <x:v>reject</x:v>
      </x:c>
    </x:row>
    <x:row r="14" ht="15" hidden="0" customHeight="1">
      <x:c r="A14" s="20" t="n">
        <x:v>110</x:v>
      </x:c>
      <x:c r="B14" s="88" t="n">
        <x:f>MAX($B$7/(1+EXP(-$C$7*(A14-$D$7)))-$B$7/(1+EXP(-$C$7*(0-$D$7))),0)</x:f>
        <x:v>0.18830103427621533</x:v>
      </x:c>
      <x:c r="C14" s="88" t="n">
        <x:f>MAX($B$8/(1+EXP(-$C$8*(A14-$D$8)))-$B$8/(1+EXP(-$C$8*(0-$D$8))),0)</x:f>
        <x:v>0.29160471123101633</x:v>
      </x:c>
      <x:c r="D14" s="88" t="n">
        <x:f>MAX($B$9/(1+EXP(-$C$9*(A14-$D$9)))-$B$9/(1+EXP(-$C$9*(0-$D$9))),0)</x:f>
        <x:v>0.3145198149875105</x:v>
      </x:c>
      <x:c r="E14" s="88" t="n">
        <x:f>0.35*B14+0.15*C14+0.08*D14</x:f>
        <x:v>0.13480765388032867</x:v>
      </x:c>
      <x:c r="F14" s="88" t="n">
        <x:f>0.35*MAX($B$5/(1+EXP(-$C$5*(A14-$D$5)))-$B$5/(1+EXP(-$C$5*(0-$D$5))),0)+0.15*C14+0.08*D14</x:f>
        <x:v>0.10156214598569167</x:v>
      </x:c>
      <x:c r="G14" s="88" t="n">
        <x:f>0.35*MAX($B$6/(1+EXP(-$C$6*(A14-$D$6)))-$B$6/(1+EXP(-$C$6*(0-$D$6))),0)+0.15*C14+0.08*D14</x:f>
        <x:v>0.20818352637987564</x:v>
      </x:c>
      <x:c r="H14" s="88" t="n">
        <x:v>0.42</x:v>
      </x:c>
      <x:c r="I14" s="20" t="str">
        <x:v>reject</x:v>
      </x:c>
    </x:row>
    <x:row r="15" ht="15" hidden="0" customHeight="1">
      <x:c r="A15" s="20" t="n">
        <x:v>130</x:v>
      </x:c>
      <x:c r="B15" s="88" t="n">
        <x:f>MAX($B$7/(1+EXP(-$C$7*(A15-$D$7)))-$B$7/(1+EXP(-$C$7*(0-$D$7))),0)</x:f>
        <x:v>0.37115589052177445</x:v>
      </x:c>
      <x:c r="C15" s="88" t="n">
        <x:f>MAX($B$8/(1+EXP(-$C$8*(A15-$D$8)))-$B$8/(1+EXP(-$C$8*(0-$D$8))),0)</x:f>
        <x:v>0.5062216568482973</x:v>
      </x:c>
      <x:c r="D15" s="88" t="n">
        <x:f>MAX($B$9/(1+EXP(-$C$9*(A15-$D$9)))-$B$9/(1+EXP(-$C$9*(0-$D$9))),0)</x:f>
        <x:v>0.47242007116743373</x:v>
      </x:c>
      <x:c r="E15" s="88" t="n">
        <x:f>0.35*B15+0.15*C15+0.08*D15</x:f>
        <x:v>0.24363141590326032</x:v>
      </x:c>
      <x:c r="F15" s="88" t="n">
        <x:f>0.35*MAX($B$5/(1+EXP(-$C$5*(A15-$D$5)))-$B$5/(1+EXP(-$C$5*(0-$D$5))),0)+0.15*C15+0.08*D15</x:f>
        <x:v>0.1942364605509143</x:v>
      </x:c>
      <x:c r="G15" s="88" t="n">
        <x:f>0.35*MAX($B$6/(1+EXP(-$C$6*(A15-$D$6)))-$B$6/(1+EXP(-$C$6*(0-$D$6))),0)+0.15*C15+0.08*D15</x:f>
        <x:v>0.35497163633893997</x:v>
      </x:c>
      <x:c r="H15" s="88" t="n">
        <x:v>0.42</x:v>
      </x:c>
      <x:c r="I15" s="20" t="str">
        <x:v>reject</x:v>
      </x:c>
    </x:row>
    <x:row r="16" ht="15" hidden="0" customHeight="1">
      <x:c r="A16" s="20" t="n">
        <x:v>150</x:v>
      </x:c>
      <x:c r="B16" s="88" t="n">
        <x:f>MAX($B$7/(1+EXP(-$C$7*(A16-$D$7)))-$B$7/(1+EXP(-$C$7*(0-$D$7))),0)</x:f>
        <x:v>0.5763078105737868</x:v>
      </x:c>
      <x:c r="C16" s="88" t="n">
        <x:f>MAX($B$8/(1+EXP(-$C$8*(A16-$D$8)))-$B$8/(1+EXP(-$C$8*(0-$D$8))),0)</x:f>
        <x:v>0.6700260243783887</x:v>
      </x:c>
      <x:c r="D16" s="88" t="n">
        <x:f>MAX($B$9/(1+EXP(-$C$9*(A16-$D$9)))-$B$9/(1+EXP(-$C$9*(0-$D$9))),0)</x:f>
        <x:v>0.6082897698766861</x:v>
      </x:c>
      <x:c r="E16" s="88" t="n">
        <x:f>0.35*B16+0.15*C16+0.08*D16</x:f>
        <x:v>0.35087481894771855</x:v>
      </x:c>
      <x:c r="F16" s="88" t="n">
        <x:f>0.35*MAX($B$5/(1+EXP(-$C$5*(A16-$D$5)))-$B$5/(1+EXP(-$C$5*(0-$D$5))),0)+0.15*C16+0.08*D16</x:f>
        <x:v>0.30600335901860354</x:v>
      </x:c>
      <x:c r="G16" s="88" t="n">
        <x:f>0.35*MAX($B$6/(1+EXP(-$C$6*(A16-$D$6)))-$B$6/(1+EXP(-$C$6*(0-$D$6))),0)+0.15*C16+0.08*D16</x:f>
        <x:v>0.45048474067127847</x:v>
      </x:c>
      <x:c r="H16" s="88" t="n">
        <x:v>0.42</x:v>
      </x:c>
      <x:c r="I16" s="20" t="str">
        <x:v>reject</x:v>
      </x:c>
    </x:row>
    <x:row r="17" ht="15" hidden="0" customHeight="1">
      <x:c r="A17" s="20" t="n">
        <x:v>170</x:v>
      </x:c>
      <x:c r="B17" s="88" t="n">
        <x:f>MAX($B$7/(1+EXP(-$C$7*(A17-$D$7)))-$B$7/(1+EXP(-$C$7*(0-$D$7))),0)</x:f>
        <x:v>0.7231657979477668</x:v>
      </x:c>
      <x:c r="C17" s="88" t="n">
        <x:f>MAX($B$8/(1+EXP(-$C$8*(A17-$D$8)))-$B$8/(1+EXP(-$C$8*(0-$D$8))),0)</x:f>
        <x:v>0.7508438639004508</x:v>
      </x:c>
      <x:c r="D17" s="88" t="n">
        <x:f>MAX($B$9/(1+EXP(-$C$9*(A17-$D$9)))-$B$9/(1+EXP(-$C$9*(0-$D$9))),0)</x:f>
        <x:v>0.698107605459778</x:v>
      </x:c>
      <x:c r="E17" s="88" t="n">
        <x:f>0.35*B17+0.15*C17+0.08*D17</x:f>
        <x:v>0.42158321730356824</x:v>
      </x:c>
      <x:c r="F17" s="88" t="n">
        <x:f>0.35*MAX($B$5/(1+EXP(-$C$5*(A17-$D$5)))-$B$5/(1+EXP(-$C$5*(0-$D$5))),0)+0.15*C17+0.08*D17</x:f>
        <x:v>0.39755238859240766</x:v>
      </x:c>
      <x:c r="G17" s="88" t="n">
        <x:f>0.35*MAX($B$6/(1+EXP(-$C$6*(A17-$D$6)))-$B$6/(1+EXP(-$C$6*(0-$D$6))),0)+0.15*C17+0.08*D17</x:f>
        <x:v>0.4917254652398446</x:v>
      </x:c>
      <x:c r="H17" s="88" t="n">
        <x:v>0.42</x:v>
      </x:c>
      <x:c r="I17" s="20" t="str">
        <x:v>reject</x:v>
      </x:c>
    </x:row>
    <x:row r="18" ht="15" hidden="0" customHeight="1">
      <x:c r="A18" s="20" t="n">
        <x:v>180</x:v>
      </x:c>
      <x:c r="B18" s="88" t="n">
        <x:f>MAX($B$7/(1+EXP(-$C$7*(A18-$D$7)))-$B$7/(1+EXP(-$C$7*(0-$D$7))),0)</x:f>
        <x:v>0.7679588711104598</x:v>
      </x:c>
      <x:c r="C18" s="88" t="n">
        <x:f>MAX($B$8/(1+EXP(-$C$8*(A18-$D$8)))-$B$8/(1+EXP(-$C$8*(0-$D$8))),0)</x:f>
        <x:v>0.7704562326215479</x:v>
      </x:c>
      <x:c r="D18" s="88" t="n">
        <x:f>MAX($B$9/(1+EXP(-$C$9*(A18-$D$9)))-$B$9/(1+EXP(-$C$9*(0-$D$9))),0)</x:f>
        <x:v>0.7269317858823342</x:v>
      </x:c>
      <x:c r="E18" s="88" t="n">
        <x:f>0.35*B18+0.15*C18+0.08*D18</x:f>
        <x:v>0.44250858265247983</x:v>
      </x:c>
      <x:c r="F18" s="88" t="n">
        <x:f>0.35*MAX($B$5/(1+EXP(-$C$5*(A18-$D$5)))-$B$5/(1+EXP(-$C$5*(0-$D$5))),0)+0.15*C18+0.08*D18</x:f>
        <x:v>0.4274661149021014</x:v>
      </x:c>
      <x:c r="G18" s="88" t="n">
        <x:f>0.35*MAX($B$6/(1+EXP(-$C$6*(A18-$D$6)))-$B$6/(1+EXP(-$C$6*(0-$D$6))),0)+0.15*C18+0.08*D18</x:f>
        <x:v>0.5012417015223748</x:v>
      </x:c>
      <x:c r="H18" s="88" t="n">
        <x:v>0.42</x:v>
      </x:c>
      <x:c r="I18" s="20" t="str">
        <x:v>reject</x:v>
      </x:c>
    </x:row>
    <x:row r="19" ht="15" hidden="0" customHeight="1">
      <x:c r="A19" s="20" t="n">
        <x:v>190</x:v>
      </x:c>
      <x:c r="B19" s="88" t="n">
        <x:f>MAX($B$7/(1+EXP(-$C$7*(A19-$D$7)))-$B$7/(1+EXP(-$C$7*(0-$D$7))),0)</x:f>
        <x:v>0.7979322636267964</x:v>
      </x:c>
      <x:c r="C19" s="88" t="n">
        <x:f>MAX($B$8/(1+EXP(-$C$8*(A19-$D$8)))-$B$8/(1+EXP(-$C$8*(0-$D$8))),0)</x:f>
        <x:v>0.7822441084247125</x:v>
      </x:c>
      <x:c r="D19" s="88" t="n">
        <x:f>MAX($B$9/(1+EXP(-$C$9*(A19-$D$9)))-$B$9/(1+EXP(-$C$9*(0-$D$9))),0)</x:f>
        <x:v>0.7476106023583772</x:v>
      </x:c>
      <x:c r="E19" s="88" t="n">
        <x:f>0.35*B19+0.15*C19+0.08*D19</x:f>
        <x:v>0.4564217567217558</x:v>
      </x:c>
      <x:c r="F19" s="88" t="n">
        <x:f>0.35*MAX($B$5/(1+EXP(-$C$5*(A19-$D$5)))-$B$5/(1+EXP(-$C$5*(0-$D$5))),0)+0.15*C19+0.08*D19</x:f>
        <x:v>0.4476950296324521</x:v>
      </x:c>
      <x:c r="G19" s="88" t="n">
        <x:f>0.35*MAX($B$6/(1+EXP(-$C$6*(A19-$D$6)))-$B$6/(1+EXP(-$C$6*(0-$D$6))),0)+0.15*C19+0.08*D19</x:f>
        <x:v>0.506937582579905</x:v>
      </x:c>
      <x:c r="H19" s="88" t="n">
        <x:v>0.42</x:v>
      </x:c>
      <x:c r="I19" s="20" t="str">
        <x:v>reject</x:v>
      </x:c>
    </x:row>
    <x:row r="20" ht="15" hidden="0" customHeight="1">
      <x:c r="A20" s="20" t="n">
        <x:v>300</x:v>
      </x:c>
      <x:c r="B20" s="88" t="n">
        <x:f>MAX($B$7/(1+EXP(-$C$7*(A20-$D$7)))-$B$7/(1+EXP(-$C$7*(0-$D$7))),0)</x:f>
        <x:v>0.8487839045034714</x:v>
      </x:c>
      <x:c r="C20" s="88" t="n">
        <x:f>MAX($B$8/(1+EXP(-$C$8*(A20-$D$8)))-$B$8/(1+EXP(-$C$8*(0-$D$8))),0)</x:f>
        <x:v>0.7988730463079098</x:v>
      </x:c>
      <x:c r="D20" s="88" t="n">
        <x:f>MAX($B$9/(1+EXP(-$C$9*(A20-$D$9)))-$B$9/(1+EXP(-$C$9*(0-$D$9))),0)</x:f>
        <x:v>0.7928731200104028</x:v>
      </x:c>
      <x:c r="E20" s="88" t="n">
        <x:f>0.35*B20+0.15*C20+0.08*D20</x:f>
        <x:v>0.4803351731232337</x:v>
      </x:c>
      <x:c r="F20" s="88" t="n">
        <x:f>0.35*MAX($B$5/(1+EXP(-$C$5*(A20-$D$5)))-$B$5/(1+EXP(-$C$5*(0-$D$5))),0)+0.15*C20+0.08*D20</x:f>
        <x:v>0.48060445787918615</x:v>
      </x:c>
      <x:c r="G20" s="88" t="n">
        <x:f>0.35*MAX($B$6/(1+EXP(-$C$6*(A20-$D$6)))-$B$6/(1+EXP(-$C$6*(0-$D$6))),0)+0.15*C20+0.08*D20</x:f>
        <x:v>0.5155703648980731</x:v>
      </x:c>
      <x:c r="H20" s="88" t="n">
        <x:v>0.42</x:v>
      </x:c>
      <x:c r="I20" s="20" t="str">
        <x:v>reject</x:v>
      </x:c>
    </x:row>
    <x:row r="21"/>
    <x:row r="22"/>
    <x:row r="23">
      <x:c r="A23" s="56" t="str">
        <x:v>REJECTED: source-to-DR translation, architecture shifts, capped severities, full-TIV weights, and the 0.42 zero-damage remainder are unsupported. Preserve formula outputs only as migration/regression fixtures; never load them as this cell's curves.</x:v>
      </x:c>
      <x:c r="B23" s="57"/>
      <x:c r="C23" s="57"/>
      <x:c r="D23" s="57"/>
      <x:c r="E23" s="57"/>
      <x:c r="F23" s="57"/>
      <x:c r="G23" s="57"/>
      <x:c r="H23" s="57"/>
      <x:c r="I23" s="58"/>
    </x:row>
    <x:row r="24">
      <x:c r="A24" s="59"/>
      <x:c r="B24" s="60"/>
      <x:c r="C24" s="60"/>
      <x:c r="D24" s="60"/>
      <x:c r="E24" s="60"/>
      <x:c r="F24" s="60"/>
      <x:c r="G24" s="60"/>
      <x:c r="H24" s="60"/>
      <x:c r="I24" s="61"/>
    </x:row>
  </x:sheetData>
  <x:mergeCells>
    <x:mergeCell ref="A1:I1"/>
    <x:mergeCell ref="A2:I2"/>
    <x:mergeCell ref="A23:I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56" hidden="0" customWidth="1"/>
    <x:col min="4" max="4" width="22" hidden="0" customWidth="1"/>
    <x:col min="5" max="5" width="34" hidden="0" customWidth="1"/>
    <x:col min="6" max="6" width="42" hidden="0" customWidth="1"/>
    <x:col min="7" max="7" width="28" hidden="0" customWidth="1"/>
    <x:col min="8" max="8" width="30" hidden="0" customWidth="1"/>
    <x:col min="9" max="9" width="24" hidden="0" customWidth="1"/>
    <x:col min="10" max="10" width="54" hidden="0" customWidth="1"/>
    <x:col min="11" max="11" width="54" hidden="0" customWidth="1"/>
    <x:col min="12" max="12" width="54" hidden="0" customWidth="1"/>
    <x:col min="13" max="13" width="42" hidden="0" customWidth="1"/>
  </x:cols>
  <x:sheetData>
    <x:row r="1" ht="44" hidden="0" customHeight="1">
      <x:c r="A1" s="79" t="str">
        <x:v>claim_id</x:v>
      </x:c>
      <x:c r="B1" s="79" t="str">
        <x:v>pathway_id</x:v>
      </x:c>
      <x:c r="C1" s="79" t="str">
        <x:v>claim_text</x:v>
      </x:c>
      <x:c r="D1" s="79" t="str">
        <x:v>claim_type</x:v>
      </x:c>
      <x:c r="E1" s="79" t="str">
        <x:v>source_ids</x:v>
      </x:c>
      <x:c r="F1" s="79" t="str">
        <x:v>exact_locator</x:v>
      </x:c>
      <x:c r="G1" s="79" t="str">
        <x:v>evidence_tier</x:v>
      </x:c>
      <x:c r="H1" s="79" t="str">
        <x:v>parameter_or_rule</x:v>
      </x:c>
      <x:c r="I1" s="79" t="str">
        <x:v>adoption_status</x:v>
      </x:c>
      <x:c r="J1" s="79" t="str">
        <x:v>permitted_inference</x:v>
      </x:c>
      <x:c r="K1" s="79" t="str">
        <x:v>prohibited_inference</x:v>
      </x:c>
      <x:c r="L1" s="79" t="str">
        <x:v>reasoning</x:v>
      </x:c>
      <x:c r="M1" s="79" t="str">
        <x:v>update_trigger</x:v>
      </x:c>
    </x:row>
    <x:row r="2" ht="21.600000381469727" hidden="0" customHeight="1">
      <x:c r="A2" s="75" t="str">
        <x:v>TCWS-C001</x:v>
      </x:c>
      <x:c r="B2" s="75" t="str">
        <x:v>tropical_cyclone_wind</x:v>
      </x:c>
      <x:c r="C2" s="75" t="str">
        <x:v>Tropical-cyclone wind requires its own solar pathway and cannot fall back to the straight-line-convective solar model.</x:v>
      </x:c>
      <x:c r="D2" s="75" t="str">
        <x:v>governance_decision</x:v>
      </x:c>
      <x:c r="E2" s="75" t="str">
        <x:v>TCWS-S015;GOVERNANCE_CONTRACT</x:v>
      </x:c>
      <x:c r="F2" s="75" t="str">
        <x:v>strong_wind_solar neighboring-wind boundary; pathway and event-identity standards</x:v>
      </x:c>
      <x:c r="G2" s="75" t="str">
        <x:v>T3_engineering_proxy_or_adjacent_empirical</x:v>
      </x:c>
      <x:c r="H2" s="75" t="str">
        <x:v>pathway_id=tropical_cyclone_wind</x:v>
      </x:c>
      <x:c r="I2" s="75" t="str">
        <x:v>adopt</x:v>
      </x:c>
      <x:c r="J2" s="75" t="str">
        <x:v>Reuse governed solar anatomy, terminology, and value lineage after a new transfer review.</x:v>
      </x:c>
      <x:c r="K2" s="75" t="str">
        <x:v>Reuse a convective curve, axis, downburst profile, or numeric parameter because both pathways involve wind.</x:v>
      </x:c>
      <x:c r="L2" s="75" t="str">
        <x:v>Storm duration, direction history, profile, turbulence, debris environment, and control opportunity differ and remain load-bearing.</x:v>
      </x:c>
      <x:c r="M2" s="75" t="str">
        <x:v>A reviewed equivalence study passes all pathway and endpoint gates.</x:v>
      </x:c>
    </x:row>
    <x:row r="3" ht="21.600000381469727" hidden="0" customHeight="1">
      <x:c r="A3" s="75" t="str">
        <x:v>TCWS-C002</x:v>
      </x:c>
      <x:c r="B3" s="75" t="str">
        <x:v>tropical_cyclone_wind</x:v>
      </x:c>
      <x:c r="C3" s="75" t="str">
        <x:v>NHC maximum sustained surface wind is the highest one-minute average wind at 10 m in unobstructed exposure.</x:v>
      </x:c>
      <x:c r="D3" s="75" t="str">
        <x:v>direct_observation</x:v>
      </x:c>
      <x:c r="E3" s="75" t="str">
        <x:v>TCWS-S001</x:v>
      </x:c>
      <x:c r="F3" s="75" t="str">
        <x:v>NHC glossary entry: Maximum Sustained Surface Wind</x:v>
      </x:c>
      <x:c r="G3" s="75" t="str">
        <x:v>T2_public_lab_standard_or_physics</x:v>
      </x:c>
      <x:c r="H3" s="75" t="str">
        <x:v>source_native_axis_semantics</x:v>
      </x:c>
      <x:c r="I3" s="75" t="str">
        <x:v>adopt</x:v>
      </x:c>
      <x:c r="J3" s="75" t="str">
        <x:v>Label the upstream storm-field quantity and retain its source product, valid time, height, averaging period, and exposure convention.</x:v>
      </x:c>
      <x:c r="K3" s="75" t="str">
        <x:v>Treat it as array-height 3-second gust, tracker-normal wind, net pressure, or damage demand.</x:v>
      </x:c>
      <x:c r="L3" s="75" t="str">
        <x:v>The official source defines the storm quantity but supplies no universal site or array bridge.</x:v>
      </x:c>
      <x:c r="M3" s="75" t="str">
        <x:v>NHC changes the definition or a governed upstream product supplies a different exact convention.</x:v>
      </x:c>
    </x:row>
    <x:row r="4" ht="21.600000381469727" hidden="0" customHeight="1">
      <x:c r="A4" s="75" t="str">
        <x:v>TCWS-C003</x:v>
      </x:c>
      <x:c r="B4" s="75" t="str">
        <x:v>tropical_cyclone_wind</x:v>
      </x:c>
      <x:c r="C4" s="75" t="str">
        <x:v>The runtime damage axis is withheld at scaffold stage.</x:v>
      </x:c>
      <x:c r="D4" s="75" t="str">
        <x:v>governance_decision</x:v>
      </x:c>
      <x:c r="E4" s="75" t="str">
        <x:v>TCWS-S001;TCWS-S002;TCWS-S005;TCWS-S010;TCWS-S011;GOVERNANCE_CONTRACT</x:v>
      </x:c>
      <x:c r="F4" s="75" t="str">
        <x:v>native-axis definitions and transfer limits; runtime gate</x:v>
      </x:c>
      <x:c r="G4" s="75" t="str">
        <x:v>T3_engineering_proxy_or_adjacent_empirical</x:v>
      </x:c>
      <x:c r="H4" s="75" t="str">
        <x:v>runtime_axis_status</x:v>
      </x:c>
      <x:c r="I4" s="75" t="str">
        <x:v>withhold</x:v>
      </x:c>
      <x:c r="J4" s="75" t="str">
        <x:v>Preserve source-native axes and document architecture-specific bridge requirements.</x:v>
      </x:c>
      <x:c r="K4" s="75" t="str">
        <x:v>Publish a silent one-minute-to-three-second, height, terrain, direction, pressure, or Ucrit conversion.</x:v>
      </x:c>
      <x:c r="L4" s="75" t="str">
        <x:v>Available sources use different storm, local gust, pressure, and exact-system instability quantities.</x:v>
      </x:c>
      <x:c r="M4" s="75" t="str">
        <x:v>A qualified event-to-local-demand bridge and matching damage evidence pass review.</x:v>
      </x:c>
    </x:row>
    <x:row r="5" ht="32.400001525878906" hidden="0" customHeight="1">
      <x:c r="A5" s="75" t="str">
        <x:v>TCWS-C004</x:v>
      </x:c>
      <x:c r="B5" s="75" t="str">
        <x:v>tropical_cyclone_wind</x:v>
      </x:c>
      <x:c r="C5" s="75" t="str">
        <x:v>Height, averaging period, terrain/exposure, topography, direction history, duration, array zone, and windborne-debris context are load-bearing tropical-cyclone wind descriptors.</x:v>
      </x:c>
      <x:c r="D5" s="75" t="str">
        <x:v>source_interpretation</x:v>
      </x:c>
      <x:c r="E5" s="75" t="str">
        <x:v>TCWS-S001;TCWS-S004;TCWS-S005;TCWS-S006;TCWS-S010;TCWS-S012</x:v>
      </x:c>
      <x:c r="F5" s="75" t="str">
        <x:v>NHC definition; St. Croix mechanisms; design and experimental source scopes</x:v>
      </x:c>
      <x:c r="G5" s="75" t="str">
        <x:v>T2_public_lab_standard_or_physics</x:v>
      </x:c>
      <x:c r="H5" s="75" t="str">
        <x:v>event_to_local_demand_fields</x:v>
      </x:c>
      <x:c r="I5" s="75" t="str">
        <x:v>adopt</x:v>
      </x:c>
      <x:c r="J5" s="75" t="str">
        <x:v>Require or preserve the descriptors in a future bridge and keep unsupported effects explicit.</x:v>
      </x:c>
      <x:c r="K5" s="75" t="str">
        <x:v>Collapse the descriptors to storm category or apply universal modifiers.</x:v>
      </x:c>
      <x:c r="L5" s="75" t="str">
        <x:v>The source evidence changes demand and failure mechanisms with site, direction, duration, row, geometry, and debris conditions without calibrating one transferable modifier.</x:v>
      </x:c>
      <x:c r="M5" s="75" t="str">
        <x:v>A validated reduced-order TC demand model supersedes individual fields.</x:v>
      </x:c>
    </x:row>
    <x:row r="6" ht="21.600000381469727" hidden="0" customHeight="1">
      <x:c r="A6" s="75" t="str">
        <x:v>TCWS-C005</x:v>
      </x:c>
      <x:c r="B6" s="75" t="str">
        <x:v>tropical_cyclone_wind</x:v>
      </x:c>
      <x:c r="C6" s="75" t="str">
        <x:v>Ground-mounted fixed-tilt and single-axis-tracker arrays require separate architecture routes.</x:v>
      </x:c>
      <x:c r="D6" s="75" t="str">
        <x:v>source_interpretation</x:v>
      </x:c>
      <x:c r="E6" s="75" t="str">
        <x:v>TCWS-S005;TCWS-S006;TCWS-S007;TCWS-S010;TCWS-S011;TCWS-S012</x:v>
      </x:c>
      <x:c r="F6" s="75" t="str">
        <x:v>ASCE fixed-tilt provisions; FM §§2.1.2.1–2.1.2.4; tracker qualification and aeroelastic studies</x:v>
      </x:c>
      <x:c r="G6" s="75" t="str">
        <x:v>T2_public_lab_standard_or_physics</x:v>
      </x:c>
      <x:c r="H6" s="75" t="str">
        <x:v>array_architecture_selector</x:v>
      </x:c>
      <x:c r="I6" s="75" t="str">
        <x:v>adopt</x:v>
      </x:c>
      <x:c r="J6" s="75" t="str">
        <x:v>Require an explicit architecture and develop architecture-specific demand and failure-unit evidence.</x:v>
      </x:c>
      <x:c r="K6" s="75" t="str">
        <x:v>Use one generic ground-mount curve or transfer fixed-tilt coefficients, tracker Ucrit, or stow behavior across architectures.</x:v>
      </x:c>
      <x:c r="L6" s="75" t="str">
        <x:v>Rigid pressure response and tracker aeroelastic/control behavior are distinct mechanisms.</x:v>
      </x:c>
      <x:c r="M6" s="75" t="str">
        <x:v>A formal equivalence study supports a shared record.</x:v>
      </x:c>
    </x:row>
    <x:row r="7" ht="21.600000381469727" hidden="0" customHeight="1">
      <x:c r="A7" s="75" t="str">
        <x:v>TCWS-C006</x:v>
      </x:c>
      <x:c r="B7" s="75" t="str">
        <x:v>tropical_cyclone_wind</x:v>
      </x:c>
      <x:c r="C7" s="75" t="str">
        <x:v>Ceferino et al. analyze 14 large Caribbean ground-mounted sites and define extensive failure as clip or racking failure in more than 50 percent of panels.</x:v>
      </x:c>
      <x:c r="D7" s="75" t="str">
        <x:v>direct_observation</x:v>
      </x:c>
      <x:c r="E7" s="75" t="str">
        <x:v>TCWS-S002</x:v>
      </x:c>
      <x:c r="F7" s="75" t="str">
        <x:v>§2.1 and Table 1 pp. 2–3; Eq. 1 and §3.1 p. 4</x:v>
      </x:c>
      <x:c r="G7" s="75" t="str">
        <x:v>T1_claims_or_field_calibrated</x:v>
      </x:c>
      <x:c r="H7" s="75" t="str">
        <x:v>ceferino_source_native_endpoint</x:v>
      </x:c>
      <x:c r="I7" s="75" t="str">
        <x:v>adopt_audit_only</x:v>
      </x:c>
      <x:c r="J7" s="75" t="str">
        <x:v>Describe and reproduce the source-native site-level extensive-structural-failure probability candidate.</x:v>
      </x:c>
      <x:c r="K7" s="75" t="str">
        <x:v>Call the endpoint module DR, rack DR, whole-site DR, total loss, or repair-cost ratio.</x:v>
      </x:c>
      <x:c r="L7" s="75" t="str">
        <x:v>The paper's atom and endpoint are a composite site limit state, not a failure-unit economic consequence.</x:v>
      </x:c>
      <x:c r="M7" s="75" t="str">
        <x:v>Authors release a failure-unit disposition and same-unit cost crosswalk.</x:v>
      </x:c>
    </x:row>
    <x:row r="8" ht="32.400001525878906" hidden="0" customHeight="1">
      <x:c r="A8" s="75" t="str">
        <x:v>TCWS-C007</x:v>
      </x:c>
      <x:c r="B8" s="75" t="str">
        <x:v>tropical_cyclone_wind</x:v>
      </x:c>
      <x:c r="C8" s="75" t="str">
        <x:v>Five of the 14 Ceferino ground-mounted sites had significant failure; failures began at reconstructed gusts near 83 m/s and the mean reconstructed gust among failed sites was about 91 m/s.</x:v>
      </x:c>
      <x:c r="D8" s="75" t="str">
        <x:v>direct_observation</x:v>
      </x:c>
      <x:c r="E8" s="75" t="str">
        <x:v>TCWS-S002</x:v>
      </x:c>
      <x:c r="F8" s="75" t="str">
        <x:v>§2.1 pp. 2–3 and §2.2 pp. 3–4</x:v>
      </x:c>
      <x:c r="G8" s="75" t="str">
        <x:v>T1_claims_or_field_calibrated</x:v>
      </x:c>
      <x:c r="H8" s="75" t="str">
        <x:v>ceferino_field_observations</x:v>
      </x:c>
      <x:c r="I8" s="75" t="str">
        <x:v>adopt_audit_only</x:v>
      </x:c>
      <x:c r="J8" s="75" t="str">
        <x:v>Use as a small-sample source-native consistency check.</x:v>
      </x:c>
      <x:c r="K8" s="75" t="str">
        <x:v>Treat 83 m/s as a universal onset or 91 m/s as a capacity threshold.</x:v>
      </x:c>
      <x:c r="L8" s="75" t="str">
        <x:v>The observations are sparse, site-composite, and based on reconstructed rather than instrumented local gusts.</x:v>
      </x:c>
      <x:c r="M8" s="75" t="str">
        <x:v>A larger architecture-labeled field dataset with local demand becomes available.</x:v>
      </x:c>
    </x:row>
    <x:row r="9" ht="32.400001525878906" hidden="0" customHeight="1">
      <x:c r="A9" s="75" t="str">
        <x:v>TCWS-C008</x:v>
      </x:c>
      <x:c r="B9" s="75" t="str">
        <x:v>tropical_cyclone_wind</x:v>
      </x:c>
      <x:c r="C9" s="75" t="str">
        <x:v>Ceferino's ground-mounted posterior summaries have median v about 90 m/s and median beta about 0.15; reported posterior standard deviations are about 6 m/s and 0.07, and the mean posterior fragility rises from 10 to 90 percent over about 73 to 116 m/s.</x:v>
      </x:c>
      <x:c r="D9" s="75" t="str">
        <x:v>direct_observation</x:v>
      </x:c>
      <x:c r="E9" s="75" t="str">
        <x:v>TCWS-S002</x:v>
      </x:c>
      <x:c r="F9" s="75" t="str">
        <x:v>§4.2 and Figs. 5c/5d/6b p. 7</x:v>
      </x:c>
      <x:c r="G9" s="75" t="str">
        <x:v>T1_claims_or_field_calibrated</x:v>
      </x:c>
      <x:c r="H9" s="75" t="str">
        <x:v>ceferino_posterior_candidate</x:v>
      </x:c>
      <x:c r="I9" s="75" t="str">
        <x:v>defer_candidate_only</x:v>
      </x:c>
      <x:c r="J9" s="75" t="str">
        <x:v>Preserve the summaries in the numerical candidate audit on the paper's reconstructed 3-second-gust axis.</x:v>
      </x:c>
      <x:c r="K9" s="75" t="str">
        <x:v>Promote the numbers into a runtime DR curve, reinterpret beta as economic severity spread, or transfer them to a named fixed-tilt or tracker design.</x:v>
      </x:c>
      <x:c r="L9" s="75" t="str">
        <x:v>The posterior characterizes site-level extensive structural failure probability for the source population only.</x:v>
      </x:c>
      <x:c r="M9" s="75" t="str">
        <x:v>A transfer-qualified failure-unit and consequence bridge passes review.</x:v>
      </x:c>
    </x:row>
    <x:row r="10" ht="21.600000381469727" hidden="0" customHeight="1">
      <x:c r="A10" s="75" t="str">
        <x:v>TCWS-C009</x:v>
      </x:c>
      <x:c r="B10" s="75" t="str">
        <x:v>tropical_cyclone_wind</x:v>
      </x:c>
      <x:c r="C10" s="75" t="str">
        <x:v>A deterministic lognormal curve built from Ceferino's posterior medians is not the paper's posterior-mean fragility curve.</x:v>
      </x:c>
      <x:c r="D10" s="75" t="str">
        <x:v>source_interpretation</x:v>
      </x:c>
      <x:c r="E10" s="75" t="str">
        <x:v>TCWS-S002</x:v>
      </x:c>
      <x:c r="F10" s="75" t="str">
        <x:v>Bayesian method and §4.2 posterior integration</x:v>
      </x:c>
      <x:c r="G10" s="75" t="str">
        <x:v>T1_claims_or_field_calibrated</x:v>
      </x:c>
      <x:c r="H10" s="75" t="str">
        <x:v>posterior_uncertainty_rule</x:v>
      </x:c>
      <x:c r="I10" s="75" t="str">
        <x:v>adopt</x:v>
      </x:c>
      <x:c r="J10" s="75" t="str">
        <x:v>Retain posterior uncertainty and distinguish parameter-summary diagnostics from posterior integration.</x:v>
      </x:c>
      <x:c r="K10" s="75" t="str">
        <x:v>Label a median-parameter plug-in curve as the published posterior mean or ignore uncertainty from the 14-site sample.</x:v>
      </x:c>
      <x:c r="L10" s="75" t="str">
        <x:v>The paper integrates fragility over posterior parameter samples; nonlinear averaging does not equal plugging in marginal medians.</x:v>
      </x:c>
      <x:c r="M10" s="75" t="str">
        <x:v>Authors publish an authoritative deterministic reduction or full posterior artifact.</x:v>
      </x:c>
    </x:row>
    <x:row r="11" ht="21.600000381469727" hidden="0" customHeight="1">
      <x:c r="A11" s="75" t="str">
        <x:v>TCWS-C010</x:v>
      </x:c>
      <x:c r="B11" s="75" t="str">
        <x:v>tropical_cyclone_wind</x:v>
      </x:c>
      <x:c r="C11" s="75" t="str">
        <x:v>Ceferino does not support a fixed-tilt-versus-tracker split or component-level curve decomposition.</x:v>
      </x:c>
      <x:c r="D11" s="75" t="str">
        <x:v>source_interpretation</x:v>
      </x:c>
      <x:c r="E11" s="75" t="str">
        <x:v>TCWS-S002</x:v>
      </x:c>
      <x:c r="F11" s="75" t="str">
        <x:v>Table 1 fields and §3.1 limit-state definition</x:v>
      </x:c>
      <x:c r="G11" s="75" t="str">
        <x:v>T1_claims_or_field_calibrated</x:v>
      </x:c>
      <x:c r="H11" s="75" t="str">
        <x:v>ceferino_transfer_limit</x:v>
      </x:c>
      <x:c r="I11" s="75" t="str">
        <x:v>adopt</x:v>
      </x:c>
      <x:c r="J11" s="75" t="str">
        <x:v>Keep the source candidate at generic large ground-mounted site grain.</x:v>
      </x:c>
      <x:c r="K11" s="75" t="str">
        <x:v>Assign separate fixed-tilt, tracker, module, support, foundation, or electrical parameters from this study.</x:v>
      </x:c>
      <x:c r="L11" s="75" t="str">
        <x:v>The reported site table lacks the architecture and component-disposition fields needed for those splits.</x:v>
      </x:c>
      <x:c r="M11" s="75" t="str">
        <x:v>Architecture and component records for the 14 sites are released and validated.</x:v>
      </x:c>
    </x:row>
    <x:row r="12" ht="21.600000381469727" hidden="0" customHeight="1">
      <x:c r="A12" s="75" t="str">
        <x:v>TCWS-C011</x:v>
      </x:c>
      <x:c r="B12" s="75" t="str">
        <x:v>tropical_cyclone_wind</x:v>
      </x:c>
      <x:c r="C12" s="75" t="str">
        <x:v>Ceferino's observed structural failures included cascading damage and debris from failed panels.</x:v>
      </x:c>
      <x:c r="D12" s="75" t="str">
        <x:v>direct_observation</x:v>
      </x:c>
      <x:c r="E12" s="75" t="str">
        <x:v>TCWS-S002</x:v>
      </x:c>
      <x:c r="F12" s="75" t="str">
        <x:v>§2.1 pp. 2–3</x:v>
      </x:c>
      <x:c r="G12" s="75" t="str">
        <x:v>T1_claims_or_field_calibrated</x:v>
      </x:c>
      <x:c r="H12" s="75" t="str">
        <x:v>wind_and_debris_mechanism_boundary</x:v>
      </x:c>
      <x:c r="I12" s="75" t="str">
        <x:v>adopt_with_limits</x:v>
      </x:c>
      <x:c r="J12" s="75" t="str">
        <x:v>Preserve debris/cascade context when auditing the field fragility.</x:v>
      </x:c>
      <x:c r="K12" s="75" t="str">
        <x:v>Call the candidate a clean aerodynamic-pressure-only response or separately price debris loss from the same observations.</x:v>
      </x:c>
      <x:c r="L12" s="75" t="str">
        <x:v>The source-native observations combine mechanisms and do not identify their separate causal shares.</x:v>
      </x:c>
      <x:c r="M12" s="75" t="str">
        <x:v>Matched event inspections isolate pressure, impact, and consequential damage.</x:v>
      </x:c>
    </x:row>
    <x:row r="13" ht="32.400001525878906" hidden="0" customHeight="1">
      <x:c r="A13" s="75" t="str">
        <x:v>TCWS-C012</x:v>
      </x:c>
      <x:c r="B13" s="75" t="str">
        <x:v>tropical_cyclone_wind</x:v>
      </x:c>
      <x:c r="C13" s="75" t="str">
        <x:v>Perry et al. reviewed 1,534 mixed residential, commercial, and utility PV sites after Hurricanes Irma and Maria; 17 percent had visible damage and 2.8 percent had more than 50 percent visible damage.</x:v>
      </x:c>
      <x:c r="D13" s="75" t="str">
        <x:v>direct_observation</x:v>
      </x:c>
      <x:c r="E13" s="75" t="str">
        <x:v>TCWS-S003</x:v>
      </x:c>
      <x:c r="F13" s="75" t="str">
        <x:v>abstract p. 1012; §3.1 and Table 2 pp. 1016–1018</x:v>
      </x:c>
      <x:c r="G13" s="75" t="str">
        <x:v>T1_claims_or_field_calibrated</x:v>
      </x:c>
      <x:c r="H13" s="75" t="str">
        <x:v>perry_remote_sensing_statistics</x:v>
      </x:c>
      <x:c r="I13" s="75" t="str">
        <x:v>adopt_audit_only</x:v>
      </x:c>
      <x:c r="J13" s="75" t="str">
        <x:v>Use as a broad field prevalence and imagery-method constraint.</x:v>
      </x:c>
      <x:c r="K13" s="75" t="str">
        <x:v>Fit a utility-scale ground-mounted fragility or economic DR from the aggregate percentages.</x:v>
      </x:c>
      <x:c r="L13" s="75" t="str">
        <x:v>The sample mixes asset classes and the reported endpoint is visible module-area damage, not a separately calibrated target-asset loss state.</x:v>
      </x:c>
      <x:c r="M13" s="75" t="str">
        <x:v>The authors release a utility-scale ground-mounted subset with architecture, demand, inspection, and cost fields.</x:v>
      </x:c>
    </x:row>
    <x:row r="14" ht="21.600000381469727" hidden="0" customHeight="1">
      <x:c r="A14" s="75" t="str">
        <x:v>TCWS-C013</x:v>
      </x:c>
      <x:c r="B14" s="75" t="str">
        <x:v>tropical_cyclone_wind</x:v>
      </x:c>
      <x:c r="C14" s="75" t="str">
        <x:v>Perry et al. found only a weak damage relationship with estimated maximum gust and documented strong installation/site heterogeneity.</x:v>
      </x:c>
      <x:c r="D14" s="75" t="str">
        <x:v>direct_observation</x:v>
      </x:c>
      <x:c r="E14" s="75" t="str">
        <x:v>TCWS-S003</x:v>
      </x:c>
      <x:c r="F14" s="75" t="str">
        <x:v>Figs. 4–5 pp. 1016–1018; Discussion pp. 1021–1022</x:v>
      </x:c>
      <x:c r="G14" s="75" t="str">
        <x:v>T1_claims_or_field_calibrated</x:v>
      </x:c>
      <x:c r="H14" s="75" t="str">
        <x:v>installation_and_site_heterogeneity</x:v>
      </x:c>
      <x:c r="I14" s="75" t="str">
        <x:v>adopt</x:v>
      </x:c>
      <x:c r="J14" s="75" t="str">
        <x:v>Require mounting, installation, site, and local-demand descriptors in future field calibration.</x:v>
      </x:c>
      <x:c r="K14" s="75" t="str">
        <x:v>Use gust alone as a sufficient universal predictor or infer a portable threshold from paired sites.</x:v>
      </x:c>
      <x:c r="L14" s="75" t="str">
        <x:v>The field evidence shows materially different damage at nearby sites and identifies installation details as consequential but often proprietary.</x:v>
      </x:c>
      <x:c r="M14" s="75" t="str">
        <x:v>A matched multivariate population dataset supports a reduced selector set.</x:v>
      </x:c>
    </x:row>
    <x:row r="15" ht="21.600000381469727" hidden="0" customHeight="1">
      <x:c r="A15" s="75" t="str">
        <x:v>TCWS-C014</x:v>
      </x:c>
      <x:c r="B15" s="75" t="str">
        <x:v>tropical_cyclone_wind</x:v>
      </x:c>
      <x:c r="C15" s="75" t="str">
        <x:v>Perry's manual remote-sensing endpoint does not identify hidden electrical damage, component disposition, repair scope, or direct repair cost.</x:v>
      </x:c>
      <x:c r="D15" s="75" t="str">
        <x:v>source_interpretation</x:v>
      </x:c>
      <x:c r="E15" s="75" t="str">
        <x:v>TCWS-S003</x:v>
      </x:c>
      <x:c r="F15" s="75" t="str">
        <x:v>§2.4 pp. 1015–1016; Discussion pp. 1021–1022</x:v>
      </x:c>
      <x:c r="G15" s="75" t="str">
        <x:v>T1_claims_or_field_calibrated</x:v>
      </x:c>
      <x:c r="H15" s="75" t="str">
        <x:v>remote_sensing_endpoint_limit</x:v>
      </x:c>
      <x:c r="I15" s="75" t="str">
        <x:v>adopt</x:v>
      </x:c>
      <x:c r="J15" s="75" t="str">
        <x:v>Use imagery for visible-damage screening and field-data design.</x:v>
      </x:c>
      <x:c r="K15" s="75" t="str">
        <x:v>Convert percent module area missing or damaged into failure-unit economic DR.</x:v>
      </x:c>
      <x:c r="L15" s="75" t="str">
        <x:v>Visible surface change is not a same-unit repair/replacement-cost endpoint and can miss internal or electrical damage.</x:v>
      </x:c>
      <x:c r="M15" s="75" t="str">
        <x:v>Linked inspection, work-order, salvage, and cost records become available.</x:v>
      </x:c>
    </x:row>
    <x:row r="16" ht="21.600000381469727" hidden="0" customHeight="1">
      <x:c r="A16" s="75" t="str">
        <x:v>TCWS-C015</x:v>
      </x:c>
      <x:c r="B16" s="75" t="str">
        <x:v>tropical_cyclone_wind</x:v>
      </x:c>
      <x:c r="C16" s="75" t="str">
        <x:v>The Ceferino and Perry evidence must not be counted as independent field populations without record-level deduplication.</x:v>
      </x:c>
      <x:c r="D16" s="75" t="str">
        <x:v>governance_decision</x:v>
      </x:c>
      <x:c r="E16" s="75" t="str">
        <x:v>TCWS-S002;TCWS-S003</x:v>
      </x:c>
      <x:c r="F16" s="75" t="str">
        <x:v>both studies' Caribbean Irma/Maria event and site descriptions</x:v>
      </x:c>
      <x:c r="G16" s="75" t="str">
        <x:v>T1_claims_or_field_calibrated</x:v>
      </x:c>
      <x:c r="H16" s="75" t="str">
        <x:v>evidence_dependence_rule</x:v>
      </x:c>
      <x:c r="I16" s="75" t="str">
        <x:v>adopt</x:v>
      </x:c>
      <x:c r="J16" s="75" t="str">
        <x:v>Treat them as complementary endpoint/method evidence with possible overlapping events and sites.</x:v>
      </x:c>
      <x:c r="K16" s="75" t="str">
        <x:v>Multiply confidence or sample size as though the two sources were independent.</x:v>
      </x:c>
      <x:c r="L16" s="75" t="str">
        <x:v>Both sources draw from the same regional hurricane seasons and public descriptions do not establish record-level independence.</x:v>
      </x:c>
      <x:c r="M16" s="75" t="str">
        <x:v>Site identifiers establish overlap or independence.</x:v>
      </x:c>
    </x:row>
    <x:row r="17" ht="32.400001525878906" hidden="0" customHeight="1">
      <x:c r="A17" s="75" t="str">
        <x:v>TCWS-C016</x:v>
      </x:c>
      <x:c r="B17" s="75" t="str">
        <x:v>tropical_cyclone_wind</x:v>
      </x:c>
      <x:c r="C17" s="75" t="str">
        <x:v>The DOE/FEMP St. Croix case documents a 469 kW fixed-tilt array assessed as total loss with rack, beam, clamp, fastener, corrosion, liberated-module, enclosure, conduit, inverter, switchgear, and transformer mechanisms.</x:v>
      </x:c>
      <x:c r="D17" s="75" t="str">
        <x:v>direct_observation</x:v>
      </x:c>
      <x:c r="E17" s="75" t="str">
        <x:v>TCWS-S004</x:v>
      </x:c>
      <x:c r="F17" s="75" t="str">
        <x:v>Executive Summary pp. vi–vii; §1.1/Table 1 pp. 2–3; §§2–3.6 pp. 5–12</x:v>
      </x:c>
      <x:c r="G17" s="75" t="str">
        <x:v>T3_engineering_proxy_or_adjacent_empirical</x:v>
      </x:c>
      <x:c r="H17" s="75" t="str">
        <x:v>st_croix_mechanism_and_failure_unit_case</x:v>
      </x:c>
      <x:c r="I17" s="75" t="str">
        <x:v>adopt_with_limits</x:v>
      </x:c>
      <x:c r="J17" s="75" t="str">
        <x:v>Use the case to populate anatomy, dependency, inspection, and compound-peril fields.</x:v>
      </x:c>
      <x:c r="K17" s="75" t="str">
        <x:v>Fit a population fragility, transfer the total-loss disposition, or infer component economic severities.</x:v>
      </x:c>
      <x:c r="L17" s="75" t="str">
        <x:v>One detailed case exposes mechanisms but does not estimate a representative probability or cost-state distribution.</x:v>
      </x:c>
      <x:c r="M17" s="75" t="str">
        <x:v>A population of comparable sites with local demands and itemized repair/replacement records is available.</x:v>
      </x:c>
    </x:row>
    <x:row r="18" ht="32.400001525878906" hidden="0" customHeight="1">
      <x:c r="A18" s="75" t="str">
        <x:v>TCWS-C017</x:v>
      </x:c>
      <x:c r="B18" s="75" t="str">
        <x:v>tropical_cyclone_wind</x:v>
      </x:c>
      <x:c r="C18" s="75" t="str">
        <x:v>The St. Croix case combines high wind, wind-driven rain, and flash flooding; its reported approximately 104 mph event estimate and 145 mph design value are not population failure thresholds.</x:v>
      </x:c>
      <x:c r="D18" s="75" t="str">
        <x:v>source_interpretation</x:v>
      </x:c>
      <x:c r="E18" s="75" t="str">
        <x:v>TCWS-S004</x:v>
      </x:c>
      <x:c r="F18" s="75" t="str">
        <x:v>Executive Summary pp. vi–vii; §§1.1, 2, and 3 pp. 2–12</x:v>
      </x:c>
      <x:c r="G18" s="75" t="str">
        <x:v>T3_engineering_proxy_or_adjacent_empirical</x:v>
      </x:c>
      <x:c r="H18" s="75" t="str">
        <x:v>compound_event_and_threshold_limit</x:v>
      </x:c>
      <x:c r="I18" s="75" t="str">
        <x:v>adopt</x:v>
      </x:c>
      <x:c r="J18" s="75" t="str">
        <x:v>Route pressure, debris, rain ingress, and flood mechanisms separately while preserving one parent event family.</x:v>
      </x:c>
      <x:c r="K18" s="75" t="str">
        <x:v>Use either speed as a tropical-cyclone DR onset, design median, or evidence that the array failed below design solely from wind.</x:v>
      </x:c>
      <x:c r="L18" s="75" t="str">
        <x:v>The case is compound and site specific; reported estimates do not isolate a wind-only causal threshold.</x:v>
      </x:c>
      <x:c r="M18" s="75" t="str">
        <x:v>Forensic load reconstruction isolates mechanisms and component capacities.</x:v>
      </x:c>
    </x:row>
    <x:row r="19" ht="21.600000381469727" hidden="0" customHeight="1">
      <x:c r="A19" s="75" t="str">
        <x:v>TCWS-C018</x:v>
      </x:c>
      <x:c r="B19" s="75" t="str">
        <x:v>tropical_cyclone_wind</x:v>
      </x:c>
      <x:c r="C19" s="75" t="str">
        <x:v>ASCE and fixed-tilt wind-tunnel evidence are design and demand anchors, not failure probability or economic severity evidence.</x:v>
      </x:c>
      <x:c r="D19" s="75" t="str">
        <x:v>source_interpretation</x:v>
      </x:c>
      <x:c r="E19" s="75" t="str">
        <x:v>TCWS-S005;TCWS-S010</x:v>
      </x:c>
      <x:c r="F19" s="75" t="str">
        <x:v>ASCE Chs. 26, 29, and 31; Browne abstract and §§1–5</x:v>
      </x:c>
      <x:c r="G19" s="75" t="str">
        <x:v>T2_public_lab_standard_or_physics</x:v>
      </x:c>
      <x:c r="H19" s="75" t="str">
        <x:v>fixed_tilt_demand_bridge_boundary</x:v>
      </x:c>
      <x:c r="I19" s="75" t="str">
        <x:v>adopt</x:v>
      </x:c>
      <x:c r="J19" s="75" t="str">
        <x:v>Use exact edition, geometry, zone, exposure, and small-deflection eligibility in a future fixed-tilt local-demand bridge.</x:v>
      </x:c>
      <x:c r="K19" s="75" t="str">
        <x:v>Treat code wind, design pressure, or a wind coefficient as as-built capacity, D50, damage state, or DR.</x:v>
      </x:c>
      <x:c r="L19" s="75" t="str">
        <x:v>Design adequacy calculations and load coefficients do not measure population failure disposition or repair cost.</x:v>
      </x:c>
      <x:c r="M19" s="75" t="str">
        <x:v>Matched component demand-capacity-failure-cost evidence passes review.</x:v>
      </x:c>
    </x:row>
    <x:row r="20" ht="21.600000381469727" hidden="0" customHeight="1">
      <x:c r="A20" s="75" t="str">
        <x:v>TCWS-C019</x:v>
      </x:c>
      <x:c r="B20" s="75" t="str">
        <x:v>tropical_cyclone_wind</x:v>
      </x:c>
      <x:c r="C20" s="75" t="str">
        <x:v>Tracker critical velocity is exact-system, angle, layout, direction, row, and qualification dependent.</x:v>
      </x:c>
      <x:c r="D20" s="75" t="str">
        <x:v>source_interpretation</x:v>
      </x:c>
      <x:c r="E20" s="75" t="str">
        <x:v>TCWS-S006;TCWS-S007;TCWS-S011;TCWS-S012</x:v>
      </x:c>
      <x:c r="F20" s="75" t="str">
        <x:v>FM §§2.1.2.3–2.1.2.4; IEC scope; aeroelastic benchmark and stability-map results</x:v>
      </x:c>
      <x:c r="G20" s="75" t="str">
        <x:v>T2_public_lab_standard_or_physics</x:v>
      </x:c>
      <x:c r="H20" s="75" t="str">
        <x:v>tracker_ucrit_and_state_contract</x:v>
      </x:c>
      <x:c r="I20" s="75" t="str">
        <x:v>adopt</x:v>
      </x:c>
      <x:c r="J20" s="75" t="str">
        <x:v>Require exact tracker system, qualification, configuration, attained angle, drive/lock state, position, direction, and compatible speed basis before using Ucrit.</x:v>
      </x:c>
      <x:c r="K20" s="75" t="str">
        <x:v>Supply a generic Ucrit, infer it from IEC qualification, or transfer benchmark critical speed to an unnamed production tracker or TC field.</x:v>
      </x:c>
      <x:c r="L20" s="75" t="str">
        <x:v>The studies show instability depends on the defined system and state; qualification identity is necessary but does not itself supply a generic value.</x:v>
      </x:c>
      <x:c r="M20" s="75" t="str">
        <x:v>A governed certified tracker-capacity catalog with structured equivalence becomes available.</x:v>
      </x:c>
    </x:row>
    <x:row r="21" ht="21.600000381469727" hidden="0" customHeight="1">
      <x:c r="A21" s="75" t="str">
        <x:v>TCWS-C020</x:v>
      </x:c>
      <x:c r="B21" s="75" t="str">
        <x:v>tropical_cyclone_wind</x:v>
      </x:c>
      <x:c r="C21" s="75" t="str">
        <x:v>FM's trigger at 25 percent below tested instability speed is an operational action margin, not damage onset.</x:v>
      </x:c>
      <x:c r="D21" s="75" t="str">
        <x:v>source_interpretation</x:v>
      </x:c>
      <x:c r="E21" s="75" t="str">
        <x:v>TCWS-S006</x:v>
      </x:c>
      <x:c r="F21" s="75" t="str">
        <x:v>§§2.1.2.3–2.1.2.4 pp. 3–4</x:v>
      </x:c>
      <x:c r="G21" s="75" t="str">
        <x:v>T2_public_lab_standard_or_physics</x:v>
      </x:c>
      <x:c r="H21" s="75" t="str">
        <x:v>tracker_stow_action_gate</x:v>
      </x:c>
      <x:c r="I21" s="75" t="str">
        <x:v>adopt_flag_only</x:v>
      </x:c>
      <x:c r="J21" s="75" t="str">
        <x:v>Use 0.75 Ucrit only as an exact-basis control/action flag after all qualification fields match.</x:v>
      </x:c>
      <x:c r="K21" s="75" t="str">
        <x:v>Force positive damage at the trigger, force zero below it, calibrate a fragility median from it, or apply it across mismatched speed definitions.</x:v>
      </x:c>
      <x:c r="L21" s="75" t="str">
        <x:v>The source specifies an operating margin below tested instability, not an observed failure threshold.</x:v>
      </x:c>
      <x:c r="M21" s="75" t="str">
        <x:v>FM changes the criterion or matched damage observations calibrate the relationship.</x:v>
      </x:c>
    </x:row>
    <x:row r="22" ht="21.600000381469727" hidden="0" customHeight="1">
      <x:c r="A22" s="75" t="str">
        <x:v>TCWS-C021</x:v>
      </x:c>
      <x:c r="B22" s="75" t="str">
        <x:v>tropical_cyclone_wind</x:v>
      </x:c>
      <x:c r="C22" s="75" t="str">
        <x:v>IEC 62817 tracker qualification and IEC 61730 module safety qualification are selector provenance, not tropical-cyclone fragility.</x:v>
      </x:c>
      <x:c r="D22" s="75" t="str">
        <x:v>source_interpretation</x:v>
      </x:c>
      <x:c r="E22" s="75" t="str">
        <x:v>TCWS-S007;TCWS-S008</x:v>
      </x:c>
      <x:c r="F22" s="75" t="str">
        <x:v>official IEC scope and test-purpose pages</x:v>
      </x:c>
      <x:c r="G22" s="75" t="str">
        <x:v>T2_public_lab_standard_or_physics</x:v>
      </x:c>
      <x:c r="H22" s="75" t="str">
        <x:v>qualification_provenance_rule</x:v>
      </x:c>
      <x:c r="I22" s="75" t="str">
        <x:v>adopt</x:v>
      </x:c>
      <x:c r="J22" s="75" t="str">
        <x:v>Record the exact standard, edition, product, configuration, and test identity.</x:v>
      </x:c>
      <x:c r="K22" s="75" t="str">
        <x:v>Infer site wind capacity, TC survival, failure probability, economic severity, or mitigation credit from qualification alone.</x:v>
      </x:c>
      <x:c r="L22" s="75" t="str">
        <x:v>Qualification standards define test and safety scope but do not provide the target population's hazard-to-cost response.</x:v>
      </x:c>
      <x:c r="M22" s="75" t="str">
        <x:v>A product-specific qualified capacity and field-validation artifact is authorized.</x:v>
      </x:c>
    </x:row>
    <x:row r="23" ht="21.600000381469727" hidden="0" customHeight="1">
      <x:c r="A23" s="75" t="str">
        <x:v>TCWS-C022</x:v>
      </x:c>
      <x:c r="B23" s="75" t="str">
        <x:v>all_shared</x:v>
      </x:c>
      <x:c r="C23" s="75" t="str">
        <x:v>The NLR Q1-2025 UPV benchmark is a reference value source only, under value_source_id NLR_Q1_2025_UPV_PV_ONLY_2024_USD.</x:v>
      </x:c>
      <x:c r="D23" s="75" t="str">
        <x:v>value_rule</x:v>
      </x:c>
      <x:c r="E23" s="75" t="str">
        <x:v>TCWS-S013</x:v>
      </x:c>
      <x:c r="F23" s="75" t="str">
        <x:v>dataset landing page and governed parent value ledger</x:v>
      </x:c>
      <x:c r="G23" s="75" t="str">
        <x:v>T2_public_lab_standard_or_physics</x:v>
      </x:c>
      <x:c r="H23" s="75" t="str">
        <x:v>reference_value_lineage</x:v>
      </x:c>
      <x:c r="I23" s="75" t="str">
        <x:v>adopt_with_limits</x:v>
      </x:c>
      <x:c r="J23" s="75" t="str">
        <x:v>Use exact row-level units, vintage, and denominator mapping after the parent-ledger crosswalk is verified.</x:v>
      </x:c>
      <x:c r="K23" s="75" t="str">
        <x:v>Use benchmark shares as damage caps, exposed fractions, site appraisal, support-allocation rules, or failure severity.</x:v>
      </x:c>
      <x:c r="L23" s="75" t="str">
        <x:v>Cost structure can support a denominator but supplies no hazard response or repair disposition.</x:v>
      </x:c>
      <x:c r="M23" s="75" t="str">
        <x:v>A new benchmark vintage or site-specific BOM/value ledger supersedes the reference.</x:v>
      </x:c>
    </x:row>
    <x:row r="24" ht="21.600000381469727" hidden="0" customHeight="1">
      <x:c r="A24" s="75" t="str">
        <x:v>TCWS-C023</x:v>
      </x:c>
      <x:c r="B24" s="75" t="str">
        <x:v>tropical_cyclone_wind</x:v>
      </x:c>
      <x:c r="C24" s="75" t="str">
        <x:v>PV_GSU_SUBSTATION remains a separate solar-plant failure unit and is withheld, not assigned zero and not inherited from a generic hurricane substation placeholder.</x:v>
      </x:c>
      <x:c r="D24" s="75" t="str">
        <x:v>governance_decision</x:v>
      </x:c>
      <x:c r="E24" s="75" t="str">
        <x:v>TCWS-S004;TCWS-S013;LEG-TCWS-001;LEG-TCWS-002;GOVERNANCE_CONTRACT</x:v>
      </x:c>
      <x:c r="F24" s="75" t="str">
        <x:v>St. Croix electrical mechanisms; value lineage; legacy substation rows; coverage gate</x:v>
      </x:c>
      <x:c r="G24" s="75" t="str">
        <x:v>T4_placeholder_or_expert_judgment</x:v>
      </x:c>
      <x:c r="H24" s="75" t="str">
        <x:v>PV_GSU_SUBSTATION_coverage</x:v>
      </x:c>
      <x:c r="I24" s="75" t="str">
        <x:v>withhold</x:v>
      </x:c>
      <x:c r="J24" s="75" t="str">
        <x:v>Preserve point or yard exposure, component value, and separate future evidence routing.</x:v>
      </x:c>
      <x:c r="K24" s="75" t="str">
        <x:v>Apply whole-array exposure, legacy substation logistic DR, flood/rain loss, or zero immunity to the GSU.</x:v>
      </x:c>
      <x:c r="L24" s="75" t="str">
        <x:v>A shared GSU has different spatial grain, mechanisms, values, and evidence needs from the array field.</x:v>
      </x:c>
      <x:c r="M24" s="75" t="str">
        <x:v>GSU-specific TC wind demand, disposition, exposure, and same-unit cost data pass review.</x:v>
      </x:c>
    </x:row>
    <x:row r="25" ht="32.400001525878906" hidden="0" customHeight="1">
      <x:c r="A25" s="75" t="str">
        <x:v>TCWS-C024</x:v>
      </x:c>
      <x:c r="B25" s="75" t="str">
        <x:v>tropical_cyclone_wind</x:v>
      </x:c>
      <x:c r="C25" s="75" t="str">
        <x:v>PV_POWER_CONVERSION_AND_COLLECTION remains a separate withheld unit for inverters, combiners, wiring, enclosures, collection, grounding, and related power-path equipment.</x:v>
      </x:c>
      <x:c r="D25" s="75" t="str">
        <x:v>governance_decision</x:v>
      </x:c>
      <x:c r="E25" s="75" t="str">
        <x:v>TCWS-S004;TCWS-S009;TCWS-S013;GOVERNANCE_CONTRACT</x:v>
      </x:c>
      <x:c r="F25" s="75" t="str">
        <x:v>St. Croix §§3.4–3.6; Owner's Guide §5; value and coverage audits</x:v>
      </x:c>
      <x:c r="G25" s="75" t="str">
        <x:v>T3_engineering_proxy_or_adjacent_empirical</x:v>
      </x:c>
      <x:c r="H25" s="75" t="str">
        <x:v>PV_POWER_CONVERSION_AND_COLLECTION_coverage</x:v>
      </x:c>
      <x:c r="I25" s="75" t="str">
        <x:v>withhold</x:v>
      </x:c>
      <x:c r="J25" s="75" t="str">
        <x:v>Keep the equipment anatomy and value/exposure seam explicit for later evidence.</x:v>
      </x:c>
      <x:c r="K25" s="75" t="str">
        <x:v>Scale it by array structural DR, call it wind immune, or mix wind-driven rain/flood ingress into a wind-only curve.</x:v>
      </x:c>
      <x:c r="L25" s="75" t="str">
        <x:v>The unit has different direct and dependency mechanisms and lacks a matched wind-to-disposition-to-cost chain.</x:v>
      </x:c>
      <x:c r="M25" s="75" t="str">
        <x:v>Unit-specific demand, disposition, repair, and cost evidence becomes available.</x:v>
      </x:c>
    </x:row>
    <x:row r="26" ht="21.600000381469727" hidden="0" customHeight="1">
      <x:c r="A26" s="75" t="str">
        <x:v>TCWS-C025</x:v>
      </x:c>
      <x:c r="B26" s="75" t="str">
        <x:v>tropical_cyclone_wind</x:v>
      </x:c>
      <x:c r="C26" s="75" t="str">
        <x:v>The strong_wind_solar package may contribute source discovery, anatomy, terminology, and governance controls but no numeric transfer.</x:v>
      </x:c>
      <x:c r="D26" s="75" t="str">
        <x:v>governance_decision</x:v>
      </x:c>
      <x:c r="E26" s="75" t="str">
        <x:v>TCWS-S015;GOVERNANCE_CONTRACT</x:v>
      </x:c>
      <x:c r="F26" s="75" t="str">
        <x:v>cross-cell register rows and neighboring-wind boundary</x:v>
      </x:c>
      <x:c r="G26" s="75" t="str">
        <x:v>T3_engineering_proxy_or_adjacent_empirical</x:v>
      </x:c>
      <x:c r="H26" s="75" t="str">
        <x:v>cross_cell_reuse_rule</x:v>
      </x:c>
      <x:c r="I26" s="75" t="str">
        <x:v>adopt_with_limits</x:v>
      </x:c>
      <x:c r="J26" s="75" t="str">
        <x:v>Reuse reviewed primary-source lineage after independent registration and pathway-specific transfer analysis.</x:v>
      </x:c>
      <x:c r="K26" s="75" t="str">
        <x:v>Inherit convective demand axes, downburst profiles, curve forms, T4 medians, beta, severity, stow credit, or exposure behavior.</x:v>
      </x:c>
      <x:c r="L26" s="75" t="str">
        <x:v>Asset substrate is reusable, while causal wind fields and numeric evidence are pathway specific.</x:v>
      </x:c>
      <x:c r="M26" s="75" t="str">
        <x:v>A formal numerical equivalence review passes.</x:v>
      </x:c>
    </x:row>
    <x:row r="27" ht="21.600000381469727" hidden="0" customHeight="1">
      <x:c r="A27" s="75" t="str">
        <x:v>TCWS-C026</x:v>
      </x:c>
      <x:c r="B27" s="75" t="str">
        <x:v>tropical_cyclone_wind</x:v>
      </x:c>
      <x:c r="C27" s="75" t="str">
        <x:v>The legacy hurricane-solar memo mischaracterizes Ceferino's ground-mounted result and its logistic parameters are rejected for runtime.</x:v>
      </x:c>
      <x:c r="D27" s="75" t="str">
        <x:v>legacy_audit_finding</x:v>
      </x:c>
      <x:c r="E27" s="75" t="str">
        <x:v>TCWS-S002;LEG-TCWS-001</x:v>
      </x:c>
      <x:c r="F27" s="75" t="str">
        <x:v>Ceferino §4.2 p. 7; legacy memo §§2.6–2.8, §5, Appendix A; index rows 219–299</x:v>
      </x:c>
      <x:c r="G27" s="75" t="str">
        <x:v>T4_placeholder_or_expert_judgment</x:v>
      </x:c>
      <x:c r="H27" s="75" t="str">
        <x:v>legacy_curve_bundle</x:v>
      </x:c>
      <x:c r="I27" s="75" t="str">
        <x:v>reject_runtime_retain_audit</x:v>
      </x:c>
      <x:c r="J27" s="75" t="str">
        <x:v>Preserve exact numbers for source correction, migration reproduction, and regression tests only.</x:v>
      </x:c>
      <x:c r="K27" s="75" t="str">
        <x:v>Adopt architecture shifts, caps, slopes, midpoints, confidence labels, or an economic interpretation from the memo.</x:v>
      </x:c>
      <x:c r="L27" s="75" t="str">
        <x:v>The legacy record substitutes 58 m/s and beta 0.30 for the paper's roughly 90 m/s and 0.15 ground posterior, then adds unsupported architecture and severity assumptions.</x:v>
      </x:c>
      <x:c r="M27" s="75" t="str">
        <x:v>A separately calibrated, fully provenance-resolved curve passes promotion gates.</x:v>
      </x:c>
    </x:row>
    <x:row r="28" ht="21.600000381469727" hidden="0" customHeight="1">
      <x:c r="A28" s="75" t="str">
        <x:v>TCWS-C027</x:v>
      </x:c>
      <x:c r="B28" s="75" t="str">
        <x:v>tropical_cyclone_wind</x:v>
      </x:c>
      <x:c r="C28" s="75" t="str">
        <x:v>Hazard Modeling's provisional hurricane-solar implementation is a migration fixture only.</x:v>
      </x:c>
      <x:c r="D28" s="75" t="str">
        <x:v>legacy_audit_finding</x:v>
      </x:c>
      <x:c r="E28" s="75" t="str">
        <x:v>LEG-TCWS-002;GOVERNANCE_CONTRACT</x:v>
      </x:c>
      <x:c r="F28" s="75" t="str">
        <x:v>01_damage.py lines 14–39, 56–105, 136–183, 197–207</x:v>
      </x:c>
      <x:c r="G28" s="75" t="str">
        <x:v>T4_placeholder_or_expert_judgment</x:v>
      </x:c>
      <x:c r="H28" s="75" t="str">
        <x:v>legacy_consumer_behavior</x:v>
      </x:c>
      <x:c r="I28" s="75" t="str">
        <x:v>reject_runtime_retain_audit</x:v>
      </x:c>
      <x:c r="J28" s="75" t="str">
        <x:v>Reproduce exact old behavior for cutover comparison.</x:v>
      </x:c>
      <x:c r="K28" s="75" t="str">
        <x:v>Treat hardcoded PV, mounting, substation, or zero-remainder TIV weights and anchored logistics as calibrated Damage outputs or a valid fallback.</x:v>
      </x:c>
      <x:c r="L28" s="75" t="str">
        <x:v>The consumer mixes mechanisms and unsupported value shares and labels absent coverage as approximately immune.</x:v>
      </x:c>
      <x:c r="M28" s="75" t="str">
        <x:v>A governed promoted Damage artifact and explicit consumer cutover replace the fixture.</x:v>
      </x:c>
    </x:row>
    <x:row r="29" ht="32.400001525878906" hidden="0" customHeight="1">
      <x:c r="A29" s="75" t="str">
        <x:v>TCWS-C028</x:v>
      </x:c>
      <x:c r="B29" s="75" t="str">
        <x:v>tropical_cyclone_wind</x:v>
      </x:c>
      <x:c r="C29" s="75" t="str">
        <x:v>No public matched chain was located in the bounded review from representative local tropical-cyclone demand through failure-unit state and disposition to same-unit direct repair or replacement cost.</x:v>
      </x:c>
      <x:c r="D29" s="75" t="str">
        <x:v>governance_decision</x:v>
      </x:c>
      <x:c r="E29" s="75" t="str">
        <x:v>TCWS-S002;TCWS-S003;TCWS-S004;BOUNDED_SEARCH_LOG</x:v>
      </x:c>
      <x:c r="F29" s="75" t="str">
        <x:v>bounded-search chain matrix and endpoint pressure tests</x:v>
      </x:c>
      <x:c r="G29" s="75" t="str">
        <x:v>T3_engineering_proxy_or_adjacent_empirical</x:v>
      </x:c>
      <x:c r="H29" s="75" t="str">
        <x:v>runtime_curve_gate</x:v>
      </x:c>
      <x:c r="I29" s="75" t="str">
        <x:v>withhold</x:v>
      </x:c>
      <x:c r="J29" s="75" t="str">
        <x:v>Use the bounded result as the reason for NO_RUNTIME_CURVE and as an evidence-acquisition roadmap.</x:v>
      </x:c>
      <x:c r="K29" s="75" t="str">
        <x:v>Claim universal absence across private owner, OEM, insurer, non-indexed, non-English, or post-cutoff evidence.</x:v>
      </x:c>
      <x:c r="L29" s="75" t="str">
        <x:v>Strong sources stop at site probability, visible damage, design/demand, qualification, or a compound single-site case.</x:v>
      </x:c>
      <x:c r="M29" s="75" t="str">
        <x:v>Authorized matched event, configuration, inspection, disposition, and cost records close the chain.</x:v>
      </x:c>
    </x:row>
    <x:row r="30" ht="21.600000381469727" hidden="0" customHeight="1">
      <x:c r="A30" s="75" t="str">
        <x:v>TCWS-C029</x:v>
      </x:c>
      <x:c r="B30" s="75" t="str">
        <x:v>tropical_cyclone_wind</x:v>
      </x:c>
      <x:c r="C30" s="75" t="str">
        <x:v>Wind, debris impact, wind-driven rain, flood or surge, and TC-spawned tornado pathways preserve one event_family_id but route separately.</x:v>
      </x:c>
      <x:c r="D30" s="75" t="str">
        <x:v>governance_decision</x:v>
      </x:c>
      <x:c r="E30" s="75" t="str">
        <x:v>TCWS-S004;GOVERNANCE_CONTRACT</x:v>
      </x:c>
      <x:c r="F30" s="75" t="str">
        <x:v>St. Croix compound-event evidence; event-identity and neighboring-hazard controls</x:v>
      </x:c>
      <x:c r="G30" s="75" t="str">
        <x:v>T4_placeholder_or_expert_judgment</x:v>
      </x:c>
      <x:c r="H30" s="75" t="str">
        <x:v>compound_event_identity_rule</x:v>
      </x:c>
      <x:c r="I30" s="75" t="str">
        <x:v>adopt</x:v>
      </x:c>
      <x:c r="J30" s="75" t="str">
        <x:v>Coordinate one physical occurrence and downstream loss assembly without duplicate value consumption.</x:v>
      </x:c>
      <x:c r="K30" s="75" t="str">
        <x:v>Blend all mechanisms into a wind curve or count one damaged value stock independently in several pathways.</x:v>
      </x:c>
      <x:c r="L30" s="75" t="str">
        <x:v>The same cyclone can produce distinct mechanisms whose evidence and exposure grains differ.</x:v>
      </x:c>
      <x:c r="M30" s="75" t="str">
        <x:v>A governed multi-pathway consequence assembler supersedes the current rule.</x:v>
      </x:c>
    </x:row>
    <x:row r="31" ht="21.600000381469727" hidden="0" customHeight="1">
      <x:c r="A31" s="75" t="str">
        <x:v>TCWS-C030</x:v>
      </x:c>
      <x:c r="B31" s="75" t="str">
        <x:v>tropical_cyclone_wind</x:v>
      </x:c>
      <x:c r="C31" s="75" t="str">
        <x:v>Model v0.1/docs r1 is a noncanonical coverage scaffold with zero runtime curve records; scalar damage and monetary loss are withheld.</x:v>
      </x:c>
      <x:c r="D31" s="75" t="str">
        <x:v>governance_decision</x:v>
      </x:c>
      <x:c r="E31" s="75" t="str">
        <x:v>GOVERNANCE_CONTRACT</x:v>
      </x:c>
      <x:c r="F31" s="75" t="str">
        <x:v>change classification, capability declaration, and fail-closed release gate</x:v>
      </x:c>
      <x:c r="G31" s="75" t="str">
        <x:v>T4_placeholder_or_expert_judgment</x:v>
      </x:c>
      <x:c r="H31" s="75" t="str">
        <x:v>canonical_runtime_artifact=false; curve_records=[]</x:v>
      </x:c>
      <x:c r="I31" s="75" t="str">
        <x:v>withhold</x:v>
      </x:c>
      <x:c r="J31" s="75" t="str">
        <x:v>Return null with stable reason code NO_RUNTIME_CURVE after identity and input validation.</x:v>
      </x:c>
      <x:c r="K31" s="75" t="str">
        <x:v>Return zero, a site fragility probability, a legacy proxy, or an adjacent-cell fallback as DR or loss.</x:v>
      </x:c>
      <x:c r="L31" s="75" t="str">
        <x:v>No candidate completes the physical-state, economic-severity, exposure, and provenance chain required for runtime publication.</x:v>
      </x:c>
      <x:c r="M31" s="75" t="str">
        <x:v>A governed model v1.0 behavior change passes evidence, seven-step, tests, schemas, capability, and release review.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52" hidden="0" customWidth="1"/>
    <x:col min="4" max="4" width="15" hidden="0" customWidth="1"/>
    <x:col min="5" max="5" width="52" hidden="0" customWidth="1"/>
    <x:col min="6" max="6" width="28" hidden="0" customWidth="1"/>
    <x:col min="7" max="7" width="26" hidden="0" customWidth="1"/>
    <x:col min="8" max="8" width="22" hidden="0" customWidth="1"/>
    <x:col min="9" max="9" width="30" hidden="0" customWidth="1"/>
    <x:col min="10" max="10" width="22" hidden="0" customWidth="1"/>
    <x:col min="11" max="11" width="24" hidden="0" customWidth="1"/>
    <x:col min="12" max="12" width="58" hidden="0" customWidth="1"/>
    <x:col min="13" max="13" width="58" hidden="0" customWidth="1"/>
    <x:col min="14" max="14" width="58" hidden="0" customWidth="1"/>
    <x:col min="15" max="15" width="24" hidden="0" customWidth="1"/>
    <x:col min="16" max="16" width="22" hidden="0" customWidth="1"/>
    <x:col min="17" max="17" width="64" hidden="0" customWidth="1"/>
  </x:cols>
  <x:sheetData>
    <x:row r="1" ht="44" hidden="0" customHeight="1">
      <x:c r="A1" s="79" t="str">
        <x:v>source_id</x:v>
      </x:c>
      <x:c r="B1" s="79" t="str">
        <x:v>citation</x:v>
      </x:c>
      <x:c r="C1" s="79" t="str">
        <x:v>url</x:v>
      </x:c>
      <x:c r="D1" s="79" t="str">
        <x:v>accessed_on</x:v>
      </x:c>
      <x:c r="E1" s="79" t="str">
        <x:v>exact_locator</x:v>
      </x:c>
      <x:c r="F1" s="79" t="str">
        <x:v>source_type</x:v>
      </x:c>
      <x:c r="G1" s="79" t="str">
        <x:v>source_role</x:v>
      </x:c>
      <x:c r="H1" s="79" t="str">
        <x:v>pathway_ids</x:v>
      </x:c>
      <x:c r="I1" s="79" t="str">
        <x:v>evidence_tier</x:v>
      </x:c>
      <x:c r="J1" s="79" t="str">
        <x:v>target_asset_match</x:v>
      </x:c>
      <x:c r="K1" s="79" t="str">
        <x:v>target_failure_unit_match</x:v>
      </x:c>
      <x:c r="L1" s="79" t="str">
        <x:v>measured_or_modeled_endpoint</x:v>
      </x:c>
      <x:c r="M1" s="79" t="str">
        <x:v>permitted_inference</x:v>
      </x:c>
      <x:c r="N1" s="79" t="str">
        <x:v>prohibited_inference</x:v>
      </x:c>
      <x:c r="O1" s="79" t="str">
        <x:v>decision</x:v>
      </x:c>
      <x:c r="P1" s="79" t="str">
        <x:v>status</x:v>
      </x:c>
      <x:c r="Q1" s="79" t="str">
        <x:v>notes</x:v>
      </x:c>
    </x:row>
    <x:row r="2" ht="21.600000381469727" hidden="0" customHeight="1">
      <x:c r="A2" s="75" t="str">
        <x:v>TCWS-S001</x:v>
      </x:c>
      <x:c r="B2" s="75" t="str">
        <x:v>NOAA/National Hurricane Center. Glossary of NHC Terms: Maximum Sustained Surface Wind.</x:v>
      </x:c>
      <x:c r="C2" s="75" t="str">
        <x:v>https://www.nhc.noaa.gov/aboutgloss.shtml</x:v>
      </x:c>
      <x:c r="D2" s="75" t="str">
        <x:v>2026-07-28</x:v>
      </x:c>
      <x:c r="E2" s="75" t="str">
        <x:v>entry: Maximum Sustained Surface Wind</x:v>
      </x:c>
      <x:c r="F2" s="75" t="str">
        <x:v>government glossary</x:v>
      </x:c>
      <x:c r="G2" s="75" t="str">
        <x:v>axis_bridge</x:v>
      </x:c>
      <x:c r="H2" s="75" t="str">
        <x:v>tropical_cyclone_wind</x:v>
      </x:c>
      <x:c r="I2" s="75" t="str">
        <x:v>T2_public_lab_standard_or_physics</x:v>
      </x:c>
      <x:c r="J2" s="75" t="str">
        <x:v>none</x:v>
      </x:c>
      <x:c r="K2" s="75" t="str">
        <x:v>none</x:v>
      </x:c>
      <x:c r="L2" s="75" t="str">
        <x:v>highest one-minute average wind at 10 m in unobstructed exposure associated with the cyclone at a point in time</x:v>
      </x:c>
      <x:c r="M2" s="75" t="str">
        <x:v>Define the source-native NHC storm-intensity quantity and require explicit height, averaging-period, terrain, gust, and local-demand bridges.</x:v>
      </x:c>
      <x:c r="N2" s="75" t="str">
        <x:v>Treat storm category or maximum sustained surface wind as array-height component demand or damage without a qualified bridge.</x:v>
      </x:c>
      <x:c r="O2" s="75" t="str">
        <x:v>adopt_with_limits</x:v>
      </x:c>
      <x:c r="P2" s="75" t="str">
        <x:v>reviewed</x:v>
      </x:c>
      <x:c r="Q2" s="75" t="str">
        <x:v>Hazard semantics only; no curve or universal gust factor.</x:v>
      </x:c>
    </x:row>
    <x:row r="3" ht="32.400001525878906" hidden="0" customHeight="1">
      <x:c r="A3" s="75" t="str">
        <x:v>TCWS-S002</x:v>
      </x:c>
      <x:c r="B3" s="75" t="str">
        <x:v>Ceferino, L.; Lin, N.; Xi, D. Bayesian updating of solar panel fragility curves and implications of higher panel strength for solar generation resilience. Reliability Engineering &amp; System Safety 229, 108896 (2023). DOI 10.1016/j.ress.2022.108896.</x:v>
      </x:c>
      <x:c r="C3" s="75" t="str">
        <x:v>https://par.nsf.gov/servlets/purl/10481168</x:v>
      </x:c>
      <x:c r="D3" s="75" t="str">
        <x:v>2026-07-28</x:v>
      </x:c>
      <x:c r="E3" s="75" t="str">
        <x:v>§2.1 and Table 1 pp. 2–3; §2.2 pp. 3–4; Eq. 1 and §3.1 p. 4; §4.2 and Figs. 5c/5d/6b p. 7</x:v>
      </x:c>
      <x:c r="F3" s="75" t="str">
        <x:v>peer-reviewed field-informed Bayesian fragility study</x:v>
      </x:c>
      <x:c r="G3" s="75" t="str">
        <x:v>curve_fit_shape</x:v>
      </x:c>
      <x:c r="H3" s="75" t="str">
        <x:v>tropical_cyclone_wind</x:v>
      </x:c>
      <x:c r="I3" s="75" t="str">
        <x:v>T1_claims_or_field_calibrated</x:v>
      </x:c>
      <x:c r="J3" s="75" t="str">
        <x:v>direct</x:v>
      </x:c>
      <x:c r="K3" s="75" t="str">
        <x:v>partial</x:v>
      </x:c>
      <x:c r="L3" s="75" t="str">
        <x:v>probability that a large ground-mounted site has extensive structural failure, defined as clip/racking failure in more than 50% of panels, conditional on reconstructed 3-second gust; 14 Caribbean sites</x:v>
      </x:c>
      <x:c r="M3" s="75" t="str">
        <x:v>Retain the source-native extensive-failure probability and posterior parameter summaries as a narrowly scoped candidate; preserve the 14-site population, reconstructed-wind uncertainty, composite limit state, and Bayesian parameter uncertainty.</x:v>
      </x:c>
      <x:c r="N3" s="75" t="str">
        <x:v>Call probability economic DR; split the composite site limit state into module, fixed-rack, tracker, foundation, or electrical DR; transfer to a named CONUS architecture; use a deterministic curve made from posterior medians as the paper's posterior mean curve.</x:v>
      </x:c>
      <x:c r="O3" s="75" t="str">
        <x:v>defer_candidate_only</x:v>
      </x:c>
      <x:c r="P3" s="75" t="str">
        <x:v>reviewed</x:v>
      </x:c>
      <x:c r="Q3" s="75" t="str">
        <x:v>Ground-mounted posterior summaries: median v approximately 90 m/s, median beta approximately 0.15; these are audit candidates, not runtime parameters. Debris from damaged panels participated in observed cascades.</x:v>
      </x:c>
    </x:row>
    <x:row r="4" ht="32.400001525878906" hidden="0" customHeight="1">
      <x:c r="A4" s="75" t="str">
        <x:v>TCWS-S003</x:v>
      </x:c>
      <x:c r="B4" s="75" t="str">
        <x:v>Perry, K.; Jordan, D. C.; Nguyen, Q. Assessing the Impacts of Extreme Weather Events on Photovoltaic Installations Using Remote Sensing Imagery. Progress in Photovoltaics: Research and Applications 33(9), 1012–1023 (2025). DOI 10.1002/pip.70001; NREL/JA-5K00-92873.</x:v>
      </x:c>
      <x:c r="C4" s="75" t="str">
        <x:v>https://www.osti.gov/pages/biblio/2574727</x:v>
      </x:c>
      <x:c r="D4" s="75" t="str">
        <x:v>2026-07-28</x:v>
      </x:c>
      <x:c r="E4" s="75" t="str">
        <x:v>abstract p. 1012; §§2.1 and 2.4 pp. 1013–1016; §3.1 and Figs. 4–5/Table 2 pp. 1016–1018; Discussion pp. 1021–1022</x:v>
      </x:c>
      <x:c r="F4" s="75" t="str">
        <x:v>peer-reviewed field remote-sensing study with public DOE archive</x:v>
      </x:c>
      <x:c r="G4" s="75" t="str">
        <x:v>case_study_severity</x:v>
      </x:c>
      <x:c r="H4" s="75" t="str">
        <x:v>tropical_cyclone_wind</x:v>
      </x:c>
      <x:c r="I4" s="75" t="str">
        <x:v>T1_claims_or_field_calibrated</x:v>
      </x:c>
      <x:c r="J4" s="75" t="str">
        <x:v>partial</x:v>
      </x:c>
      <x:c r="K4" s="75" t="str">
        <x:v>partial</x:v>
      </x:c>
      <x:c r="L4" s="75" t="str">
        <x:v>visible post-event PV site damage and percent module area missing/damaged for 1,534 mixed residential, commercial, and utility sites after Hurricanes Maria and Irma, joined to third-party maximum gust estimates</x:v>
      </x:c>
      <x:c r="M4" s="75" t="str">
        <x:v>Use as a fleet-scale visible-damage constraint, installation/mounting-data requirement, and field-data-program method; retain the reported weak gust-damage relationship and site heterogeneity.</x:v>
      </x:c>
      <x:c r="N4" s="75" t="str">
        <x:v>Fit a utility-scale ground-mount curve from the aggregate; infer fixed-versus-tracker fragility, component disposition, hidden electrical damage, direct repair cost, or independence from the Ceferino Caribbean-event evidence.</x:v>
      </x:c>
      <x:c r="O4" s="75" t="str">
        <x:v>adopt_with_limits</x:v>
      </x:c>
      <x:c r="P4" s="75" t="str">
        <x:v>reviewed</x:v>
      </x:c>
      <x:c r="Q4" s="75" t="str">
        <x:v>Reported aggregate: 17% with visible hurricane damage and 2.8% with more than 50% visible damage. Mounting issues were proprietary for key paired sites; utility-scale subset is not separately calibrated.</x:v>
      </x:c>
    </x:row>
    <x:row r="5" ht="32.400001525878906" hidden="0" customHeight="1">
      <x:c r="A5" s="75" t="str">
        <x:v>TCWS-S004</x:v>
      </x:c>
      <x:c r="B5" s="75" t="str">
        <x:v>U.S. DOE Federal Energy Management Program; Elsworth, J.; Van Geet, O.; Robinson, G.; et al. Toward Solar Photovoltaic Storm Resilience: Learning from Hurricane Loss and Rebuilding Better (February 2023).</x:v>
      </x:c>
      <x:c r="C5" s="75" t="str">
        <x:v>https://www.energy.gov/sites/default/files/2023-02/femp-toward-solar-pv-storm-resilience-learning-from-hurricane-loss-rebuilding-better_0.pdf</x:v>
      </x:c>
      <x:c r="D5" s="75" t="str">
        <x:v>2026-07-28</x:v>
      </x:c>
      <x:c r="E5" s="75" t="str">
        <x:v>Executive Summary pp. vi–vii; §1.1 and Table 1 pp. 2–3; §§2–2.1 pp. 5–6; §§3.1–3.6 pp. 7–12</x:v>
      </x:c>
      <x:c r="F5" s="75" t="str">
        <x:v>government-sponsored field investigation and engineering case study</x:v>
      </x:c>
      <x:c r="G5" s="75" t="str">
        <x:v>case_study_severity</x:v>
      </x:c>
      <x:c r="H5" s="75" t="str">
        <x:v>tropical_cyclone_wind</x:v>
      </x:c>
      <x:c r="I5" s="75" t="str">
        <x:v>T3_engineering_proxy_or_adjacent_empirical</x:v>
      </x:c>
      <x:c r="J5" s="75" t="str">
        <x:v>direct</x:v>
      </x:c>
      <x:c r="K5" s="75" t="str">
        <x:v>partial</x:v>
      </x:c>
      <x:c r="L5" s="75" t="str">
        <x:v>one 469 kW fixed-tilt St. Croix ground array assessed as total loss after Maria, with observed rack, clamp, fastener, corrosion, electrical-enclosure, water-ingress, and cascading mechanisms plus site-specific redesign analyses</x:v>
      </x:c>
      <x:c r="M5" s="75" t="str">
        <x:v>Use to define failure units, construction/maintenance selectors, dependency chains, compound-peril boundaries, and exact-site engineering-review requirements.</x:v>
      </x:c>
      <x:c r="N5" s="75" t="str">
        <x:v>Use the reported 104 mph event estimate or 145 mph design value as a population threshold; isolate wind-only economic loss; transfer the 12-degree rebuild tilt, pressures, or hardening benefit as universal modifiers.</x:v>
      </x:c>
      <x:c r="O5" s="75" t="str">
        <x:v>adopt_with_limits</x:v>
      </x:c>
      <x:c r="P5" s="75" t="str">
        <x:v>reviewed</x:v>
      </x:c>
      <x:c r="Q5" s="75" t="str">
        <x:v>The event combined high wind, wind-driven rain, and flash flooding; the report is one detailed case, not a pure-wind fragility dataset.</x:v>
      </x:c>
    </x:row>
    <x:row r="6" ht="32.400001525878906" hidden="0" customHeight="1">
      <x:c r="A6" s="75" t="str">
        <x:v>TCWS-S005</x:v>
      </x:c>
      <x:c r="B6" s="75" t="str">
        <x:v>ASCE/SEI 7-22. Minimum Design Loads and Associated Criteria for Buildings and Other Structures.</x:v>
      </x:c>
      <x:c r="C6" s="75" t="str">
        <x:v>https://www.asce.org/publications-and-news/asce-7/</x:v>
      </x:c>
      <x:c r="D6" s="75" t="str">
        <x:v>2026-07-28</x:v>
      </x:c>
      <x:c r="E6" s="75" t="str">
        <x:v>Ch. 26 wind-speed definitions and symbols; Ch. 29 §29.4.5; Ch. 31 §31.4.5</x:v>
      </x:c>
      <x:c r="F6" s="75" t="str">
        <x:v>consensus design standard</x:v>
      </x:c>
      <x:c r="G6" s="75" t="str">
        <x:v>axis_bridge</x:v>
      </x:c>
      <x:c r="H6" s="75" t="str">
        <x:v>tropical_cyclone_wind</x:v>
      </x:c>
      <x:c r="I6" s="75" t="str">
        <x:v>T2_public_lab_standard_or_physics</x:v>
      </x:c>
      <x:c r="J6" s="75" t="str">
        <x:v>direct</x:v>
      </x:c>
      <x:c r="K6" s="75" t="str">
        <x:v>partial</x:v>
      </x:c>
      <x:c r="L6" s="75" t="str">
        <x:v>design wind basis and ground-mounted fixed-tilt solar load provisions</x:v>
      </x:c>
      <x:c r="M6" s="75" t="str">
        <x:v>Anchor design-basis lineage, 3-second gust semantics, risk category, exposure, and fixed-tilt demand normalization when the licensed project record confirms the exact edition and provisions.</x:v>
      </x:c>
      <x:c r="N6" s="75" t="str">
        <x:v>Treat a code design wind as failure capacity, fragility median, economic loss state, or tracker aeroelastic qualification.</x:v>
      </x:c>
      <x:c r="O6" s="75" t="str">
        <x:v>adopt_with_limits</x:v>
      </x:c>
      <x:c r="P6" s="75" t="str">
        <x:v>reviewed</x:v>
      </x:c>
      <x:c r="Q6" s="75" t="str">
        <x:v>Official page confirms current standard identity; licensed normative text is not copied into the cell.</x:v>
      </x:c>
    </x:row>
    <x:row r="7" ht="32.400001525878906" hidden="0" customHeight="1">
      <x:c r="A7" s="75" t="str">
        <x:v>TCWS-S006</x:v>
      </x:c>
      <x:c r="B7" s="75" t="str">
        <x:v>FM. Property Loss Prevention Data Sheet 7-106: Ground-Mounted Solar Photovoltaic Power (April 2026).</x:v>
      </x:c>
      <x:c r="C7" s="75" t="str">
        <x:v>https://www.fm.com/-/media/project/publicwebsites/fmglobal/documentum-new/data-sheet-individual/07-hazards/fmds07106.pdf</x:v>
      </x:c>
      <x:c r="D7" s="75" t="str">
        <x:v>2026-07-28</x:v>
      </x:c>
      <x:c r="E7" s="75" t="str">
        <x:v>§§2.1.2.1–2.1.2.4 pp. 2–4; §§3.1.1–3.1.2 pp. 10–12; Appendix B revision history p. 22</x:v>
      </x:c>
      <x:c r="F7" s="75" t="str">
        <x:v>insurer engineering guidance</x:v>
      </x:c>
      <x:c r="G7" s="75" t="str">
        <x:v>selector_archetype</x:v>
      </x:c>
      <x:c r="H7" s="75" t="str">
        <x:v>tropical_cyclone_wind</x:v>
      </x:c>
      <x:c r="I7" s="75" t="str">
        <x:v>T2_public_lab_standard_or_physics</x:v>
      </x:c>
      <x:c r="J7" s="75" t="str">
        <x:v>direct</x:v>
      </x:c>
      <x:c r="K7" s="75" t="str">
        <x:v>partial</x:v>
      </x:c>
      <x:c r="L7" s="75" t="str">
        <x:v>fixed-tilt design/wind-tunnel requirements; tracker third-party static, dynamic, and aeroelastic evaluation; site anemometers; operational stow trigger 25% below tested instability speed; debris-zone guidance</x:v>
      </x:c>
      <x:c r="M7" s="75" t="str">
        <x:v>Require architecture-specific qualification, named instability test, anemometer/control evidence, and windborne-debris boundary fields.</x:v>
      </x:c>
      <x:c r="N7" s="75" t="str">
        <x:v>Use 0.75 of tested instability speed as damage onset; use debris design-speed zones as fragility thresholds; assign numeric mitigation credit or economic DR.</x:v>
      </x:c>
      <x:c r="O7" s="75" t="str">
        <x:v>adopt_with_limits</x:v>
      </x:c>
      <x:c r="P7" s="75" t="str">
        <x:v>reviewed</x:v>
      </x:c>
      <x:c r="Q7" s="75" t="str">
        <x:v>The 25%-below value is an operational action margin, not a vulnerability ordinate.</x:v>
      </x:c>
    </x:row>
    <x:row r="8" ht="21.600000381469727" hidden="0" customHeight="1">
      <x:c r="A8" s="75" t="str">
        <x:v>TCWS-S007</x:v>
      </x:c>
      <x:c r="B8" s="75" t="str">
        <x:v>International Electrotechnical Commission. IEC 62817:2014+A1:2017, Photovoltaic systems—Design qualification of solar trackers.</x:v>
      </x:c>
      <x:c r="C8" s="75" t="str">
        <x:v>https://webstore.iec.ch/en/publication/61127</x:v>
      </x:c>
      <x:c r="D8" s="75" t="str">
        <x:v>2026-07-28</x:v>
      </x:c>
      <x:c r="E8" s="75" t="str">
        <x:v>official scope and product-detail page; tracker component and complete-system test-procedure description</x:v>
      </x:c>
      <x:c r="F8" s="75" t="str">
        <x:v>international qualification standard</x:v>
      </x:c>
      <x:c r="G8" s="75" t="str">
        <x:v>selector_archetype</x:v>
      </x:c>
      <x:c r="H8" s="75" t="str">
        <x:v>tropical_cyclone_wind</x:v>
      </x:c>
      <x:c r="I8" s="75" t="str">
        <x:v>T2_public_lab_standard_or_physics</x:v>
      </x:c>
      <x:c r="J8" s="75" t="str">
        <x:v>direct</x:v>
      </x:c>
      <x:c r="K8" s="75" t="str">
        <x:v>partial</x:v>
      </x:c>
      <x:c r="L8" s="75" t="str">
        <x:v>design qualification and reported specification-sheet/test identity for solar trackers</x:v>
      </x:c>
      <x:c r="M8" s="75" t="str">
        <x:v>Require exact tracker model, configuration, qualification edition, and test identity as selector metadata.</x:v>
      </x:c>
      <x:c r="N8" s="75" t="str">
        <x:v>Infer site wind capacity, tropical-cyclone fragility, Ucrit for an unnamed tracker, stow reliability, or economic DR.</x:v>
      </x:c>
      <x:c r="O8" s="75" t="str">
        <x:v>adopt_with_limits</x:v>
      </x:c>
      <x:c r="P8" s="75" t="str">
        <x:v>reviewed</x:v>
      </x:c>
      <x:c r="Q8" s="75" t="str">
        <x:v>Qualification provenance is necessary but not sufficient for a damage curve.</x:v>
      </x:c>
    </x:row>
    <x:row r="9" ht="21.600000381469727" hidden="0" customHeight="1">
      <x:c r="A9" s="75" t="str">
        <x:v>TCWS-S008</x:v>
      </x:c>
      <x:c r="B9" s="75" t="str">
        <x:v>International Electrotechnical Commission. IEC 61730-2:2023 with COR1:2024, Photovoltaic module safety qualification—Part 2: Requirements for testing.</x:v>
      </x:c>
      <x:c r="C9" s="75" t="str">
        <x:v>https://webstore.iec.ch/en/publication/63895</x:v>
      </x:c>
      <x:c r="D9" s="75" t="str">
        <x:v>2026-07-28</x:v>
      </x:c>
      <x:c r="E9" s="75" t="str">
        <x:v>official scope, objective, test-sequence, and pass-criteria description; corrigendum status</x:v>
      </x:c>
      <x:c r="F9" s="75" t="str">
        <x:v>international safety standard</x:v>
      </x:c>
      <x:c r="G9" s="75" t="str">
        <x:v>selector_archetype</x:v>
      </x:c>
      <x:c r="H9" s="75" t="str">
        <x:v>all_shared</x:v>
      </x:c>
      <x:c r="I9" s="75" t="str">
        <x:v>T2_public_lab_standard_or_physics</x:v>
      </x:c>
      <x:c r="J9" s="75" t="str">
        <x:v>direct</x:v>
      </x:c>
      <x:c r="K9" s="75" t="str">
        <x:v>partial</x:v>
      </x:c>
      <x:c r="L9" s="75" t="str">
        <x:v>PV module safety-qualification test requirements used with IEC 61730-1</x:v>
      </x:c>
      <x:c r="M9" s="75" t="str">
        <x:v>Record module qualification lineage and prevent unqualified module-class aliases.</x:v>
      </x:c>
      <x:c r="N9" s="75" t="str">
        <x:v>Treat safety qualification as tropical-cyclone survival, module/rack structural fragility, wind-load capacity, or replacement-cost ratio.</x:v>
      </x:c>
      <x:c r="O9" s="75" t="str">
        <x:v>adopt_with_limits</x:v>
      </x:c>
      <x:c r="P9" s="75" t="str">
        <x:v>reviewed</x:v>
      </x:c>
      <x:c r="Q9" s="75" t="str">
        <x:v>Safety scope only; not a hurricane damage test.</x:v>
      </x:c>
    </x:row>
    <x:row r="10" ht="21.600000381469727" hidden="0" customHeight="1">
      <x:c r="A10" s="75" t="str">
        <x:v>TCWS-S009</x:v>
      </x:c>
      <x:c r="B10" s="75" t="str">
        <x:v>U.S. DOE/FEMP and GSA. PV System Owner's Guide to Identifying, Assessing, and Addressing Weather Vulnerabilities, Risks, and Impacts (2021).</x:v>
      </x:c>
      <x:c r="C10" s="75" t="str">
        <x:v>https://www.energy.gov/sites/default/files/2021-09/pv-system-owners-guide-to-weather-vulnerabilities.pdf</x:v>
      </x:c>
      <x:c r="D10" s="75" t="str">
        <x:v>2026-07-28</x:v>
      </x:c>
      <x:c r="E10" s="75" t="str">
        <x:v>§5; PDF pp. 43–50 for clamps/racking and pp. 56–58 for high-wind field context</x:v>
      </x:c>
      <x:c r="F10" s="75" t="str">
        <x:v>government field-audit guidance</x:v>
      </x:c>
      <x:c r="G10" s="75" t="str">
        <x:v>mechanism_only</x:v>
      </x:c>
      <x:c r="H10" s="75" t="str">
        <x:v>tropical_cyclone_wind</x:v>
      </x:c>
      <x:c r="I10" s="75" t="str">
        <x:v>T2_public_lab_standard_or_physics</x:v>
      </x:c>
      <x:c r="J10" s="75" t="str">
        <x:v>direct</x:v>
      </x:c>
      <x:c r="K10" s="75" t="str">
        <x:v>partial</x:v>
      </x:c>
      <x:c r="L10" s="75" t="str">
        <x:v>field-audit taxonomy for modules, clamps, fasteners, racking, wiring, enclosures, maintenance, and observed cascade mechanisms</x:v>
      </x:c>
      <x:c r="M10" s="75" t="str">
        <x:v>Support candidate failure-unit coverage and selector/conditioner inspection fields.</x:v>
      </x:c>
      <x:c r="N10" s="75" t="str">
        <x:v>Supply a numerical hurricane fragility, median, dispersion, component severity, or loss cap.</x:v>
      </x:c>
      <x:c r="O10" s="75" t="str">
        <x:v>adopt_with_limits</x:v>
      </x:c>
      <x:c r="P10" s="75" t="str">
        <x:v>reviewed</x:v>
      </x:c>
      <x:c r="Q10" s="75" t="str">
        <x:v>Reused from the governed strong_wind_solar evidence spine at qualitative mechanism grain only.</x:v>
      </x:c>
    </x:row>
    <x:row r="11" ht="32.400001525878906" hidden="0" customHeight="1">
      <x:c r="A11" s="75" t="str">
        <x:v>TCWS-S010</x:v>
      </x:c>
      <x:c r="B11" s="75" t="str">
        <x:v>Browne, M. T. L.; Taylor, Z. J.; Li, S.; Gamble, S. A wind load design method for ground-mounted multi-row solar arrays based on a compilation of wind tunnel experiments. Journal of Wind Engineering and Industrial Aerodynamics 205, 104294 (2020). DOI 10.1016/j.jweia.2020.104294.</x:v>
      </x:c>
      <x:c r="C11" s="75" t="str">
        <x:v>https://doi.org/10.1016/j.jweia.2020.104294</x:v>
      </x:c>
      <x:c r="D11" s="75" t="str">
        <x:v>2026-07-28</x:v>
      </x:c>
      <x:c r="E11" s="75" t="str">
        <x:v>abstract; §§1–5; limitations on flexible single-axis trackers</x:v>
      </x:c>
      <x:c r="F11" s="75" t="str">
        <x:v>peer-reviewed atmospheric-boundary-layer wind-tunnel synthesis</x:v>
      </x:c>
      <x:c r="G11" s="75" t="str">
        <x:v>axis_bridge</x:v>
      </x:c>
      <x:c r="H11" s="75" t="str">
        <x:v>tropical_cyclone_wind</x:v>
      </x:c>
      <x:c r="I11" s="75" t="str">
        <x:v>T2_public_lab_standard_or_physics</x:v>
      </x:c>
      <x:c r="J11" s="75" t="str">
        <x:v>direct</x:v>
      </x:c>
      <x:c r="K11" s="75" t="str">
        <x:v>partial</x:v>
      </x:c>
      <x:c r="L11" s="75" t="str">
        <x:v>static and dynamic design wind coefficients for relatively rigid, fixed-tilt, multi-row ground-mounted arrays, including array zoning</x:v>
      </x:c>
      <x:c r="M11" s="75" t="str">
        <x:v>Support a separate fixed-tilt demand bridge, perimeter/interior zoning, and small-deflection eligibility checks.</x:v>
      </x:c>
      <x:c r="N11" s="75" t="str">
        <x:v>Transfer synoptic ABL coefficients to a tropical-cyclone site without basis; apply to flexible trackers; infer failure probability, damage state, or DR.</x:v>
      </x:c>
      <x:c r="O11" s="75" t="str">
        <x:v>adopt_with_limits</x:v>
      </x:c>
      <x:c r="P11" s="75" t="str">
        <x:v>reviewed</x:v>
      </x:c>
      <x:c r="Q11" s="75" t="str">
        <x:v>Strong-wind substrate reused at engineering-design grain; no numerical vulnerability transfer.</x:v>
      </x:c>
    </x:row>
    <x:row r="12" ht="32.400001525878906" hidden="0" customHeight="1">
      <x:c r="A12" s="75" t="str">
        <x:v>TCWS-S011</x:v>
      </x:c>
      <x:c r="B12" s="75" t="str">
        <x:v>Rodríguez-Casado, C.; Martínez-García, E.; Manzanares-Bercial, R.; et al. Experimental benchmark for the 3D wind tunnel testing of torsional aeroelastic instabilities in single-axis solar trackers. Journal of Wind Engineering and Industrial Aerodynamics 253, 105838 (2024). DOI 10.1016/j.jweia.2024.105838.</x:v>
      </x:c>
      <x:c r="C12" s="75" t="str">
        <x:v>https://doi.org/10.1016/j.jweia.2024.105838</x:v>
      </x:c>
      <x:c r="D12" s="75" t="str">
        <x:v>2026-07-28</x:v>
      </x:c>
      <x:c r="E12" s="75" t="str">
        <x:v>abstract; prototype and experimental-methodology sections; stability results; conclusions</x:v>
      </x:c>
      <x:c r="F12" s="75" t="str">
        <x:v>peer-reviewed two-laboratory aeroelastic benchmark</x:v>
      </x:c>
      <x:c r="G12" s="75" t="str">
        <x:v>axis_bridge</x:v>
      </x:c>
      <x:c r="H12" s="75" t="str">
        <x:v>tropical_cyclone_wind</x:v>
      </x:c>
      <x:c r="I12" s="75" t="str">
        <x:v>T2_public_lab_standard_or_physics</x:v>
      </x:c>
      <x:c r="J12" s="75" t="str">
        <x:v>direct</x:v>
      </x:c>
      <x:c r="K12" s="75" t="str">
        <x:v>partial</x:v>
      </x:c>
      <x:c r="L12" s="75" t="str">
        <x:v>critical velocity for torsional instability of one defined 3D benchmark tracker by tilt and row position under controlled uniform-flow tests</x:v>
      </x:c>
      <x:c r="M12" s="75" t="str">
        <x:v>Support exact-system Ucrit normalization and qualification metadata for a tracker-specific future bridge.</x:v>
      </x:c>
      <x:c r="N12" s="75" t="str">
        <x:v>Use benchmark Ucrit as a generic production-tracker threshold, transfer uniform-flow results to a site TC field without qualification, or infer failure probability/economic DR.</x:v>
      </x:c>
      <x:c r="O12" s="75" t="str">
        <x:v>adopt_with_limits</x:v>
      </x:c>
      <x:c r="P12" s="75" t="str">
        <x:v>reviewed</x:v>
      </x:c>
      <x:c r="Q12" s="75" t="str">
        <x:v>Critical speed depends on the defined tracker and tilt; the source is not a population fragility.</x:v>
      </x:c>
    </x:row>
    <x:row r="13" ht="32.400001525878906" hidden="0" customHeight="1">
      <x:c r="A13" s="75" t="str">
        <x:v>TCWS-S012</x:v>
      </x:c>
      <x:c r="B13" s="75" t="str">
        <x:v>Frontini, G.; Calamelli, F.; Muggiasca, S.; Argentini, T. Key parameters influencing wind-induced aeroelastic responses of single-axis solar trackers in photovoltaic plants. Solar Energy 287, 113232 (2025). DOI 10.1016/j.solener.2024.113232.</x:v>
      </x:c>
      <x:c r="C13" s="75" t="str">
        <x:v>https://doi.org/10.1016/j.solener.2024.113232</x:v>
      </x:c>
      <x:c r="D13" s="75" t="str">
        <x:v>2026-07-28</x:v>
      </x:c>
      <x:c r="E13" s="75" t="str">
        <x:v>abstract; experimental/numerical method; stability map; stress envelopes; conclusions</x:v>
      </x:c>
      <x:c r="F13" s="75" t="str">
        <x:v>peer-reviewed wind-tunnel and finite-element study</x:v>
      </x:c>
      <x:c r="G13" s="75" t="str">
        <x:v>selector_archetype</x:v>
      </x:c>
      <x:c r="H13" s="75" t="str">
        <x:v>tropical_cyclone_wind</x:v>
      </x:c>
      <x:c r="I13" s="75" t="str">
        <x:v>T2_public_lab_standard_or_physics</x:v>
      </x:c>
      <x:c r="J13" s="75" t="str">
        <x:v>direct</x:v>
      </x:c>
      <x:c r="K13" s="75" t="str">
        <x:v>partial</x:v>
      </x:c>
      <x:c r="L13" s="75" t="str">
        <x:v>tracker aeroelastic response and stress sensitivity to row position, pitch, wind direction/exposure angle, and ground-cover ratio</x:v>
      </x:c>
      <x:c r="M13" s="75" t="str">
        <x:v>Require row/zone, angle, direction, layout, and structural-dynamic attributes for tracker routing.</x:v>
      </x:c>
      <x:c r="N13" s="75" t="str">
        <x:v>Transfer tested critical speeds or angle ranking to another tracker, claim tropical-cyclone equivalence, or infer probability/severity/cost.</x:v>
      </x:c>
      <x:c r="O13" s="75" t="str">
        <x:v>adopt_with_limits</x:v>
      </x:c>
      <x:c r="P13" s="75" t="str">
        <x:v>reviewed</x:v>
      </x:c>
      <x:c r="Q13" s="75" t="str">
        <x:v>Architecture and conditioner evidence only.</x:v>
      </x:c>
    </x:row>
    <x:row r="14" ht="32.400001525878906" hidden="0" customHeight="1">
      <x:c r="A14" s="75" t="str">
        <x:v>TCWS-S013</x:v>
      </x:c>
      <x:c r="B14" s="75" t="str">
        <x:v>Ramasamy, V.; Woodhouse, M.; Feldman, D. Q1-2025 Solar Photovoltaic System Cost Benchmarks. NLR Data Catalog submission 304 (2025; updated 2026-01-06). DOI 10.7799/3009689.</x:v>
      </x:c>
      <x:c r="C14" s="75" t="str">
        <x:v>https://data.nrel.gov/submissions/304</x:v>
      </x:c>
      <x:c r="D14" s="75" t="str">
        <x:v>2026-07-28</x:v>
      </x:c>
      <x:c r="E14" s="75" t="str">
        <x:v>dataset landing page; UPV Q1-2025 resource; PVSCM 2025 model and description</x:v>
      </x:c>
      <x:c r="F14" s="75" t="str">
        <x:v>official public cost dataset and model</x:v>
      </x:c>
      <x:c r="G14" s="75" t="str">
        <x:v>exposure_or_value</x:v>
      </x:c>
      <x:c r="H14" s="75" t="str">
        <x:v>all_shared</x:v>
      </x:c>
      <x:c r="I14" s="75" t="str">
        <x:v>T2_public_lab_standard_or_physics</x:v>
      </x:c>
      <x:c r="J14" s="75" t="str">
        <x:v>direct</x:v>
      </x:c>
      <x:c r="K14" s="75" t="str">
        <x:v>partial</x:v>
      </x:c>
      <x:c r="L14" s="75" t="str">
        <x:v>U.S. reference utility-scale PV component, balance-of-system, fieldwork, support, soft-cost, and installed-cost rows</x:v>
      </x:c>
      <x:c r="M14" s="75" t="str">
        <x:v>Supply a row-level reference value ledger and denominator reconciliation after architecture/vintage/unit checks.</x:v>
      </x:c>
      <x:c r="N14" s="75" t="str">
        <x:v>Infer fragility, damage probability, repair disposition, site replacement cost, exposed fraction, or support allocation.</x:v>
      </x:c>
      <x:c r="O14" s="75" t="str">
        <x:v>adopt_with_limits</x:v>
      </x:c>
      <x:c r="P14" s="75" t="str">
        <x:v>reviewed</x:v>
      </x:c>
      <x:c r="Q14" s="75" t="str">
        <x:v>Reference-value evidence only. The exact parent-ledger alias is value_source_id NLR_Q1_2025_UPV_PV_ONLY_2024_USD; that ledger governs rows, units, vintage, and support allocation.</x:v>
      </x:c>
    </x:row>
    <x:row r="15" ht="32.400001525878906" hidden="0" customHeight="1">
      <x:c r="A15" s="75" t="str">
        <x:v>TCWS-S014</x:v>
      </x:c>
      <x:c r="B15" s="75" t="str">
        <x:v>Du, X.; Becker, T.; Taylor, Z. J.; Needham, C. Cyclic Demands on Solar Structural Joints under Wind Loading. Journal of Structural Engineering 151(10), 04025156 (2025). DOI 10.1061/JSENDH.STENG-14435.</x:v>
      </x:c>
      <x:c r="C15" s="75" t="str">
        <x:v>https://doi.org/10.1061/JSENDH.STENG-14435</x:v>
      </x:c>
      <x:c r="D15" s="75" t="str">
        <x:v>2026-07-28</x:v>
      </x:c>
      <x:c r="E15" s="75" t="str">
        <x:v>abstract; Introduction; Prototype Structure; Wind Hazard Analysis; Conclusions</x:v>
      </x:c>
      <x:c r="F15" s="75" t="str">
        <x:v>peer-reviewed CFD/FEA and wind-hazard study</x:v>
      </x:c>
      <x:c r="G15" s="75" t="str">
        <x:v>mechanism_only</x:v>
      </x:c>
      <x:c r="H15" s="75" t="str">
        <x:v>tropical_cyclone_wind</x:v>
      </x:c>
      <x:c r="I15" s="75" t="str">
        <x:v>T2_public_lab_standard_or_physics</x:v>
      </x:c>
      <x:c r="J15" s="75" t="str">
        <x:v>direct</x:v>
      </x:c>
      <x:c r="K15" s="75" t="str">
        <x:v>partial</x:v>
      </x:c>
      <x:c r="L15" s="75" t="str">
        <x:v>lifetime cyclic rotation demands for shared top-down clamps on a prototype fixed-tilt array under typical, explicitly non-hurricane winds</x:v>
      </x:c>
      <x:c r="M15" s="75" t="str">
        <x:v>Support joint-condition, preload/installation, cyclic-demand, and cascading-dependency fields; demonstrate that equivalent-static design does not exhaust failure mechanisms.</x:v>
      </x:c>
      <x:c r="N15" s="75" t="str">
        <x:v>Use the duty cycles as TC demand, a hurricane threshold, clamp failure probability, or repair-cost ratio.</x:v>
      </x:c>
      <x:c r="O15" s="75" t="str">
        <x:v>adopt_with_limits</x:v>
      </x:c>
      <x:c r="P15" s="75" t="str">
        <x:v>reviewed</x:v>
      </x:c>
      <x:c r="Q15" s="75" t="str">
        <x:v>The paper explicitly excludes extreme/hurricane winds from its hazard scenarios.</x:v>
      </x:c>
    </x:row>
    <x:row r="16" ht="32.400001525878906" hidden="0" customHeight="1">
      <x:c r="A16" s="75" t="str">
        <x:v>TCWS-S015</x:v>
      </x:c>
      <x:c r="B16" s="75" t="str">
        <x:v>Damage Modeling strong_wind_solar model-v2.0/docs-r1 proposed evidence package.</x:v>
      </x:c>
      <x:c r="C16" s="75" t="str">
        <x:v>docs/cells/strong_wind_solar/proposed/SOURCE_REGISTER_strong_wind_solar__model_v2_0__docs_r1.csv</x:v>
      </x:c>
      <x:c r="D16" s="75" t="str">
        <x:v>2026-07-28</x:v>
      </x:c>
      <x:c r="E16" s="75" t="str">
        <x:v>rows DOE_PV_OWNER_GUIDE_2021, FIXED_TILT_WIND_DESIGN_2020, PV_TRACKER_AEROELASTIC_2024, TRACKER_LAYOUT_AEROELASTIC_2025, FM_DS_7_106_2026, ASCE_7_22, IEC_62817; neighboring-wind boundary memo</x:v>
      </x:c>
      <x:c r="F16" s="75" t="str">
        <x:v>governed cross-cell evidence lineage</x:v>
      </x:c>
      <x:c r="G16" s="75" t="str">
        <x:v>mechanism_only</x:v>
      </x:c>
      <x:c r="H16" s="75" t="str">
        <x:v>tropical_cyclone_wind</x:v>
      </x:c>
      <x:c r="I16" s="75" t="str">
        <x:v>T3_engineering_proxy_or_adjacent_empirical</x:v>
      </x:c>
      <x:c r="J16" s="75" t="str">
        <x:v>direct</x:v>
      </x:c>
      <x:c r="K16" s="75" t="str">
        <x:v>partial</x:v>
      </x:c>
      <x:c r="L16" s="75" t="str">
        <x:v>previously reviewed solar anatomy, fixed-versus-tracker split, wind-demand mechanisms, and source transfer limits</x:v>
      </x:c>
      <x:c r="M16" s="75" t="str">
        <x:v>Reuse source discovery, anatomy, terminology, and governance controls while independently registering primary sources here.</x:v>
      </x:c>
      <x:c r="N16" s="75" t="str">
        <x:v>Inherit straight-line-convective axes, curves, T4 medians/beta/state costs, downburst profiles, or consumer behavior into tropical-cyclone wind.</x:v>
      </x:c>
      <x:c r="O16" s="75" t="str">
        <x:v>adopt_with_limits</x:v>
      </x:c>
      <x:c r="P16" s="75" t="str">
        <x:v>reviewed</x:v>
      </x:c>
      <x:c r="Q16" s="75" t="str">
        <x:v>Evidence reuse is not numerical model reuse.</x:v>
      </x:c>
    </x:row>
    <x:row r="17" ht="43.20000076293945" hidden="0" customHeight="1">
      <x:c r="A17" s="75" t="str">
        <x:v>LEG-TCWS-001</x:v>
      </x:c>
      <x:c r="B17" s="75" t="str">
        <x:v>InfraSure legacy HURRICANE x SOLAR research memo and master curve index.</x:v>
      </x:c>
      <x:c r="C17" s="75" t="str">
        <x:v>infrasure-damage-curves/research/HURRICANE_x_SOLAR.md</x:v>
      </x:c>
      <x:c r="D17" s="75" t="str">
        <x:v>2026-07-28</x:v>
      </x:c>
      <x:c r="E17" s="75" t="str">
        <x:v>memo §§2.6–2.8, §5, §6, Appendix A; data/master_curve_index.json lines 219–299</x:v>
      </x:c>
      <x:c r="F17" s="75" t="str">
        <x:v>legacy research memo and curve index</x:v>
      </x:c>
      <x:c r="G17" s="75" t="str">
        <x:v>rejected</x:v>
      </x:c>
      <x:c r="H17" s="75" t="str">
        <x:v>tropical_cyclone_wind</x:v>
      </x:c>
      <x:c r="I17" s="75" t="str">
        <x:v>T4_placeholder_or_expert_judgment</x:v>
      </x:c>
      <x:c r="J17" s="75" t="str">
        <x:v>direct</x:v>
      </x:c>
      <x:c r="K17" s="75" t="str">
        <x:v>partial</x:v>
      </x:c>
      <x:c r="L17" s="75" t="str">
        <x:v>seven proposed ordinary-logistic subsystem records on 3-second gust mph, later presented as damage ratios</x:v>
      </x:c>
      <x:c r="M17" s="75" t="str">
        <x:v>Use only for source discovery, numerical reproduction, defect audit, and migration regression fixtures.</x:v>
      </x:c>
      <x:c r="N17" s="75" t="str">
        <x:v>Adopt any parameter, threshold, cap, confidence label, architecture shift, economic endpoint, or source characterization.</x:v>
      </x:c>
      <x:c r="O17" s="75" t="str">
        <x:v>reject_runtime_retain_audit</x:v>
      </x:c>
      <x:c r="P17" s="75" t="str">
        <x:v>reviewed</x:v>
      </x:c>
      <x:c r="Q17" s="75" t="str">
        <x:v>Pinned at legacy repository commit 12653b2c3d5a013c9524228243ea666c35bb3814; memo blob ea9febd74f91e79a41b5f7aca5ebd58d36a7230d; index blob 42e4b3d13d434322dd1e0c8d549d0e4b8167f28e. The memo misstates the Ceferino ground-mount posterior and converts a probability endpoint into capped DR.</x:v>
      </x:c>
    </x:row>
    <x:row r="18" ht="32.400001525878906" hidden="0" customHeight="1">
      <x:c r="A18" s="75" t="str">
        <x:v>LEG-TCWS-002</x:v>
      </x:c>
      <x:c r="B18" s="75" t="str">
        <x:v>Hazard Modeling hurricane-solar M3 provisional placeholder implementation.</x:v>
      </x:c>
      <x:c r="C18" s="75" t="str">
        <x:v>Hazard_modeling/Notebooks/hurricane/solar/m3_damage/01_damage.py</x:v>
      </x:c>
      <x:c r="D18" s="75" t="str">
        <x:v>2026-07-28</x:v>
      </x:c>
      <x:c r="E18" s="75" t="str">
        <x:v>lines 14–39, 56–105, 136–183, and 197–207</x:v>
      </x:c>
      <x:c r="F18" s="75" t="str">
        <x:v>consumer code</x:v>
      </x:c>
      <x:c r="G18" s="75" t="str">
        <x:v>rejected</x:v>
      </x:c>
      <x:c r="H18" s="75" t="str">
        <x:v>tropical_cyclone_wind</x:v>
      </x:c>
      <x:c r="I18" s="75" t="str">
        <x:v>T4_placeholder_or_expert_judgment</x:v>
      </x:c>
      <x:c r="J18" s="75" t="str">
        <x:v>direct</x:v>
      </x:c>
      <x:c r="K18" s="75" t="str">
        <x:v>partial</x:v>
      </x:c>
      <x:c r="L18" s="75" t="str">
        <x:v>anchored legacy logistics blended with hardcoded full-TIV shares PV 0.35, mounting 0.15, substation 0.08, and remainder 0.42 assigned zero wind DR</x:v>
      </x:c>
      <x:c r="M18" s="75" t="str">
        <x:v>Freeze exact behavior only as a migration/regression fixture and document downstream exposure/value assumptions.</x:v>
      </x:c>
      <x:c r="N18" s="75" t="str">
        <x:v>Treat as scientific calibration, a governed Damage artifact, a valid capex denominator, or acceptable runtime fallback after the scaffold exists.</x:v>
      </x:c>
      <x:c r="O18" s="75" t="str">
        <x:v>reject_runtime_retain_audit</x:v>
      </x:c>
      <x:c r="P18" s="75" t="str">
        <x:v>reviewed</x:v>
      </x:c>
      <x:c r="Q18" s="75" t="str">
        <x:v>Pinned at Hazard_modeling commit 5033169cfed315dfe8575520a44f84404e89ecda; file blob d5cba3db1ed9f55bd2e8d1884b4a1f2fc144c3d2. It mixes aerodynamic, debris, rain, and generic substation proxies and calls absent coverage approximately wind-immune.</x:v>
      </x:c>
    </x:row>
    <x:row r="19" ht="54" hidden="0" customHeight="1">
      <x:c r="A19" s="75" t="str">
        <x:v>GOVERNANCE_CONTRACT</x:v>
      </x:c>
      <x:c r="B19" s="75" t="str">
        <x:v>Damage Modeling repository governance: method standards, contracts, and damage-curve skill controls.</x:v>
      </x:c>
      <x:c r="C19" s="75" t="str">
        <x:v>docs/method/standards/00_index.md</x:v>
      </x:c>
      <x:c r="D19" s="75" t="str">
        <x:v>2026-07-28</x:v>
      </x:c>
      <x:c r="E19" s="75" t="str">
        <x:v>docs/method/standards/02_cell_package_standard.md; docs/contracts/standards/20_machine_readable_artifact_standard.md; docs/contracts/standards/21_capability_and_cap_binding_standard.md; damage-curve skill CHANGE_CLASSIFIER and EVIDENCE_PRESSURE_TEST_AND_FAIL_CLOSED_CHECKLIST</x:v>
      </x:c>
      <x:c r="F19" s="75" t="str">
        <x:v>internal governance control</x:v>
      </x:c>
      <x:c r="G19" s="75" t="str">
        <x:v>governance_rule</x:v>
      </x:c>
      <x:c r="H19" s="75" t="str">
        <x:v>all_shared</x:v>
      </x:c>
      <x:c r="I19" s="75" t="str">
        <x:v>T4_placeholder_or_expert_judgment</x:v>
      </x:c>
      <x:c r="J19" s="75" t="str">
        <x:v>direct</x:v>
      </x:c>
      <x:c r="K19" s="75" t="str">
        <x:v>direct</x:v>
      </x:c>
      <x:c r="L19" s="75" t="str">
        <x:v>change classification, provenance, pathway, seven-step, fail-closed, runtime-artifact, and reportability rules</x:v>
      </x:c>
      <x:c r="M19" s="75" t="str">
        <x:v>Control package structure, source resolution, candidate isolation, withholding, event identity, and promotion gates.</x:v>
      </x:c>
      <x:c r="N19" s="75" t="str">
        <x:v>Serve as scientific calibration, hazard evidence, or economic-value evidence.</x:v>
      </x:c>
      <x:c r="O19" s="75" t="str">
        <x:v>adopt</x:v>
      </x:c>
      <x:c r="P19" s="75" t="str">
        <x:v>reviewed</x:v>
      </x:c>
      <x:c r="Q19" s="75" t="str">
        <x:v>Internal authority for governance decisions only.</x:v>
      </x:c>
    </x:row>
    <x:row r="20" ht="32.400001525878906" hidden="0" customHeight="1">
      <x:c r="A20" s="75" t="str">
        <x:v>BOUNDED_SEARCH_LOG</x:v>
      </x:c>
      <x:c r="B20" s="75" t="str">
        <x:v>Bounded evidence search log for tropical_cyclone_wind_solar model v0.1/docs r1.</x:v>
      </x:c>
      <x:c r="C20" s="75" t="str">
        <x:v>docs/cells/tropical_cyclone_wind_solar/proposed/BOUNDED_EVIDENCE_SEARCH_LOG_tropical_cyclone_wind_solar__model_v0_1__docs_r1.md</x:v>
      </x:c>
      <x:c r="D20" s="75" t="str">
        <x:v>2026-07-28</x:v>
      </x:c>
      <x:c r="E20" s="75" t="str">
        <x:v>search cutoff, surfaces, exact query families, endpoint-chain matrix, limitations, and update triggers</x:v>
      </x:c>
      <x:c r="F20" s="75" t="str">
        <x:v>governed search record</x:v>
      </x:c>
      <x:c r="G20" s="75" t="str">
        <x:v>negative_evidence_boundary</x:v>
      </x:c>
      <x:c r="H20" s="75" t="str">
        <x:v>tropical_cyclone_wind</x:v>
      </x:c>
      <x:c r="I20" s="75" t="str">
        <x:v>T3_engineering_proxy_or_adjacent_empirical</x:v>
      </x:c>
      <x:c r="J20" s="75" t="str">
        <x:v>direct</x:v>
      </x:c>
      <x:c r="K20" s="75" t="str">
        <x:v>direct</x:v>
      </x:c>
      <x:c r="L20" s="75" t="str">
        <x:v>bounded result that no public matched tropical-cyclone demand-to-failure-unit-disposition-to-same-unit-cost chain was located within the recorded review</x:v>
      </x:c>
      <x:c r="M20" s="75" t="str">
        <x:v>Support the scoped NO_RUNTIME_CURVE decision and define evidence-refresh triggers.</x:v>
      </x:c>
      <x:c r="N20" s="75" t="str">
        <x:v>Claim universal absence across private owner/OEM/insurer data, non-indexed material, other languages, or evidence published after the cutoff.</x:v>
      </x:c>
      <x:c r="O20" s="75" t="str">
        <x:v>adopt_with_limits</x:v>
      </x:c>
      <x:c r="P20" s="75" t="str">
        <x:v>reviewed</x:v>
      </x:c>
      <x:c r="Q20" s="75" t="str">
        <x:v>Negative evidence is bounded, reproducible, and not universal.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26" hidden="0" customWidth="1"/>
    <x:col min="5" max="5" width="24" hidden="0" customWidth="1"/>
    <x:col min="6" max="6" width="30" hidden="0" customWidth="1"/>
    <x:col min="7" max="7" width="30" hidden="0" customWidth="1"/>
    <x:col min="8" max="8" width="58" hidden="0" customWidth="1"/>
    <x:col min="9" max="9" width="26" hidden="0" customWidth="1"/>
    <x:col min="10" max="10" width="48" hidden="0" customWidth="1"/>
  </x:cols>
  <x:sheetData>
    <x:row r="1" ht="44" hidden="0" customHeight="1">
      <x:c r="A1" s="79" t="str">
        <x:v>parameter</x:v>
      </x:c>
      <x:c r="B1" s="79" t="str">
        <x:v>pathway_id</x:v>
      </x:c>
      <x:c r="C1" s="79" t="str">
        <x:v>curve_id</x:v>
      </x:c>
      <x:c r="D1" s="79" t="str">
        <x:v>value</x:v>
      </x:c>
      <x:c r="E1" s="79" t="str">
        <x:v>param_role</x:v>
      </x:c>
      <x:c r="F1" s="79" t="str">
        <x:v>tier</x:v>
      </x:c>
      <x:c r="G1" s="79" t="str">
        <x:v>source_ids</x:v>
      </x:c>
      <x:c r="H1" s="79" t="str">
        <x:v>reasoning</x:v>
      </x:c>
      <x:c r="I1" s="79" t="str">
        <x:v>status</x:v>
      </x:c>
      <x:c r="J1" s="79" t="str">
        <x:v>update_trigger</x:v>
      </x:c>
    </x:row>
    <x:row r="2" ht="15" hidden="0" customHeight="1">
      <x:c r="A2" s="75" t="str">
        <x:v>runtime_curve_count</x:v>
      </x:c>
      <x:c r="B2" s="75" t="str">
        <x:v>tropical_cyclone_wind</x:v>
      </x:c>
      <x:c r="C2" s="75" t="str">
        <x:v>none</x:v>
      </x:c>
      <x:c r="D2" s="75" t="str">
        <x:v>0</x:v>
      </x:c>
      <x:c r="E2" s="75" t="str">
        <x:v>capability</x:v>
      </x:c>
      <x:c r="F2" s="75" t="str">
        <x:v>T4_placeholder_or_expert_judgment</x:v>
      </x:c>
      <x:c r="G2" s="75" t="str">
        <x:v>GOVERNANCE_CONTRACT</x:v>
      </x:c>
      <x:c r="H2" s="75" t="str">
        <x:v>No failure-unit economic damage curve passed the seven-step and evidence-chain gates.</x:v>
      </x:c>
      <x:c r="I2" s="75" t="str">
        <x:v>adopt</x:v>
      </x:c>
      <x:c r="J2" s="75" t="str">
        <x:v>Reviewed model v1.0 promotion.</x:v>
      </x:c>
    </x:row>
    <x:row r="3" ht="15" hidden="0" customHeight="1">
      <x:c r="A3" s="75" t="str">
        <x:v>canonical_runtime_artifact</x:v>
      </x:c>
      <x:c r="B3" s="75" t="str">
        <x:v>tropical_cyclone_wind</x:v>
      </x:c>
      <x:c r="C3" s="75" t="str">
        <x:v>none</x:v>
      </x:c>
      <x:c r="D3" s="75" t="str">
        <x:v>false</x:v>
      </x:c>
      <x:c r="E3" s="75" t="str">
        <x:v>release_state</x:v>
      </x:c>
      <x:c r="F3" s="75" t="str">
        <x:v>T4_placeholder_or_expert_judgment</x:v>
      </x:c>
      <x:c r="G3" s="75" t="str">
        <x:v>GOVERNANCE_CONTRACT</x:v>
      </x:c>
      <x:c r="H3" s="75" t="str">
        <x:v>This is a coverage-first research scaffold, not a consumer-pinnable runtime artifact.</x:v>
      </x:c>
      <x:c r="I3" s="75" t="str">
        <x:v>adopt</x:v>
      </x:c>
      <x:c r="J3" s="75" t="str">
        <x:v>Explicit maintainer promotion after all gates pass.</x:v>
      </x:c>
    </x:row>
    <x:row r="4" ht="15" hidden="0" customHeight="1">
      <x:c r="A4" s="75" t="str">
        <x:v>source_wind_averaging_period_s</x:v>
      </x:c>
      <x:c r="B4" s="75" t="str">
        <x:v>tropical_cyclone_wind</x:v>
      </x:c>
      <x:c r="C4" s="75" t="str">
        <x:v>none</x:v>
      </x:c>
      <x:c r="D4" s="75" t="str">
        <x:v>60</x:v>
      </x:c>
      <x:c r="E4" s="75" t="str">
        <x:v>source_axis</x:v>
      </x:c>
      <x:c r="F4" s="75" t="str">
        <x:v>T2_public_lab_standard_or_physics</x:v>
      </x:c>
      <x:c r="G4" s="75" t="str">
        <x:v>TCWS-S001</x:v>
      </x:c>
      <x:c r="H4" s="75" t="str">
        <x:v>Official NHC maximum-sustained-surface-wind semantics.</x:v>
      </x:c>
      <x:c r="I4" s="75" t="str">
        <x:v>adopt_with_limits</x:v>
      </x:c>
      <x:c r="J4" s="75" t="str">
        <x:v>NHC definition or upstream source product changes.</x:v>
      </x:c>
    </x:row>
    <x:row r="5" ht="15" hidden="0" customHeight="1">
      <x:c r="A5" s="75" t="str">
        <x:v>source_wind_height_m</x:v>
      </x:c>
      <x:c r="B5" s="75" t="str">
        <x:v>tropical_cyclone_wind</x:v>
      </x:c>
      <x:c r="C5" s="75" t="str">
        <x:v>none</x:v>
      </x:c>
      <x:c r="D5" s="75" t="str">
        <x:v>10</x:v>
      </x:c>
      <x:c r="E5" s="75" t="str">
        <x:v>source_axis</x:v>
      </x:c>
      <x:c r="F5" s="75" t="str">
        <x:v>T2_public_lab_standard_or_physics</x:v>
      </x:c>
      <x:c r="G5" s="75" t="str">
        <x:v>TCWS-S001</x:v>
      </x:c>
      <x:c r="H5" s="75" t="str">
        <x:v>Official NHC maximum-sustained-surface-wind semantics.</x:v>
      </x:c>
      <x:c r="I5" s="75" t="str">
        <x:v>adopt_with_limits</x:v>
      </x:c>
      <x:c r="J5" s="75" t="str">
        <x:v>NHC definition or upstream source product changes.</x:v>
      </x:c>
    </x:row>
    <x:row r="6" ht="15" hidden="0" customHeight="1">
      <x:c r="A6" s="75" t="str">
        <x:v>source_wind_exposure_convention</x:v>
      </x:c>
      <x:c r="B6" s="75" t="str">
        <x:v>tropical_cyclone_wind</x:v>
      </x:c>
      <x:c r="C6" s="75" t="str">
        <x:v>none</x:v>
      </x:c>
      <x:c r="D6" s="75" t="str">
        <x:v>NHC_UNOBSTRUCTED_EXPOSURE</x:v>
      </x:c>
      <x:c r="E6" s="75" t="str">
        <x:v>source_axis</x:v>
      </x:c>
      <x:c r="F6" s="75" t="str">
        <x:v>T2_public_lab_standard_or_physics</x:v>
      </x:c>
      <x:c r="G6" s="75" t="str">
        <x:v>TCWS-S001</x:v>
      </x:c>
      <x:c r="H6" s="75" t="str">
        <x:v>Official source-native reference convention must travel with the value.</x:v>
      </x:c>
      <x:c r="I6" s="75" t="str">
        <x:v>adopt_with_limits</x:v>
      </x:c>
      <x:c r="J6" s="75" t="str">
        <x:v>NHC definition or upstream source product changes.</x:v>
      </x:c>
    </x:row>
    <x:row r="7" ht="21.600000381469727" hidden="0" customHeight="1">
      <x:c r="A7" s="75" t="str">
        <x:v>runtime_damage_axis</x:v>
      </x:c>
      <x:c r="B7" s="75" t="str">
        <x:v>tropical_cyclone_wind</x:v>
      </x:c>
      <x:c r="C7" s="75" t="str">
        <x:v>none</x:v>
      </x:c>
      <x:c r="D7" s="75" t="str">
        <x:v>WITHHELD_PENDING_ARCHITECTURE_SPECIFIC_TC_BRIDGE</x:v>
      </x:c>
      <x:c r="E7" s="75" t="str">
        <x:v>axis</x:v>
      </x:c>
      <x:c r="F7" s="75" t="str">
        <x:v>T3_engineering_proxy_or_adjacent_empirical</x:v>
      </x:c>
      <x:c r="G7" s="75" t="str">
        <x:v>TCWS-S001;TCWS-S002;TCWS-S005;TCWS-S010;TCWS-S011</x:v>
      </x:c>
      <x:c r="H7" s="75" t="str">
        <x:v>Source evidence uses incompatible storm-field, reconstructed-gust, pressure, and exact-system critical-speed quantities.</x:v>
      </x:c>
      <x:c r="I7" s="75" t="str">
        <x:v>withhold</x:v>
      </x:c>
      <x:c r="J7" s="75" t="str">
        <x:v>One qualified bridge and matching target curve pass review.</x:v>
      </x:c>
    </x:row>
    <x:row r="8" ht="21.600000381469727" hidden="0" customHeight="1">
      <x:c r="A8" s="75" t="str">
        <x:v>permitted_array_architectures</x:v>
      </x:c>
      <x:c r="B8" s="75" t="str">
        <x:v>tropical_cyclone_wind</x:v>
      </x:c>
      <x:c r="C8" s="75" t="str">
        <x:v>none</x:v>
      </x:c>
      <x:c r="D8" s="75" t="str">
        <x:v>fixed_tilt_ground_mount|single_axis_tracker</x:v>
      </x:c>
      <x:c r="E8" s="75" t="str">
        <x:v>selector</x:v>
      </x:c>
      <x:c r="F8" s="75" t="str">
        <x:v>T2_public_lab_standard_or_physics</x:v>
      </x:c>
      <x:c r="G8" s="75" t="str">
        <x:v>TCWS-S005;TCWS-S006;TCWS-S007;TCWS-S010;TCWS-S011;TCWS-S012</x:v>
      </x:c>
      <x:c r="H8" s="75" t="str">
        <x:v>Architecture materially changes wind demand and failure mechanisms.</x:v>
      </x:c>
      <x:c r="I8" s="75" t="str">
        <x:v>adopt</x:v>
      </x:c>
      <x:c r="J8" s="75" t="str">
        <x:v>Scope or equivalence evidence changes.</x:v>
      </x:c>
    </x:row>
    <x:row r="9" ht="15" hidden="0" customHeight="1">
      <x:c r="A9" s="75" t="str">
        <x:v>missing_array_architecture_policy</x:v>
      </x:c>
      <x:c r="B9" s="75" t="str">
        <x:v>tropical_cyclone_wind</x:v>
      </x:c>
      <x:c r="C9" s="75" t="str">
        <x:v>none</x:v>
      </x:c>
      <x:c r="D9" s="75" t="str">
        <x:v>REJECT_NO_DEFAULT</x:v>
      </x:c>
      <x:c r="E9" s="75" t="str">
        <x:v>governance_rule</x:v>
      </x:c>
      <x:c r="F9" s="75" t="str">
        <x:v>T4_placeholder_or_expert_judgment</x:v>
      </x:c>
      <x:c r="G9" s="75" t="str">
        <x:v>GOVERNANCE_CONTRACT</x:v>
      </x:c>
      <x:c r="H9" s="75" t="str">
        <x:v>Generic ground-mount routing would silently mix rigid and aeroelastic mechanisms.</x:v>
      </x:c>
      <x:c r="I9" s="75" t="str">
        <x:v>adopt</x:v>
      </x:c>
      <x:c r="J9" s="75" t="str">
        <x:v>A governed generic record is validated.</x:v>
      </x:c>
    </x:row>
    <x:row r="10" ht="21.600000381469727" hidden="0" customHeight="1">
      <x:c r="A10" s="75" t="str">
        <x:v>fixed_tilt_local_demand_bridge</x:v>
      </x:c>
      <x:c r="B10" s="75" t="str">
        <x:v>tropical_cyclone_wind</x:v>
      </x:c>
      <x:c r="C10" s="75" t="str">
        <x:v>PV_FIXED_TILT_MODULE_FIELD|PV_FIXED_TILT_SUPPORT_STRUCTURE</x:v>
      </x:c>
      <x:c r="D10" s="75" t="str">
        <x:v>WITHHELD</x:v>
      </x:c>
      <x:c r="E10" s="75" t="str">
        <x:v>axis_bridge</x:v>
      </x:c>
      <x:c r="F10" s="75" t="str">
        <x:v>T2_public_lab_standard_or_physics</x:v>
      </x:c>
      <x:c r="G10" s="75" t="str">
        <x:v>TCWS-S005;TCWS-S010</x:v>
      </x:c>
      <x:c r="H10" s="75" t="str">
        <x:v>Design provisions and wind-tunnel coefficients constrain a future bridge but are not themselves a qualified TC demand product or damage curve.</x:v>
      </x:c>
      <x:c r="I10" s="75" t="str">
        <x:v>withhold</x:v>
      </x:c>
      <x:c r="J10" s="75" t="str">
        <x:v>Qualified site TC reconstruction and fixed-tilt demand validation.</x:v>
      </x:c>
    </x:row>
    <x:row r="11" ht="21.600000381469727" hidden="0" customHeight="1">
      <x:c r="A11" s="75" t="str">
        <x:v>tracker_local_demand_bridge</x:v>
      </x:c>
      <x:c r="B11" s="75" t="str">
        <x:v>tropical_cyclone_wind</x:v>
      </x:c>
      <x:c r="C11" s="75" t="str">
        <x:v>PV_TRACKER_MODULE_FIELD|PV_TRACKER_SBOS_ASSEMBLY</x:v>
      </x:c>
      <x:c r="D11" s="75" t="str">
        <x:v>WITHHELD</x:v>
      </x:c>
      <x:c r="E11" s="75" t="str">
        <x:v>axis_bridge</x:v>
      </x:c>
      <x:c r="F11" s="75" t="str">
        <x:v>T2_public_lab_standard_or_physics</x:v>
      </x:c>
      <x:c r="G11" s="75" t="str">
        <x:v>TCWS-S006;TCWS-S007;TCWS-S011;TCWS-S012</x:v>
      </x:c>
      <x:c r="H11" s="75" t="str">
        <x:v>Ucrit and response are exact-system, configuration, row, angle, direction, and speed-basis dependent.</x:v>
      </x:c>
      <x:c r="I11" s="75" t="str">
        <x:v>withhold</x:v>
      </x:c>
      <x:c r="J11" s="75" t="str">
        <x:v>Structured exact-system qualification and TC profile bridge pass.</x:v>
      </x:c>
    </x:row>
    <x:row r="12" ht="21.600000381469727" hidden="0" customHeight="1">
      <x:c r="A12" s="75" t="str">
        <x:v>tracker_qualification_basis</x:v>
      </x:c>
      <x:c r="B12" s="75" t="str">
        <x:v>tropical_cyclone_wind</x:v>
      </x:c>
      <x:c r="C12" s="75" t="str">
        <x:v>PV_TRACKER_MODULE_FIELD|PV_TRACKER_SBOS_ASSEMBLY</x:v>
      </x:c>
      <x:c r="D12" s="75" t="str">
        <x:v>EXACT_SYSTEM_AND_STATE_REQUIRED</x:v>
      </x:c>
      <x:c r="E12" s="75" t="str">
        <x:v>selector_contract</x:v>
      </x:c>
      <x:c r="F12" s="75" t="str">
        <x:v>T2_public_lab_standard_or_physics</x:v>
      </x:c>
      <x:c r="G12" s="75" t="str">
        <x:v>TCWS-S006;TCWS-S007;TCWS-S011;TCWS-S012</x:v>
      </x:c>
      <x:c r="H12" s="75" t="str">
        <x:v>Generic tracker aliases cannot support critical-speed normalization.</x:v>
      </x:c>
      <x:c r="I12" s="75" t="str">
        <x:v>adopt</x:v>
      </x:c>
      <x:c r="J12" s="75" t="str">
        <x:v>A certified equivalence catalog is governed.</x:v>
      </x:c>
    </x:row>
    <x:row r="13" ht="21.600000381469727" hidden="0" customHeight="1">
      <x:c r="A13" s="75" t="str">
        <x:v>unknown_tracker_state_credit</x:v>
      </x:c>
      <x:c r="B13" s="75" t="str">
        <x:v>tropical_cyclone_wind</x:v>
      </x:c>
      <x:c r="C13" s="75" t="str">
        <x:v>PV_TRACKER_MODULE_FIELD|PV_TRACKER_SBOS_ASSEMBLY</x:v>
      </x:c>
      <x:c r="D13" s="75" t="str">
        <x:v>NO_FAVORABLE_CREDIT</x:v>
      </x:c>
      <x:c r="E13" s="75" t="str">
        <x:v>conditioner_rule</x:v>
      </x:c>
      <x:c r="F13" s="75" t="str">
        <x:v>T4_placeholder_or_expert_judgment</x:v>
      </x:c>
      <x:c r="G13" s="75" t="str">
        <x:v>GOVERNANCE_CONTRACT</x:v>
      </x:c>
      <x:c r="H13" s="75" t="str">
        <x:v>Commanded state does not prove attained angle, lock, power, or position.</x:v>
      </x:c>
      <x:c r="I13" s="75" t="str">
        <x:v>adopt</x:v>
      </x:c>
      <x:c r="J13" s="75" t="str">
        <x:v>Validated missing-state model is approved.</x:v>
      </x:c>
    </x:row>
    <x:row r="14" ht="21.600000381469727" hidden="0" customHeight="1">
      <x:c r="A14" s="75" t="str">
        <x:v>fm_stow_action_ratio_to_tested_ucrit</x:v>
      </x:c>
      <x:c r="B14" s="75" t="str">
        <x:v>tropical_cyclone_wind</x:v>
      </x:c>
      <x:c r="C14" s="75" t="str">
        <x:v>PV_TRACKER_MODULE_FIELD|PV_TRACKER_SBOS_ASSEMBLY</x:v>
      </x:c>
      <x:c r="D14" s="75" t="str">
        <x:v>0.75</x:v>
      </x:c>
      <x:c r="E14" s="75" t="str">
        <x:v>operational_flag</x:v>
      </x:c>
      <x:c r="F14" s="75" t="str">
        <x:v>T2_public_lab_standard_or_physics</x:v>
      </x:c>
      <x:c r="G14" s="75" t="str">
        <x:v>TCWS-S006</x:v>
      </x:c>
      <x:c r="H14" s="75" t="str">
        <x:v>FM specifies action at a speed 25 percent below tested instability speed.</x:v>
      </x:c>
      <x:c r="I14" s="75" t="str">
        <x:v>adopt_flag_only</x:v>
      </x:c>
      <x:c r="J14" s="75" t="str">
        <x:v>FM revises criterion or matched damage data establish a separate response.</x:v>
      </x:c>
    </x:row>
    <x:row r="15" ht="21.600000381469727" hidden="0" customHeight="1">
      <x:c r="A15" s="75" t="str">
        <x:v>fm_stow_action_ratio_damage_meaning</x:v>
      </x:c>
      <x:c r="B15" s="75" t="str">
        <x:v>tropical_cyclone_wind</x:v>
      </x:c>
      <x:c r="C15" s="75" t="str">
        <x:v>PV_TRACKER_MODULE_FIELD|PV_TRACKER_SBOS_ASSEMBLY</x:v>
      </x:c>
      <x:c r="D15" s="75" t="str">
        <x:v>NOT_DAMAGE_ONSET_OR_ZERO_BOUNDARY</x:v>
      </x:c>
      <x:c r="E15" s="75" t="str">
        <x:v>governance_rule</x:v>
      </x:c>
      <x:c r="F15" s="75" t="str">
        <x:v>T2_public_lab_standard_or_physics</x:v>
      </x:c>
      <x:c r="G15" s="75" t="str">
        <x:v>TCWS-S006</x:v>
      </x:c>
      <x:c r="H15" s="75" t="str">
        <x:v>The cited number is an operating margin and carries no fragility or severity endpoint.</x:v>
      </x:c>
      <x:c r="I15" s="75" t="str">
        <x:v>adopt</x:v>
      </x:c>
      <x:c r="J15" s="75" t="str">
        <x:v>Source scope changes.</x:v>
      </x:c>
    </x:row>
    <x:row r="16" ht="32.400001525878906" hidden="0" customHeight="1">
      <x:c r="A16" s="75" t="str">
        <x:v>ceferino_candidate_endpoint</x:v>
      </x:c>
      <x:c r="B16" s="75" t="str">
        <x:v>tropical_cyclone_wind</x:v>
      </x:c>
      <x:c r="C16" s="75" t="str">
        <x:v>CEFERINO_GROUND_MOUNT_EXTENSIVE_FAILURE_CANDIDATE_ONLY</x:v>
      </x:c>
      <x:c r="D16" s="75" t="str">
        <x:v>P_SITE_CLIP_OR_RACKING_FAILURE_IN_MORE_THAN_50_PERCENT_OF_PANELS</x:v>
      </x:c>
      <x:c r="E16" s="75" t="str">
        <x:v>fragility_endpoint</x:v>
      </x:c>
      <x:c r="F16" s="75" t="str">
        <x:v>T1_claims_or_field_calibrated</x:v>
      </x:c>
      <x:c r="G16" s="75" t="str">
        <x:v>TCWS-S002</x:v>
      </x:c>
      <x:c r="H16" s="75" t="str">
        <x:v>Exact source-native composite site limit state.</x:v>
      </x:c>
      <x:c r="I16" s="75" t="str">
        <x:v>audit_only</x:v>
      </x:c>
      <x:c r="J16" s="75" t="str">
        <x:v>Failure-unit disposition and economic bridge pass review.</x:v>
      </x:c>
    </x:row>
    <x:row r="17" ht="21.600000381469727" hidden="0" customHeight="1">
      <x:c r="A17" s="75" t="str">
        <x:v>ceferino_ground_mount_site_count</x:v>
      </x:c>
      <x:c r="B17" s="75" t="str">
        <x:v>tropical_cyclone_wind</x:v>
      </x:c>
      <x:c r="C17" s="75" t="str">
        <x:v>CEFERINO_GROUND_MOUNT_EXTENSIVE_FAILURE_CANDIDATE_ONLY</x:v>
      </x:c>
      <x:c r="D17" s="75" t="str">
        <x:v>14</x:v>
      </x:c>
      <x:c r="E17" s="75" t="str">
        <x:v>sample_size</x:v>
      </x:c>
      <x:c r="F17" s="75" t="str">
        <x:v>T1_claims_or_field_calibrated</x:v>
      </x:c>
      <x:c r="G17" s="75" t="str">
        <x:v>TCWS-S002</x:v>
      </x:c>
      <x:c r="H17" s="75" t="str">
        <x:v>Table 1 ground-mounted Caribbean sample.</x:v>
      </x:c>
      <x:c r="I17" s="75" t="str">
        <x:v>audit_only</x:v>
      </x:c>
      <x:c r="J17" s="75" t="str">
        <x:v>Dataset revision or expanded population.</x:v>
      </x:c>
    </x:row>
    <x:row r="18" ht="21.600000381469727" hidden="0" customHeight="1">
      <x:c r="A18" s="75" t="str">
        <x:v>ceferino_ground_mount_significant_failure_count</x:v>
      </x:c>
      <x:c r="B18" s="75" t="str">
        <x:v>tropical_cyclone_wind</x:v>
      </x:c>
      <x:c r="C18" s="75" t="str">
        <x:v>CEFERINO_GROUND_MOUNT_EXTENSIVE_FAILURE_CANDIDATE_ONLY</x:v>
      </x:c>
      <x:c r="D18" s="75" t="str">
        <x:v>5_of_14</x:v>
      </x:c>
      <x:c r="E18" s="75" t="str">
        <x:v>field_observation</x:v>
      </x:c>
      <x:c r="F18" s="75" t="str">
        <x:v>T1_claims_or_field_calibrated</x:v>
      </x:c>
      <x:c r="G18" s="75" t="str">
        <x:v>TCWS-S002</x:v>
      </x:c>
      <x:c r="H18" s="75" t="str">
        <x:v>Observed source-native significant-failure classification.</x:v>
      </x:c>
      <x:c r="I18" s="75" t="str">
        <x:v>audit_only</x:v>
      </x:c>
      <x:c r="J18" s="75" t="str">
        <x:v>Record-level source correction.</x:v>
      </x:c>
    </x:row>
    <x:row r="19" ht="21.600000381469727" hidden="0" customHeight="1">
      <x:c r="A19" s="75" t="str">
        <x:v>ceferino_ground_mount_v_median_mps</x:v>
      </x:c>
      <x:c r="B19" s="75" t="str">
        <x:v>tropical_cyclone_wind</x:v>
      </x:c>
      <x:c r="C19" s="75" t="str">
        <x:v>CEFERINO_GROUND_MOUNT_EXTENSIVE_FAILURE_CANDIDATE_ONLY</x:v>
      </x:c>
      <x:c r="D19" s="75" t="str">
        <x:v>approximately_90</x:v>
      </x:c>
      <x:c r="E19" s="75" t="str">
        <x:v>fragility_location_summary</x:v>
      </x:c>
      <x:c r="F19" s="75" t="str">
        <x:v>T1_claims_or_field_calibrated</x:v>
      </x:c>
      <x:c r="G19" s="75" t="str">
        <x:v>TCWS-S002</x:v>
      </x:c>
      <x:c r="H19" s="75" t="str">
        <x:v>Posterior median for source-native reconstructed 3-second-gust fragility.</x:v>
      </x:c>
      <x:c r="I19" s="75" t="str">
        <x:v>defer_candidate_only</x:v>
      </x:c>
      <x:c r="J19" s="75" t="str">
        <x:v>Transfer-qualified failure-unit and economic bridge.</x:v>
      </x:c>
    </x:row>
    <x:row r="20" ht="21.600000381469727" hidden="0" customHeight="1">
      <x:c r="A20" s="75" t="str">
        <x:v>ceferino_ground_mount_beta_median</x:v>
      </x:c>
      <x:c r="B20" s="75" t="str">
        <x:v>tropical_cyclone_wind</x:v>
      </x:c>
      <x:c r="C20" s="75" t="str">
        <x:v>CEFERINO_GROUND_MOUNT_EXTENSIVE_FAILURE_CANDIDATE_ONLY</x:v>
      </x:c>
      <x:c r="D20" s="75" t="str">
        <x:v>approximately_0.15</x:v>
      </x:c>
      <x:c r="E20" s="75" t="str">
        <x:v>fragility_dispersion_summary</x:v>
      </x:c>
      <x:c r="F20" s="75" t="str">
        <x:v>T1_claims_or_field_calibrated</x:v>
      </x:c>
      <x:c r="G20" s="75" t="str">
        <x:v>TCWS-S002</x:v>
      </x:c>
      <x:c r="H20" s="75" t="str">
        <x:v>Posterior median for the source-native lognormal fragility parameter.</x:v>
      </x:c>
      <x:c r="I20" s="75" t="str">
        <x:v>defer_candidate_only</x:v>
      </x:c>
      <x:c r="J20" s="75" t="str">
        <x:v>Transfer-qualified failure-unit and economic bridge.</x:v>
      </x:c>
    </x:row>
    <x:row r="21" ht="21.600000381469727" hidden="0" customHeight="1">
      <x:c r="A21" s="75" t="str">
        <x:v>ceferino_ground_mount_v_posterior_sd_mps</x:v>
      </x:c>
      <x:c r="B21" s="75" t="str">
        <x:v>tropical_cyclone_wind</x:v>
      </x:c>
      <x:c r="C21" s="75" t="str">
        <x:v>CEFERINO_GROUND_MOUNT_EXTENSIVE_FAILURE_CANDIDATE_ONLY</x:v>
      </x:c>
      <x:c r="D21" s="75" t="str">
        <x:v>approximately_6</x:v>
      </x:c>
      <x:c r="E21" s="75" t="str">
        <x:v>parameter_uncertainty</x:v>
      </x:c>
      <x:c r="F21" s="75" t="str">
        <x:v>T1_claims_or_field_calibrated</x:v>
      </x:c>
      <x:c r="G21" s="75" t="str">
        <x:v>TCWS-S002</x:v>
      </x:c>
      <x:c r="H21" s="75" t="str">
        <x:v>Reported uncertainty in the v posterior is load-bearing for the small sample.</x:v>
      </x:c>
      <x:c r="I21" s="75" t="str">
        <x:v>audit_only</x:v>
      </x:c>
      <x:c r="J21" s="75" t="str">
        <x:v>Full posterior artifact or source revision.</x:v>
      </x:c>
    </x:row>
    <x:row r="22" ht="21.600000381469727" hidden="0" customHeight="1">
      <x:c r="A22" s="75" t="str">
        <x:v>ceferino_ground_mount_beta_posterior_sd</x:v>
      </x:c>
      <x:c r="B22" s="75" t="str">
        <x:v>tropical_cyclone_wind</x:v>
      </x:c>
      <x:c r="C22" s="75" t="str">
        <x:v>CEFERINO_GROUND_MOUNT_EXTENSIVE_FAILURE_CANDIDATE_ONLY</x:v>
      </x:c>
      <x:c r="D22" s="75" t="str">
        <x:v>approximately_0.07</x:v>
      </x:c>
      <x:c r="E22" s="75" t="str">
        <x:v>parameter_uncertainty</x:v>
      </x:c>
      <x:c r="F22" s="75" t="str">
        <x:v>T1_claims_or_field_calibrated</x:v>
      </x:c>
      <x:c r="G22" s="75" t="str">
        <x:v>TCWS-S002</x:v>
      </x:c>
      <x:c r="H22" s="75" t="str">
        <x:v>Reported uncertainty in the beta posterior is load-bearing for the small sample.</x:v>
      </x:c>
      <x:c r="I22" s="75" t="str">
        <x:v>audit_only</x:v>
      </x:c>
      <x:c r="J22" s="75" t="str">
        <x:v>Full posterior artifact or source revision.</x:v>
      </x:c>
    </x:row>
    <x:row r="23" ht="21.600000381469727" hidden="0" customHeight="1">
      <x:c r="A23" s="75" t="str">
        <x:v>ceferino_mean_posterior_transition_mps</x:v>
      </x:c>
      <x:c r="B23" s="75" t="str">
        <x:v>tropical_cyclone_wind</x:v>
      </x:c>
      <x:c r="C23" s="75" t="str">
        <x:v>CEFERINO_GROUND_MOUNT_EXTENSIVE_FAILURE_CANDIDATE_ONLY</x:v>
      </x:c>
      <x:c r="D23" s="75" t="str">
        <x:v>approximately_[73,116]_for_[P10,P90]</x:v>
      </x:c>
      <x:c r="E23" s="75" t="str">
        <x:v>source_curve_summary</x:v>
      </x:c>
      <x:c r="F23" s="75" t="str">
        <x:v>T1_claims_or_field_calibrated</x:v>
      </x:c>
      <x:c r="G23" s="75" t="str">
        <x:v>TCWS-S002</x:v>
      </x:c>
      <x:c r="H23" s="75" t="str">
        <x:v>Reported approximate 10-to-90-percent range of the posterior-mean site fragility.</x:v>
      </x:c>
      <x:c r="I23" s="75" t="str">
        <x:v>audit_only</x:v>
      </x:c>
      <x:c r="J23" s="75" t="str">
        <x:v>Full posterior artifact or source revision.</x:v>
      </x:c>
    </x:row>
    <x:row r="24" ht="21.600000381469727" hidden="0" customHeight="1">
      <x:c r="A24" s="75" t="str">
        <x:v>ceferino_posterior_reduction_rule</x:v>
      </x:c>
      <x:c r="B24" s="75" t="str">
        <x:v>tropical_cyclone_wind</x:v>
      </x:c>
      <x:c r="C24" s="75" t="str">
        <x:v>CEFERINO_GROUND_MOUNT_EXTENSIVE_FAILURE_CANDIDATE_ONLY</x:v>
      </x:c>
      <x:c r="D24" s="75" t="str">
        <x:v>DO_NOT_LABEL_MEDIAN_PARAMETER_PLUGIN_AS_POSTERIOR_MEAN</x:v>
      </x:c>
      <x:c r="E24" s="75" t="str">
        <x:v>governance_rule</x:v>
      </x:c>
      <x:c r="F24" s="75" t="str">
        <x:v>T1_claims_or_field_calibrated</x:v>
      </x:c>
      <x:c r="G24" s="75" t="str">
        <x:v>TCWS-S002</x:v>
      </x:c>
      <x:c r="H24" s="75" t="str">
        <x:v>The source integrates over parameter uncertainty; plug-in and posterior-mean curves differ.</x:v>
      </x:c>
      <x:c r="I24" s="75" t="str">
        <x:v>adopt</x:v>
      </x:c>
      <x:c r="J24" s="75" t="str">
        <x:v>Authors publish an authoritative deterministic reduction.</x:v>
      </x:c>
    </x:row>
    <x:row r="25" ht="21.600000381469727" hidden="0" customHeight="1">
      <x:c r="A25" s="75" t="str">
        <x:v>ceferino_architecture_split</x:v>
      </x:c>
      <x:c r="B25" s="75" t="str">
        <x:v>tropical_cyclone_wind</x:v>
      </x:c>
      <x:c r="C25" s="75" t="str">
        <x:v>CEFERINO_GROUND_MOUNT_EXTENSIVE_FAILURE_CANDIDATE_ONLY</x:v>
      </x:c>
      <x:c r="D25" s="75" t="str">
        <x:v>WITHHELD</x:v>
      </x:c>
      <x:c r="E25" s="75" t="str">
        <x:v>selector_bridge</x:v>
      </x:c>
      <x:c r="F25" s="75" t="str">
        <x:v>T1_claims_or_field_calibrated</x:v>
      </x:c>
      <x:c r="G25" s="75" t="str">
        <x:v>TCWS-S002</x:v>
      </x:c>
      <x:c r="H25" s="75" t="str">
        <x:v>The 14-site table does not distinguish fixed tilt from tracker.</x:v>
      </x:c>
      <x:c r="I25" s="75" t="str">
        <x:v>withhold</x:v>
      </x:c>
      <x:c r="J25" s="75" t="str">
        <x:v>Architecture records for the sample are verified.</x:v>
      </x:c>
    </x:row>
    <x:row r="26" ht="21.600000381469727" hidden="0" customHeight="1">
      <x:c r="A26" s="75" t="str">
        <x:v>ceferino_probability_to_economic_dr_bridge</x:v>
      </x:c>
      <x:c r="B26" s="75" t="str">
        <x:v>tropical_cyclone_wind</x:v>
      </x:c>
      <x:c r="C26" s="75" t="str">
        <x:v>CEFERINO_GROUND_MOUNT_EXTENSIVE_FAILURE_CANDIDATE_ONLY</x:v>
      </x:c>
      <x:c r="D26" s="75" t="str">
        <x:v>WITHHELD</x:v>
      </x:c>
      <x:c r="E26" s="75" t="str">
        <x:v>consequence_bridge</x:v>
      </x:c>
      <x:c r="F26" s="75" t="str">
        <x:v>T1_claims_or_field_calibrated</x:v>
      </x:c>
      <x:c r="G26" s="75" t="str">
        <x:v>TCWS-S002;GOVERNANCE_CONTRACT</x:v>
      </x:c>
      <x:c r="H26" s="75" t="str">
        <x:v>Site extensive-failure probability is not failure-unit physical economic DR.</x:v>
      </x:c>
      <x:c r="I26" s="75" t="str">
        <x:v>withhold</x:v>
      </x:c>
      <x:c r="J26" s="75" t="str">
        <x:v>Same-unit disposition, salvage, and direct-cost evidence passes review.</x:v>
      </x:c>
    </x:row>
    <x:row r="27" ht="15" hidden="0" customHeight="1">
      <x:c r="A27" s="75" t="str">
        <x:v>perry_hurricane_site_count</x:v>
      </x:c>
      <x:c r="B27" s="75" t="str">
        <x:v>tropical_cyclone_wind</x:v>
      </x:c>
      <x:c r="C27" s="75" t="str">
        <x:v>PERRY_VISIBLE_DAMAGE_CANDIDATE_ONLY</x:v>
      </x:c>
      <x:c r="D27" s="75" t="str">
        <x:v>1534</x:v>
      </x:c>
      <x:c r="E27" s="75" t="str">
        <x:v>sample_size</x:v>
      </x:c>
      <x:c r="F27" s="75" t="str">
        <x:v>T1_claims_or_field_calibrated</x:v>
      </x:c>
      <x:c r="G27" s="75" t="str">
        <x:v>TCWS-S003</x:v>
      </x:c>
      <x:c r="H27" s="75" t="str">
        <x:v>Mixed residential, commercial, and utility remote-sensing population.</x:v>
      </x:c>
      <x:c r="I27" s="75" t="str">
        <x:v>audit_only</x:v>
      </x:c>
      <x:c r="J27" s="75" t="str">
        <x:v>Target-asset subset is released.</x:v>
      </x:c>
    </x:row>
    <x:row r="28" ht="15" hidden="0" customHeight="1">
      <x:c r="A28" s="75" t="str">
        <x:v>perry_any_visible_damage_fraction</x:v>
      </x:c>
      <x:c r="B28" s="75" t="str">
        <x:v>tropical_cyclone_wind</x:v>
      </x:c>
      <x:c r="C28" s="75" t="str">
        <x:v>PERRY_VISIBLE_DAMAGE_CANDIDATE_ONLY</x:v>
      </x:c>
      <x:c r="D28" s="75" t="str">
        <x:v>0.17</x:v>
      </x:c>
      <x:c r="E28" s="75" t="str">
        <x:v>field_observation</x:v>
      </x:c>
      <x:c r="F28" s="75" t="str">
        <x:v>T1_claims_or_field_calibrated</x:v>
      </x:c>
      <x:c r="G28" s="75" t="str">
        <x:v>TCWS-S003</x:v>
      </x:c>
      <x:c r="H28" s="75" t="str">
        <x:v>Aggregate visible post-hurricane damage statistic.</x:v>
      </x:c>
      <x:c r="I28" s="75" t="str">
        <x:v>audit_only</x:v>
      </x:c>
      <x:c r="J28" s="75" t="str">
        <x:v>Target-asset and architecture-specific calibration.</x:v>
      </x:c>
    </x:row>
    <x:row r="29" ht="15" hidden="0" customHeight="1">
      <x:c r="A29" s="75" t="str">
        <x:v>perry_more_than_50_percent_visible_damage_fraction</x:v>
      </x:c>
      <x:c r="B29" s="75" t="str">
        <x:v>tropical_cyclone_wind</x:v>
      </x:c>
      <x:c r="C29" s="75" t="str">
        <x:v>PERRY_VISIBLE_DAMAGE_CANDIDATE_ONLY</x:v>
      </x:c>
      <x:c r="D29" s="75" t="str">
        <x:v>0.028</x:v>
      </x:c>
      <x:c r="E29" s="75" t="str">
        <x:v>field_observation</x:v>
      </x:c>
      <x:c r="F29" s="75" t="str">
        <x:v>T1_claims_or_field_calibrated</x:v>
      </x:c>
      <x:c r="G29" s="75" t="str">
        <x:v>TCWS-S003</x:v>
      </x:c>
      <x:c r="H29" s="75" t="str">
        <x:v>Aggregate visible-damage severity statistic.</x:v>
      </x:c>
      <x:c r="I29" s="75" t="str">
        <x:v>audit_only</x:v>
      </x:c>
      <x:c r="J29" s="75" t="str">
        <x:v>Target-asset and architecture-specific calibration.</x:v>
      </x:c>
    </x:row>
    <x:row r="30" ht="21.600000381469727" hidden="0" customHeight="1">
      <x:c r="A30" s="75" t="str">
        <x:v>perry_visible_damage_to_economic_dr_bridge</x:v>
      </x:c>
      <x:c r="B30" s="75" t="str">
        <x:v>tropical_cyclone_wind</x:v>
      </x:c>
      <x:c r="C30" s="75" t="str">
        <x:v>PERRY_VISIBLE_DAMAGE_CANDIDATE_ONLY</x:v>
      </x:c>
      <x:c r="D30" s="75" t="str">
        <x:v>WITHHELD</x:v>
      </x:c>
      <x:c r="E30" s="75" t="str">
        <x:v>consequence_bridge</x:v>
      </x:c>
      <x:c r="F30" s="75" t="str">
        <x:v>T1_claims_or_field_calibrated</x:v>
      </x:c>
      <x:c r="G30" s="75" t="str">
        <x:v>TCWS-S003</x:v>
      </x:c>
      <x:c r="H30" s="75" t="str">
        <x:v>Manual imagery does not measure component disposition, hidden damage, salvage, or direct cost.</x:v>
      </x:c>
      <x:c r="I30" s="75" t="str">
        <x:v>withhold</x:v>
      </x:c>
      <x:c r="J30" s="75" t="str">
        <x:v>Linked inspection, work-order, and cost records become available.</x:v>
      </x:c>
    </x:row>
    <x:row r="31" ht="15" hidden="0" customHeight="1">
      <x:c r="A31" s="75" t="str">
        <x:v>st_croix_case_population_count</x:v>
      </x:c>
      <x:c r="B31" s="75" t="str">
        <x:v>tropical_cyclone_wind</x:v>
      </x:c>
      <x:c r="C31" s="75" t="str">
        <x:v>ST_CROIX_COMPOUND_CASE_ONLY</x:v>
      </x:c>
      <x:c r="D31" s="75" t="str">
        <x:v>1</x:v>
      </x:c>
      <x:c r="E31" s="75" t="str">
        <x:v>case_count</x:v>
      </x:c>
      <x:c r="F31" s="75" t="str">
        <x:v>T3_engineering_proxy_or_adjacent_empirical</x:v>
      </x:c>
      <x:c r="G31" s="75" t="str">
        <x:v>TCWS-S004</x:v>
      </x:c>
      <x:c r="H31" s="75" t="str">
        <x:v>One detailed 469 kW fixed-tilt site case supports anatomy and mechanisms only.</x:v>
      </x:c>
      <x:c r="I31" s="75" t="str">
        <x:v>audit_only</x:v>
      </x:c>
      <x:c r="J31" s="75" t="str">
        <x:v>Comparable multi-site forensic population becomes available.</x:v>
      </x:c>
    </x:row>
    <x:row r="32" ht="15" hidden="0" customHeight="1">
      <x:c r="A32" s="75" t="str">
        <x:v>st_croix_wind_only_threshold</x:v>
      </x:c>
      <x:c r="B32" s="75" t="str">
        <x:v>tropical_cyclone_wind</x:v>
      </x:c>
      <x:c r="C32" s="75" t="str">
        <x:v>ST_CROIX_COMPOUND_CASE_ONLY</x:v>
      </x:c>
      <x:c r="D32" s="75" t="str">
        <x:v>NOT_IDENTIFIED</x:v>
      </x:c>
      <x:c r="E32" s="75" t="str">
        <x:v>transfer_limit</x:v>
      </x:c>
      <x:c r="F32" s="75" t="str">
        <x:v>T3_engineering_proxy_or_adjacent_empirical</x:v>
      </x:c>
      <x:c r="G32" s="75" t="str">
        <x:v>TCWS-S004</x:v>
      </x:c>
      <x:c r="H32" s="75" t="str">
        <x:v>Wind, driven rain, flash flood, corrosion, and electrical ingress were combined.</x:v>
      </x:c>
      <x:c r="I32" s="75" t="str">
        <x:v>adopt</x:v>
      </x:c>
      <x:c r="J32" s="75" t="str">
        <x:v>Forensic causal apportionment and local demand reconstruction are validated.</x:v>
      </x:c>
    </x:row>
    <x:row r="33" ht="21.600000381469727" hidden="0" customHeight="1">
      <x:c r="A33" s="75" t="str">
        <x:v>reference_value_source_id</x:v>
      </x:c>
      <x:c r="B33" s="75" t="str">
        <x:v>all_shared</x:v>
      </x:c>
      <x:c r="C33" s="75" t="str">
        <x:v>none</x:v>
      </x:c>
      <x:c r="D33" s="75" t="str">
        <x:v>NLR_Q1_2025_UPV_PV_ONLY_2024_USD</x:v>
      </x:c>
      <x:c r="E33" s="75" t="str">
        <x:v>value_lineage</x:v>
      </x:c>
      <x:c r="F33" s="75" t="str">
        <x:v>T2_public_lab_standard_or_physics</x:v>
      </x:c>
      <x:c r="G33" s="75" t="str">
        <x:v>TCWS-S013</x:v>
      </x:c>
      <x:c r="H33" s="75" t="str">
        <x:v>The parent solar value ledger supplies row-level reference units and denominator reconciliation only.</x:v>
      </x:c>
      <x:c r="I33" s="75" t="str">
        <x:v>adopt_with_limits</x:v>
      </x:c>
      <x:c r="J33" s="75" t="str">
        <x:v>New benchmark vintage or site-specific ledger.</x:v>
      </x:c>
    </x:row>
    <x:row r="34" ht="21.600000381469727" hidden="0" customHeight="1">
      <x:c r="A34" s="75" t="str">
        <x:v>PV_FIXED_TILT_MODULE_FIELD_runtime_curve</x:v>
      </x:c>
      <x:c r="B34" s="75" t="str">
        <x:v>tropical_cyclone_wind</x:v>
      </x:c>
      <x:c r="C34" s="75" t="str">
        <x:v>PV_FIXED_TILT_MODULE_FIELD</x:v>
      </x:c>
      <x:c r="D34" s="75" t="str">
        <x:v>WITHHELD_NO_RUNTIME_CURVE</x:v>
      </x:c>
      <x:c r="E34" s="75" t="str">
        <x:v>coverage_state</x:v>
      </x:c>
      <x:c r="F34" s="75" t="str">
        <x:v>T4_placeholder_or_expert_judgment</x:v>
      </x:c>
      <x:c r="G34" s="75" t="str">
        <x:v>TCWS-S002;TCWS-S003;GOVERNANCE_CONTRACT</x:v>
      </x:c>
      <x:c r="H34" s="75" t="str">
        <x:v>Site and visible-damage evidence does not close module disposition and cost.</x:v>
      </x:c>
      <x:c r="I34" s="75" t="str">
        <x:v>withhold</x:v>
      </x:c>
      <x:c r="J34" s="75" t="str">
        <x:v>Module-specific TC demand, state, salvage, and cost chain passes.</x:v>
      </x:c>
    </x:row>
    <x:row r="35" ht="21.600000381469727" hidden="0" customHeight="1">
      <x:c r="A35" s="75" t="str">
        <x:v>PV_FIXED_TILT_SUPPORT_STRUCTURE_runtime_curve</x:v>
      </x:c>
      <x:c r="B35" s="75" t="str">
        <x:v>tropical_cyclone_wind</x:v>
      </x:c>
      <x:c r="C35" s="75" t="str">
        <x:v>PV_FIXED_TILT_SUPPORT_STRUCTURE</x:v>
      </x:c>
      <x:c r="D35" s="75" t="str">
        <x:v>WITHHELD_NO_RUNTIME_CURVE</x:v>
      </x:c>
      <x:c r="E35" s="75" t="str">
        <x:v>coverage_state</x:v>
      </x:c>
      <x:c r="F35" s="75" t="str">
        <x:v>T4_placeholder_or_expert_judgment</x:v>
      </x:c>
      <x:c r="G35" s="75" t="str">
        <x:v>TCWS-S002;TCWS-S004;TCWS-S010;GOVERNANCE_CONTRACT</x:v>
      </x:c>
      <x:c r="H35" s="75" t="str">
        <x:v>Structural mechanisms exist, but no qualified local-demand-to-state-to-cost curve does.</x:v>
      </x:c>
      <x:c r="I35" s="75" t="str">
        <x:v>withhold</x:v>
      </x:c>
      <x:c r="J35" s="75" t="str">
        <x:v>Fixed-tilt support chain passes.</x:v>
      </x:c>
    </x:row>
    <x:row r="36" ht="21.600000381469727" hidden="0" customHeight="1">
      <x:c r="A36" s="75" t="str">
        <x:v>PV_TRACKER_MODULE_FIELD_runtime_curve</x:v>
      </x:c>
      <x:c r="B36" s="75" t="str">
        <x:v>tropical_cyclone_wind</x:v>
      </x:c>
      <x:c r="C36" s="75" t="str">
        <x:v>PV_TRACKER_MODULE_FIELD</x:v>
      </x:c>
      <x:c r="D36" s="75" t="str">
        <x:v>WITHHELD_NO_RUNTIME_CURVE</x:v>
      </x:c>
      <x:c r="E36" s="75" t="str">
        <x:v>coverage_state</x:v>
      </x:c>
      <x:c r="F36" s="75" t="str">
        <x:v>T4_placeholder_or_expert_judgment</x:v>
      </x:c>
      <x:c r="G36" s="75" t="str">
        <x:v>TCWS-S006;TCWS-S007;TCWS-S011;TCWS-S012;GOVERNANCE_CONTRACT</x:v>
      </x:c>
      <x:c r="H36" s="75" t="str">
        <x:v>Architecture-specific TC field and module consequence evidence are absent.</x:v>
      </x:c>
      <x:c r="I36" s="75" t="str">
        <x:v>withhold</x:v>
      </x:c>
      <x:c r="J36" s="75" t="str">
        <x:v>Exact-system tracker module chain passes.</x:v>
      </x:c>
    </x:row>
    <x:row r="37" ht="21.600000381469727" hidden="0" customHeight="1">
      <x:c r="A37" s="75" t="str">
        <x:v>PV_TRACKER_SBOS_ASSEMBLY_runtime_curve</x:v>
      </x:c>
      <x:c r="B37" s="75" t="str">
        <x:v>tropical_cyclone_wind</x:v>
      </x:c>
      <x:c r="C37" s="75" t="str">
        <x:v>PV_TRACKER_SBOS_ASSEMBLY</x:v>
      </x:c>
      <x:c r="D37" s="75" t="str">
        <x:v>WITHHELD_NO_RUNTIME_CURVE</x:v>
      </x:c>
      <x:c r="E37" s="75" t="str">
        <x:v>coverage_state</x:v>
      </x:c>
      <x:c r="F37" s="75" t="str">
        <x:v>T4_placeholder_or_expert_judgment</x:v>
      </x:c>
      <x:c r="G37" s="75" t="str">
        <x:v>TCWS-S006;TCWS-S007;TCWS-S011;TCWS-S012;GOVERNANCE_CONTRACT</x:v>
      </x:c>
      <x:c r="H37" s="75" t="str">
        <x:v>Qualification and instability evidence do not supply population failure disposition or cost.</x:v>
      </x:c>
      <x:c r="I37" s="75" t="str">
        <x:v>withhold</x:v>
      </x:c>
      <x:c r="J37" s="75" t="str">
        <x:v>Exact-system tracker SBOS chain passes.</x:v>
      </x:c>
    </x:row>
    <x:row r="38" ht="21.600000381469727" hidden="0" customHeight="1">
      <x:c r="A38" s="75" t="str">
        <x:v>PV_FOUNDATION_runtime_curve</x:v>
      </x:c>
      <x:c r="B38" s="75" t="str">
        <x:v>tropical_cyclone_wind</x:v>
      </x:c>
      <x:c r="C38" s="75" t="str">
        <x:v>PV_FOUNDATION</x:v>
      </x:c>
      <x:c r="D38" s="75" t="str">
        <x:v>WITHHELD_NOT_ZERO</x:v>
      </x:c>
      <x:c r="E38" s="75" t="str">
        <x:v>coverage_state</x:v>
      </x:c>
      <x:c r="F38" s="75" t="str">
        <x:v>T4_placeholder_or_expert_judgment</x:v>
      </x:c>
      <x:c r="G38" s="75" t="str">
        <x:v>TCWS-S004;TCWS-S013;GOVERNANCE_CONTRACT</x:v>
      </x:c>
      <x:c r="H38" s="75" t="str">
        <x:v>Foundation boundary, geotechnical state, spatial grain, and TC response are unresolved.</x:v>
      </x:c>
      <x:c r="I38" s="75" t="str">
        <x:v>withhold</x:v>
      </x:c>
      <x:c r="J38" s="75" t="str">
        <x:v>Foundation-specific chain passes.</x:v>
      </x:c>
    </x:row>
    <x:row r="39" ht="21.600000381469727" hidden="0" customHeight="1">
      <x:c r="A39" s="75" t="str">
        <x:v>PV_POWER_CONVERSION_AND_COLLECTION_runtime_curve</x:v>
      </x:c>
      <x:c r="B39" s="75" t="str">
        <x:v>tropical_cyclone_wind</x:v>
      </x:c>
      <x:c r="C39" s="75" t="str">
        <x:v>PV_POWER_CONVERSION_AND_COLLECTION</x:v>
      </x:c>
      <x:c r="D39" s="75" t="str">
        <x:v>WITHHELD_NOT_ZERO</x:v>
      </x:c>
      <x:c r="E39" s="75" t="str">
        <x:v>coverage_state</x:v>
      </x:c>
      <x:c r="F39" s="75" t="str">
        <x:v>T4_placeholder_or_expert_judgment</x:v>
      </x:c>
      <x:c r="G39" s="75" t="str">
        <x:v>TCWS-S004;TCWS-S009;TCWS-S013;GOVERNANCE_CONTRACT</x:v>
      </x:c>
      <x:c r="H39" s="75" t="str">
        <x:v>Point, line, enclosure, pressure, debris, and ingress mechanisms need separate evidence.</x:v>
      </x:c>
      <x:c r="I39" s="75" t="str">
        <x:v>withhold</x:v>
      </x:c>
      <x:c r="J39" s="75" t="str">
        <x:v>Unit-specific direct TC-wind chain passes.</x:v>
      </x:c>
    </x:row>
    <x:row r="40" ht="21.600000381469727" hidden="0" customHeight="1">
      <x:c r="A40" s="75" t="str">
        <x:v>PV_GSU_SUBSTATION_runtime_curve</x:v>
      </x:c>
      <x:c r="B40" s="75" t="str">
        <x:v>tropical_cyclone_wind</x:v>
      </x:c>
      <x:c r="C40" s="75" t="str">
        <x:v>PV_GSU_SUBSTATION</x:v>
      </x:c>
      <x:c r="D40" s="75" t="str">
        <x:v>WITHHELD_NOT_ZERO_NO_LEGACY_INHERITANCE</x:v>
      </x:c>
      <x:c r="E40" s="75" t="str">
        <x:v>coverage_state</x:v>
      </x:c>
      <x:c r="F40" s="75" t="str">
        <x:v>T4_placeholder_or_expert_judgment</x:v>
      </x:c>
      <x:c r="G40" s="75" t="str">
        <x:v>TCWS-S004;TCWS-S013;LEG-TCWS-001;LEG-TCWS-002;GOVERNANCE_CONTRACT</x:v>
      </x:c>
      <x:c r="H40" s="75" t="str">
        <x:v>Shared point/yard exposure and GSU-specific wind response are unresolved; legacy generic substation response is unsupported.</x:v>
      </x:c>
      <x:c r="I40" s="75" t="str">
        <x:v>withhold</x:v>
      </x:c>
      <x:c r="J40" s="75" t="str">
        <x:v>GSU-specific TC wind, disposition, exposure, and cost chain passes.</x:v>
      </x:c>
    </x:row>
    <x:row r="41" ht="21.600000381469727" hidden="0" customHeight="1">
      <x:c r="A41" s="75" t="str">
        <x:v>PV_SCADA_COMMUNICATIONS_runtime_curve</x:v>
      </x:c>
      <x:c r="B41" s="75" t="str">
        <x:v>tropical_cyclone_wind</x:v>
      </x:c>
      <x:c r="C41" s="75" t="str">
        <x:v>PV_SCADA_COMMUNICATIONS</x:v>
      </x:c>
      <x:c r="D41" s="75" t="str">
        <x:v>WITHHELD_NOT_ZERO</x:v>
      </x:c>
      <x:c r="E41" s="75" t="str">
        <x:v>coverage_state</x:v>
      </x:c>
      <x:c r="F41" s="75" t="str">
        <x:v>T4_placeholder_or_expert_judgment</x:v>
      </x:c>
      <x:c r="G41" s="75" t="str">
        <x:v>TCWS-S009;TCWS-S013;GOVERNANCE_CONTRACT</x:v>
      </x:c>
      <x:c r="H41" s="75" t="str">
        <x:v>Control dependency does not create a direct SCADA physical-loss curve.</x:v>
      </x:c>
      <x:c r="I41" s="75" t="str">
        <x:v>withhold</x:v>
      </x:c>
      <x:c r="J41" s="75" t="str">
        <x:v>SCADA-specific direct mechanism and cost chain passes.</x:v>
      </x:c>
    </x:row>
    <x:row r="42" ht="15" hidden="0" customHeight="1">
      <x:c r="A42" s="75" t="str">
        <x:v>PV_CIVIL_INFRA_runtime_curve</x:v>
      </x:c>
      <x:c r="B42" s="75" t="str">
        <x:v>tropical_cyclone_wind</x:v>
      </x:c>
      <x:c r="C42" s="75" t="str">
        <x:v>PV_CIVIL_INFRA</x:v>
      </x:c>
      <x:c r="D42" s="75" t="str">
        <x:v>WITHHELD_NOT_ZERO</x:v>
      </x:c>
      <x:c r="E42" s="75" t="str">
        <x:v>coverage_state</x:v>
      </x:c>
      <x:c r="F42" s="75" t="str">
        <x:v>T4_placeholder_or_expert_judgment</x:v>
      </x:c>
      <x:c r="G42" s="75" t="str">
        <x:v>TCWS-S013;GOVERNANCE_CONTRACT</x:v>
      </x:c>
      <x:c r="H42" s="75" t="str">
        <x:v>Mixed road, fence, grading, and building subjects require a spatial and value split.</x:v>
      </x:c>
      <x:c r="I42" s="75" t="str">
        <x:v>withhold</x:v>
      </x:c>
      <x:c r="J42" s="75" t="str">
        <x:v>Subjects are split and separately supported.</x:v>
      </x:c>
    </x:row>
    <x:row r="43" ht="15" hidden="0" customHeight="1">
      <x:c r="A43" s="75" t="str">
        <x:v>PV_REPLACEMENT_SUPPORT_intrinsic_curve</x:v>
      </x:c>
      <x:c r="B43" s="75" t="str">
        <x:v>all_shared</x:v>
      </x:c>
      <x:c r="C43" s="75" t="str">
        <x:v>PV_REPLACEMENT_SUPPORT</x:v>
      </x:c>
      <x:c r="D43" s="75" t="str">
        <x:v>NONE_ALLOCATION_ONLY</x:v>
      </x:c>
      <x:c r="E43" s="75" t="str">
        <x:v>support_rule</x:v>
      </x:c>
      <x:c r="F43" s="75" t="str">
        <x:v>T4_placeholder_or_expert_judgment</x:v>
      </x:c>
      <x:c r="G43" s="75" t="str">
        <x:v>TCWS-S013;GOVERNANCE_CONTRACT</x:v>
      </x:c>
      <x:c r="H43" s="75" t="str">
        <x:v>Support costs may be allocated once only after a qualified direct repair scope.</x:v>
      </x:c>
      <x:c r="I43" s="75" t="str">
        <x:v>adopt_with_limits</x:v>
      </x:c>
      <x:c r="J43" s="75" t="str">
        <x:v>Claims-backed reinstatement allocation is governed.</x:v>
      </x:c>
    </x:row>
    <x:row r="44" ht="21.600000381469727" hidden="0" customHeight="1">
      <x:c r="A44" s="75" t="str">
        <x:v>whole_plant_exposure_default</x:v>
      </x:c>
      <x:c r="B44" s="75" t="str">
        <x:v>tropical_cyclone_wind</x:v>
      </x:c>
      <x:c r="C44" s="75" t="str">
        <x:v>all_failure_units</x:v>
      </x:c>
      <x:c r="D44" s="75" t="str">
        <x:v>PROHIBITED</x:v>
      </x:c>
      <x:c r="E44" s="75" t="str">
        <x:v>exposure_rule</x:v>
      </x:c>
      <x:c r="F44" s="75" t="str">
        <x:v>T4_placeholder_or_expert_judgment</x:v>
      </x:c>
      <x:c r="G44" s="75" t="str">
        <x:v>GOVERNANCE_CONTRACT</x:v>
      </x:c>
      <x:c r="H44" s="75" t="str">
        <x:v>Array polygons, shared GSU yards, line assets, and point equipment have different exposure grains.</x:v>
      </x:c>
      <x:c r="I44" s="75" t="str">
        <x:v>adopt</x:v>
      </x:c>
      <x:c r="J44" s="75" t="str">
        <x:v>A governed exposure assembler supplies unit-specific mappings.</x:v>
      </x:c>
    </x:row>
    <x:row r="45" ht="21.600000381469727" hidden="0" customHeight="1">
      <x:c r="A45" s="75" t="str">
        <x:v>legacy_curve_bundle</x:v>
      </x:c>
      <x:c r="B45" s="75" t="str">
        <x:v>tropical_cyclone_wind</x:v>
      </x:c>
      <x:c r="C45" s="75" t="str">
        <x:v>LEGACY_HURRICANE_SOLAR</x:v>
      </x:c>
      <x:c r="D45" s="75" t="str">
        <x:v>REJECT_RUNTIME_RETAIN_AUDIT</x:v>
      </x:c>
      <x:c r="E45" s="75" t="str">
        <x:v>legacy_disposition</x:v>
      </x:c>
      <x:c r="F45" s="75" t="str">
        <x:v>T4_placeholder_or_expert_judgment</x:v>
      </x:c>
      <x:c r="G45" s="75" t="str">
        <x:v>LEG-TCWS-001</x:v>
      </x:c>
      <x:c r="H45" s="75" t="str">
        <x:v>Source characterization, architecture splits, economic caps, and parameters are not provenance-resolved.</x:v>
      </x:c>
      <x:c r="I45" s="75" t="str">
        <x:v>reject</x:v>
      </x:c>
      <x:c r="J45" s="75" t="str">
        <x:v>A new independently governed model supersedes the audit fixture.</x:v>
      </x:c>
    </x:row>
    <x:row r="46" ht="21.600000381469727" hidden="0" customHeight="1">
      <x:c r="A46" s="75" t="str">
        <x:v>legacy_consumer_bundle</x:v>
      </x:c>
      <x:c r="B46" s="75" t="str">
        <x:v>tropical_cyclone_wind</x:v>
      </x:c>
      <x:c r="C46" s="75" t="str">
        <x:v>HAZARD_HURRICANE_SOLAR_PLACEHOLDER</x:v>
      </x:c>
      <x:c r="D46" s="75" t="str">
        <x:v>REJECT_RUNTIME_RETAIN_REGRESSION</x:v>
      </x:c>
      <x:c r="E46" s="75" t="str">
        <x:v>legacy_disposition</x:v>
      </x:c>
      <x:c r="F46" s="75" t="str">
        <x:v>T4_placeholder_or_expert_judgment</x:v>
      </x:c>
      <x:c r="G46" s="75" t="str">
        <x:v>LEG-TCWS-002</x:v>
      </x:c>
      <x:c r="H46" s="75" t="str">
        <x:v>Hardcoded TIV shares and zero remainder are not a scientific damage model.</x:v>
      </x:c>
      <x:c r="I46" s="75" t="str">
        <x:v>reject</x:v>
      </x:c>
      <x:c r="J46" s="75" t="str">
        <x:v>Governed artifact cutover completes.</x:v>
      </x:c>
    </x:row>
    <x:row r="47" ht="15" hidden="0" customHeight="1">
      <x:c r="A47" s="75" t="str">
        <x:v>scalar_damage_output</x:v>
      </x:c>
      <x:c r="B47" s="75" t="str">
        <x:v>tropical_cyclone_wind</x:v>
      </x:c>
      <x:c r="C47" s="75" t="str">
        <x:v>none</x:v>
      </x:c>
      <x:c r="D47" s="75" t="str">
        <x:v>NULL_REASON_NO_RUNTIME_CURVE</x:v>
      </x:c>
      <x:c r="E47" s="75" t="str">
        <x:v>capability</x:v>
      </x:c>
      <x:c r="F47" s="75" t="str">
        <x:v>T4_placeholder_or_expert_judgment</x:v>
      </x:c>
      <x:c r="G47" s="75" t="str">
        <x:v>GOVERNANCE_CONTRACT</x:v>
      </x:c>
      <x:c r="H47" s="75" t="str">
        <x:v>An empty curve-record array must fail closed after validation.</x:v>
      </x:c>
      <x:c r="I47" s="75" t="str">
        <x:v>withhold</x:v>
      </x:c>
      <x:c r="J47" s="75" t="str">
        <x:v>Reviewed model v1.0 release.</x:v>
      </x:c>
    </x:row>
    <x:row r="48" ht="15" hidden="0" customHeight="1">
      <x:c r="A48" s="75" t="str">
        <x:v>monetary_loss_output</x:v>
      </x:c>
      <x:c r="B48" s="75" t="str">
        <x:v>tropical_cyclone_wind</x:v>
      </x:c>
      <x:c r="C48" s="75" t="str">
        <x:v>none</x:v>
      </x:c>
      <x:c r="D48" s="75" t="str">
        <x:v>NULL_REASON_NO_RUNTIME_CURVE</x:v>
      </x:c>
      <x:c r="E48" s="75" t="str">
        <x:v>capability</x:v>
      </x:c>
      <x:c r="F48" s="75" t="str">
        <x:v>T4_placeholder_or_expert_judgment</x:v>
      </x:c>
      <x:c r="G48" s="75" t="str">
        <x:v>GOVERNANCE_CONTRACT</x:v>
      </x:c>
      <x:c r="H48" s="75" t="str">
        <x:v>Value coverage does not authorize a loss without a qualified failure-unit DR.</x:v>
      </x:c>
      <x:c r="I48" s="75" t="str">
        <x:v>withhold</x:v>
      </x:c>
      <x:c r="J48" s="75" t="str">
        <x:v>Reviewed model v1.0 release.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25" hidden="0" customWidth="1"/>
    <x:col min="5" max="5" width="50" hidden="0" customWidth="1"/>
  </x:cols>
  <x:sheetData>
    <x:row r="1" ht="21.600000381469727" hidden="0" customHeight="1">
      <x:c r="A1" s="3" t="str">
        <x:v>Workbook QA checks</x:v>
      </x:c>
      <x:c r="B1" s="3"/>
      <x:c r="C1" s="3"/>
      <x:c r="D1" s="3"/>
      <x:c r="E1" s="3"/>
    </x:row>
    <x:row r="2" ht="15" hidden="0" customHeight="1">
      <x:c r="A2" s="7" t="str">
        <x:v>Formula-driven assertions. External validator also checks JSON/schema, IDs, links, formula errors, rendering, and XLSX integrity.</x:v>
      </x:c>
      <x:c r="B2" s="7"/>
      <x:c r="C2" s="7"/>
      <x:c r="D2" s="7"/>
      <x:c r="E2" s="7"/>
    </x:row>
    <x:row r="3"/>
    <x:row r="4" ht="15" hidden="0" customHeight="1">
      <x:c r="A4" s="13" t="str">
        <x:v>Check</x:v>
      </x:c>
      <x:c r="B4" s="13" t="str">
        <x:v>Status formula</x:v>
      </x:c>
      <x:c r="C4" s="13" t="str">
        <x:v>Expected/threshold</x:v>
      </x:c>
      <x:c r="D4" s="13" t="str">
        <x:v>Scope</x:v>
      </x:c>
      <x:c r="E4" s="13" t="str">
        <x:v>Why it matters</x:v>
      </x:c>
    </x:row>
    <x:row r="5" ht="15" hidden="0" customHeight="1">
      <x:c r="A5" s="20" t="str">
        <x:v>Physical reference reconciles</x:v>
      </x:c>
      <x:c r="B5" s="20" t="str">
        <x:f>IF(ABS('Asset_Value'!B16-C5)&lt;0.000000001,"PASS","FAIL")</x:f>
        <x:v>PASS</x:v>
      </x:c>
      <x:c r="C5" s="20" t="n">
        <x:v>877.7957023626668</x:v>
      </x:c>
      <x:c r="D5" s="20" t="str">
        <x:v>Asset_Value</x:v>
      </x:c>
      <x:c r="E5" s="20" t="str">
        <x:v>Array anatomy + other direct + civil + support</x:v>
      </x:c>
    </x:row>
    <x:row r="6" ht="15" hidden="0" customHeight="1">
      <x:c r="A6" s="20" t="str">
        <x:v>Installed reference reconciles</x:v>
      </x:c>
      <x:c r="B6" s="20" t="str">
        <x:f>IF(ABS('Asset_Value'!B17-C6)&lt;0.000000001,"PASS","FAIL")</x:f>
        <x:v>PASS</x:v>
      </x:c>
      <x:c r="C6" s="20" t="n">
        <x:v>1120</x:v>
      </x:c>
      <x:c r="D6" s="20" t="str">
        <x:v>Asset_Value</x:v>
      </x:c>
      <x:c r="E6" s="20" t="str">
        <x:v>Physical + excluded</x:v>
      </x:c>
    </x:row>
    <x:row r="7" ht="15" hidden="0" customHeight="1">
      <x:c r="A7" s="20" t="str">
        <x:v>Module + mounting physical share precise</x:v>
      </x:c>
      <x:c r="B7" s="20" t="str">
        <x:f>IF(ABS('Asset_Value'!B18-C7)&lt;0.000000001,"PASS","FAIL")</x:f>
        <x:v>PASS</x:v>
      </x:c>
      <x:c r="C7" s="68" t="n">
        <x:v>0.457059172638</x:v>
      </x:c>
      <x:c r="D7" s="20" t="str">
        <x:v>Asset_Value</x:v>
      </x:c>
      <x:c r="E7" s="20" t="str">
        <x:v>Denominator anatomy, not DR cap</x:v>
      </x:c>
    </x:row>
    <x:row r="8" ht="15" hidden="0" customHeight="1">
      <x:c r="A8" s="20" t="str">
        <x:v>Runtime curve count is zero</x:v>
      </x:c>
      <x:c r="B8" s="20" t="str">
        <x:f>IF('README'!B10=C8,"PASS","FAIL")</x:f>
        <x:v>PASS</x:v>
      </x:c>
      <x:c r="C8" s="20" t="n">
        <x:v>0</x:v>
      </x:c>
      <x:c r="D8" s="20" t="str">
        <x:v>README</x:v>
      </x:c>
      <x:c r="E8" s="20" t="str">
        <x:v>Fail-closed scaffold invariant</x:v>
      </x:c>
    </x:row>
    <x:row r="9" ht="15" hidden="0" customHeight="1">
      <x:c r="A9" s="20" t="str">
        <x:v>Candidate runtime flags all false</x:v>
      </x:c>
      <x:c r="B9" s="20" t="str">
        <x:f>IF(COUNTIF('Candidate_Fragility'!M6,TRUE)+COUNTIF('Candidate_Fragility'!H12:H14,TRUE)=C9,"PASS","FAIL")</x:f>
        <x:v>PASS</x:v>
      </x:c>
      <x:c r="C9" s="20" t="n">
        <x:v>0</x:v>
      </x:c>
      <x:c r="D9" s="20" t="str">
        <x:v>Candidate_Fragility</x:v>
      </x:c>
      <x:c r="E9" s="20" t="str">
        <x:v>Audit numbers cannot leak into runtime</x:v>
      </x:c>
    </x:row>
    <x:row r="10" ht="15" hidden="0" customHeight="1">
      <x:c r="A10" s="20" t="str">
        <x:v>Candidate probabilities bounded</x:v>
      </x:c>
      <x:c r="B10" s="20" t="str">
        <x:f>IF(AND(MIN('Candidate_Fragility'!H6:L6)&gt;=0,MAX('Candidate_Fragility'!H6:L6)&lt;=1)=C10,"PASS","FAIL")</x:f>
        <x:v>PASS</x:v>
      </x:c>
      <x:c r="C10" s="21" t="b">
        <x:v>1</x:v>
      </x:c>
      <x:c r="D10" s="20" t="str">
        <x:v>Candidate_Fragility</x:v>
      </x:c>
      <x:c r="E10" s="20" t="str">
        <x:v>Formula reproduction sanity only</x:v>
      </x:c>
    </x:row>
    <x:row r="11" ht="15" hidden="0" customHeight="1">
      <x:c r="A11" s="20" t="str">
        <x:v>Legacy checks rejected</x:v>
      </x:c>
      <x:c r="B11" s="20" t="str">
        <x:f>IF(COUNTIF('Legacy_Audit'!H5:H9,"reject")+COUNTIF('Legacy_Audit'!I13:I20,"reject")=C11,"PASS","FAIL")</x:f>
        <x:v>PASS</x:v>
      </x:c>
      <x:c r="C11" s="20" t="n">
        <x:v>13</x:v>
      </x:c>
      <x:c r="D11" s="20" t="str">
        <x:v>Legacy_Audit</x:v>
      </x:c>
      <x:c r="E11" s="20" t="str">
        <x:v>No rejected parameter/output becomes a KAT</x:v>
      </x:c>
    </x:row>
    <x:row r="12" ht="15" hidden="0" customHeight="1">
      <x:c r="A12" s="20" t="str">
        <x:v>Source register exact count</x:v>
      </x:c>
      <x:c r="B12" s="20" t="str">
        <x:f>IF(COUNTA('Source_Register'!A2:A100)=C12,"PASS","FAIL")</x:f>
        <x:v>PASS</x:v>
      </x:c>
      <x:c r="C12" s="20" t="n">
        <x:v>19</x:v>
      </x:c>
      <x:c r="D12" s="20" t="str">
        <x:v>Source_Register</x:v>
      </x:c>
      <x:c r="E12" s="20" t="str">
        <x:v>All governed source rows present</x:v>
      </x:c>
    </x:row>
    <x:row r="13" ht="15" hidden="0" customHeight="1">
      <x:c r="A13" s="20" t="str">
        <x:v>Claim register exact count</x:v>
      </x:c>
      <x:c r="B13" s="20" t="str">
        <x:f>IF(COUNTA('Claim_Register'!A2:A100)=C13,"PASS","FAIL")</x:f>
        <x:v>PASS</x:v>
      </x:c>
      <x:c r="C13" s="20" t="n">
        <x:v>30</x:v>
      </x:c>
      <x:c r="D13" s="20" t="str">
        <x:v>Claim_Register</x:v>
      </x:c>
      <x:c r="E13" s="20" t="str">
        <x:v>All governed claims present</x:v>
      </x:c>
    </x:row>
    <x:row r="14" ht="15" hidden="0" customHeight="1">
      <x:c r="A14" s="20" t="str">
        <x:v>Parameter tier table exact count</x:v>
      </x:c>
      <x:c r="B14" s="20" t="str">
        <x:f>IF(COUNTA('Parameter_Tiers'!A2:A100)=C14,"PASS","FAIL")</x:f>
        <x:v>PASS</x:v>
      </x:c>
      <x:c r="C14" s="20" t="n">
        <x:v>47</x:v>
      </x:c>
      <x:c r="D14" s="20" t="str">
        <x:v>Parameter_Tiers</x:v>
      </x:c>
      <x:c r="E14" s="20" t="str">
        <x:v>All tiered parameters present</x:v>
      </x:c>
    </x:row>
    <x:row r="15" ht="15" hidden="0" customHeight="1">
      <x:c r="A15" s="20" t="str">
        <x:v>Value crosswalk exact count</x:v>
      </x:c>
      <x:c r="B15" s="20" t="str">
        <x:f>IF(COUNTA('Value_Crosswalk'!A2:A100)=C15,"PASS","FAIL")</x:f>
        <x:v>PASS</x:v>
      </x:c>
      <x:c r="C15" s="20" t="n">
        <x:v>18</x:v>
      </x:c>
      <x:c r="D15" s="20" t="str">
        <x:v>Value_Crosswalk</x:v>
      </x:c>
      <x:c r="E15" s="20" t="str">
        <x:v>All Q1-2025 core rows preserved</x:v>
      </x:c>
    </x:row>
    <x:row r="16" ht="15" hidden="0" customHeight="1">
      <x:c r="A16" s="20" t="str">
        <x:v>GSU is a separate failure unit</x:v>
      </x:c>
      <x:c r="B16" s="20" t="str">
        <x:f>IF(COUNTIF('Failure_Units'!A5:A14,"PV_GSU_SUBSTATION")=C16,"PASS","FAIL")</x:f>
        <x:v>PASS</x:v>
      </x:c>
      <x:c r="C16" s="20" t="n">
        <x:v>1</x:v>
      </x:c>
      <x:c r="D16" s="20" t="str">
        <x:v>Failure_Units</x:v>
      </x:c>
      <x:c r="E16" s="20" t="str">
        <x:v>Shared anatomy is explicit; no array rollup</x:v>
      </x:c>
    </x:row>
    <x:row r="17" ht="15" hidden="0" customHeight="1">
      <x:c r="A17" s="20" t="str">
        <x:v>Runtime reason exact</x:v>
      </x:c>
      <x:c r="B17" s="20" t="str">
        <x:f>IF('README'!B12=C17,"PASS","FAIL")</x:f>
        <x:v>PASS</x:v>
      </x:c>
      <x:c r="C17" s="20" t="str">
        <x:v>NO_RUNTIME_CURVE</x:v>
      </x:c>
      <x:c r="D17" s="20" t="str">
        <x:v>README</x:v>
      </x:c>
      <x:c r="E17" s="20" t="str">
        <x:v>Null is not zero</x:v>
      </x:c>
    </x:row>
  </x:sheetData>
  <x:mergeCells>
    <x:mergeCell ref="A1:E1"/>
    <x:mergeCell ref="A2:E2"/>
  </x:mergeCells>
  <x:conditionalFormatting sqref="B5:B1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