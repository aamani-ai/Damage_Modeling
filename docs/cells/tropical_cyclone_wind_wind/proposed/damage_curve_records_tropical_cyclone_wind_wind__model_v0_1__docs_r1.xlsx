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f12aded65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5097d3802d4389"/>
    <x:sheet xmlns:r="http://schemas.openxmlformats.org/officeDocument/2006/relationships" name="Seven_Steps" sheetId="2" r:id="R807d649fa99a48d3"/>
    <x:sheet xmlns:r="http://schemas.openxmlformats.org/officeDocument/2006/relationships" name="Asset_Value" sheetId="3" r:id="R898242f897684bf1"/>
    <x:sheet xmlns:r="http://schemas.openxmlformats.org/officeDocument/2006/relationships" name="Value_Crosswalk" sheetId="4" r:id="Rf0eed2337dca4132"/>
    <x:sheet xmlns:r="http://schemas.openxmlformats.org/officeDocument/2006/relationships" name="Failure_Units" sheetId="5" r:id="R2cd735f1900444a8"/>
    <x:sheet xmlns:r="http://schemas.openxmlformats.org/officeDocument/2006/relationships" name="Candidate_Fragility" sheetId="6" r:id="Ra0a84849615a44ed"/>
    <x:sheet xmlns:r="http://schemas.openxmlformats.org/officeDocument/2006/relationships" name="Site_Adapter" sheetId="7" r:id="R301d9e9e3a254988"/>
    <x:sheet xmlns:r="http://schemas.openxmlformats.org/officeDocument/2006/relationships" name="Legacy_Audit" sheetId="8" r:id="Rec79aa82389e4cc1"/>
    <x:sheet xmlns:r="http://schemas.openxmlformats.org/officeDocument/2006/relationships" name="Claim_Register" sheetId="9" r:id="R53e34defdd9e43b4"/>
    <x:sheet xmlns:r="http://schemas.openxmlformats.org/officeDocument/2006/relationships" name="Source_Register" sheetId="10" r:id="R816d25cc150f422d"/>
    <x:sheet xmlns:r="http://schemas.openxmlformats.org/officeDocument/2006/relationships" name="Parameter_Tiers" sheetId="11" r:id="Rfb9703fae45b4a7d"/>
    <x:sheet xmlns:r="http://schemas.openxmlformats.org/officeDocument/2006/relationships" name="QA_Checks" sheetId="12" r:id="R4fb070e9b83e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00%"/>
    <x:numFmt numFmtId="202" formatCode="0.000000000000"/>
    <x:numFmt numFmtId="203" formatCode="0 &quot;km/h&quot;"/>
    <x:numFmt numFmtId="204" formatCode="0.000000"/>
    <x:numFmt numFmtId="205" formatCode="0 &quot;kn&quot;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678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7F1D1D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3"/>
      </x:patternFill>
    </x:fill>
    <x:fill>
      <x:patternFill patternType="solid">
        <x:fgColor rgb="FFFCE0E0"/>
      </x:patternFill>
    </x:fill>
  </x:fills>
  <x:borders count="17">
    <x:border/>
    <x:border>
      <x:left style="thin">
        <x:color rgb="FFCCD4DF"/>
      </x:left>
      <x:right style="thin">
        <x:color rgb="FFCCD4DF"/>
      </x:right>
      <x:top style="thin">
        <x:color rgb="FFCCD4DF"/>
      </x:top>
      <x:bottom style="thin">
        <x:color rgb="FFCCD4DF"/>
      </x:bottom>
    </x:border>
    <x:border>
      <x:left style="medium">
        <x:color rgb="FFD99B2B"/>
      </x:left>
      <x:top style="medium">
        <x:color rgb="FFD99B2B"/>
      </x:top>
    </x:border>
    <x:border>
      <x:top style="medium">
        <x:color rgb="FFD99B2B"/>
      </x:top>
    </x:border>
    <x:border>
      <x:right style="medium">
        <x:color rgb="FFD99B2B"/>
      </x:right>
      <x:top style="medium">
        <x:color rgb="FFD99B2B"/>
      </x:top>
    </x:border>
    <x:border>
      <x:left style="medium">
        <x:color rgb="FFD99B2B"/>
      </x:left>
      <x:bottom style="medium">
        <x:color rgb="FFD99B2B"/>
      </x:bottom>
    </x:border>
    <x:border>
      <x:bottom style="medium">
        <x:color rgb="FFD99B2B"/>
      </x:bottom>
    </x:border>
    <x:border>
      <x:right style="medium">
        <x:color rgb="FFD99B2B"/>
      </x:right>
      <x:bottom style="medium">
        <x:color rgb="FFD99B2B"/>
      </x:bottom>
    </x:border>
    <x:border>
      <x:left style="medium">
        <x:color rgb="FFB91C1C"/>
      </x:left>
      <x:top style="medium">
        <x:color rgb="FFB91C1C"/>
      </x:top>
    </x:border>
    <x:border>
      <x:top style="medium">
        <x:color rgb="FFB91C1C"/>
      </x:top>
    </x:border>
    <x:border>
      <x:right style="medium">
        <x:color rgb="FFB91C1C"/>
      </x:right>
      <x:top style="medium">
        <x:color rgb="FFB91C1C"/>
      </x:top>
    </x:border>
    <x:border>
      <x:left style="medium">
        <x:color rgb="FFB91C1C"/>
      </x:left>
      <x:bottom style="medium">
        <x:color rgb="FFB91C1C"/>
      </x:bottom>
    </x:border>
    <x:border>
      <x:bottom style="medium">
        <x:color rgb="FFB91C1C"/>
      </x:bottom>
    </x:border>
    <x:border>
      <x:right style="medium">
        <x:color rgb="FFB91C1C"/>
      </x:right>
      <x:bottom style="medium">
        <x:color rgb="FFB91C1C"/>
      </x:bottom>
    </x:border>
    <x:border>
      <x:left style="thin">
        <x:color rgb="FFCCD4DF"/>
      </x:left>
      <x:top style="thin">
        <x:color rgb="FFCCD4DF"/>
      </x:top>
      <x:bottom style="thin">
        <x:color rgb="FFCCD4DF"/>
      </x:bottom>
    </x:border>
    <x:border>
      <x:top style="thin">
        <x:color rgb="FFCCD4DF"/>
      </x:top>
      <x:bottom style="thin">
        <x:color rgb="FFCCD4DF"/>
      </x:bottom>
    </x:border>
    <x:border>
      <x:right style="thin">
        <x:color rgb="FFCCD4DF"/>
      </x:right>
      <x:top style="thin">
        <x:color rgb="FFCCD4DF"/>
      </x:top>
      <x:bottom style="thin">
        <x:color rgb="FFCCD4DF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6" xfId="0" applyNumberFormat="1" applyFont="1" applyFill="1" applyBorder="1"/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6" xfId="0" applyNumberFormat="1" applyFont="1" applyFill="1" applyBorder="1" applyAlignment="1">
      <x:alignment wrapText="1"/>
    </x:xf>
    <x:xf numFmtId="205" fontId="3" fillId="4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DF2E3"/>
        </x:patternFill>
      </x:fill>
    </x:dxf>
    <x:dxf>
      <x:font>
        <x:b/>
        <x:color rgb="FF991B1B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5913de7d244c1" /><Relationship Type="http://schemas.openxmlformats.org/officeDocument/2006/relationships/theme" Target="/xl/theme/theme1.xml" Id="Rccad5ff795df4f31" /><Relationship Type="http://schemas.microsoft.com/office/2022/11/relationships/FeaturePropertyBag" Target="/xl/featurePropertyBag/featurePropertyBag.xml" Id="R689a4825d767407c" /><Relationship Type="http://schemas.openxmlformats.org/officeDocument/2006/relationships/sharedStrings" Target="/xl/sharedStrings.xml" Id="R6c12569ffa854d22" /><Relationship Type="http://schemas.openxmlformats.org/officeDocument/2006/relationships/worksheet" Target="/xl/worksheets/sheet1.xml" Id="R545097d3802d4389" /><Relationship Type="http://schemas.openxmlformats.org/officeDocument/2006/relationships/worksheet" Target="/xl/worksheets/sheet2.xml" Id="R807d649fa99a48d3" /><Relationship Type="http://schemas.openxmlformats.org/officeDocument/2006/relationships/worksheet" Target="/xl/worksheets/sheet3.xml" Id="R898242f897684bf1" /><Relationship Type="http://schemas.openxmlformats.org/officeDocument/2006/relationships/worksheet" Target="/xl/worksheets/sheet4.xml" Id="Rf0eed2337dca4132" /><Relationship Type="http://schemas.openxmlformats.org/officeDocument/2006/relationships/worksheet" Target="/xl/worksheets/sheet5.xml" Id="R2cd735f1900444a8" /><Relationship Type="http://schemas.openxmlformats.org/officeDocument/2006/relationships/worksheet" Target="/xl/worksheets/sheet6.xml" Id="Ra0a84849615a44ed" /><Relationship Type="http://schemas.openxmlformats.org/officeDocument/2006/relationships/worksheet" Target="/xl/worksheets/sheet7.xml" Id="R301d9e9e3a254988" /><Relationship Type="http://schemas.openxmlformats.org/officeDocument/2006/relationships/worksheet" Target="/xl/worksheets/sheet8.xml" Id="Rec79aa82389e4cc1" /><Relationship Type="http://schemas.openxmlformats.org/officeDocument/2006/relationships/worksheet" Target="/xl/worksheets/sheet9.xml" Id="R53e34defdd9e43b4" /><Relationship Type="http://schemas.openxmlformats.org/officeDocument/2006/relationships/worksheet" Target="/xl/worksheets/sheet10.xml" Id="R816d25cc150f422d" /><Relationship Type="http://schemas.openxmlformats.org/officeDocument/2006/relationships/worksheet" Target="/xl/worksheets/sheet11.xml" Id="Rfb9703fae45b4a7d" /><Relationship Type="http://schemas.openxmlformats.org/officeDocument/2006/relationships/worksheet" Target="/xl/worksheets/sheet12.xml" Id="R4fb070e9b83e48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1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1.600000381469727" hidden="0" customHeight="1">
      <x:c r="A1" s="3" t="str">
        <x:v>Tropical-cyclone wind × onshore wind — audit workbook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7" t="str">
        <x:v>Proposed model v0.1/docs r1 • noncanonical • zero runtime curves • every damage/loss metric withheld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3" t="str">
        <x:v>Identity</x:v>
      </x:c>
      <x:c r="B4" s="13" t="str">
        <x:v>Value</x:v>
      </x:c>
      <x:c r="D4" s="13" t="str">
        <x:v>Order</x:v>
      </x:c>
      <x:c r="E4" s="13" t="str">
        <x:v>Sheet</x:v>
      </x:c>
      <x:c r="F4" s="13" t="str">
        <x:v>Purpose</x:v>
      </x:c>
    </x:row>
    <x:row r="5" ht="15" hidden="0" customHeight="1">
      <x:c r="A5" s="20" t="str">
        <x:v>Cell ID</x:v>
      </x:c>
      <x:c r="B5" s="20" t="str">
        <x:v>tropical_cyclone_wind_wind</x:v>
      </x:c>
      <x:c r="D5" s="20" t="n">
        <x:v>1</x:v>
      </x:c>
      <x:c r="E5" s="20" t="str">
        <x:v>README</x:v>
      </x:c>
      <x:c r="F5" s="20" t="str">
        <x:v>Identity, status, and map</x:v>
      </x:c>
    </x:row>
    <x:row r="6" ht="15" hidden="0" customHeight="1">
      <x:c r="A6" s="20" t="str">
        <x:v>Damage code ID</x:v>
      </x:c>
      <x:c r="B6" s="20" t="str">
        <x:v>TROPICAL_CYCLONE_WIND_WIND_PROPOSED_V0_1</x:v>
      </x:c>
      <x:c r="D6" s="20" t="n">
        <x:v>2</x:v>
      </x:c>
      <x:c r="E6" s="20" t="str">
        <x:v>Seven_Steps</x:v>
      </x:c>
      <x:c r="F6" s="20" t="str">
        <x:v>Gate-by-gate audit</x:v>
      </x:c>
    </x:row>
    <x:row r="7" ht="15" hidden="0" customHeight="1">
      <x:c r="A7" s="20" t="str">
        <x:v>Semantic model</x:v>
      </x:c>
      <x:c r="B7" s="20" t="str">
        <x:v>model v0.1</x:v>
      </x:c>
      <x:c r="D7" s="20" t="n">
        <x:v>3</x:v>
      </x:c>
      <x:c r="E7" s="20" t="str">
        <x:v>Asset_Value</x:v>
      </x:c>
      <x:c r="F7" s="20" t="str">
        <x:v>Reference value reconciliation</x:v>
      </x:c>
    </x:row>
    <x:row r="8" ht="15" hidden="0" customHeight="1">
      <x:c r="A8" s="20" t="str">
        <x:v>Documentation</x:v>
      </x:c>
      <x:c r="B8" s="20" t="str">
        <x:v>docs r1</x:v>
      </x:c>
      <x:c r="D8" s="20" t="n">
        <x:v>4</x:v>
      </x:c>
      <x:c r="E8" s="20" t="str">
        <x:v>Value_Crosswalk</x:v>
      </x:c>
      <x:c r="F8" s="20" t="str">
        <x:v>Row-level value mapping</x:v>
      </x:c>
    </x:row>
    <x:row r="9" ht="15" hidden="0" customHeight="1">
      <x:c r="A9" s="20" t="str">
        <x:v>Lifecycle</x:v>
      </x:c>
      <x:c r="B9" s="20" t="str">
        <x:v>scaffold / proposed / pressure-tested</x:v>
      </x:c>
      <x:c r="D9" s="20" t="n">
        <x:v>5</x:v>
      </x:c>
      <x:c r="E9" s="20" t="str">
        <x:v>Failure_Units</x:v>
      </x:c>
      <x:c r="F9" s="20" t="str">
        <x:v>Physical/spatial units and blockers</x:v>
      </x:c>
    </x:row>
    <x:row r="10" ht="24" hidden="0" customHeight="1">
      <x:c r="A10" s="20" t="str">
        <x:v>Runtime curve count</x:v>
      </x:c>
      <x:c r="B10" s="20" t="n">
        <x:v>0</x:v>
      </x:c>
      <x:c r="D10" s="20" t="n">
        <x:v>6</x:v>
      </x:c>
      <x:c r="E10" s="20" t="str">
        <x:v>Candidate_Fragility</x:v>
      </x:c>
      <x:c r="F10" s="20" t="str">
        <x:v>Audit-only formula reproduction; never DR</x:v>
      </x:c>
    </x:row>
    <x:row r="11" ht="15" hidden="0" customHeight="1">
      <x:c r="A11" s="20" t="str">
        <x:v>Canonical runtime artifact</x:v>
      </x:c>
      <x:c r="B11" s="21" t="b">
        <x:v>0</x:v>
      </x:c>
      <x:c r="D11" s="20" t="n">
        <x:v>7</x:v>
      </x:c>
      <x:c r="E11" s="20" t="str">
        <x:v>Site_Adapter</x:v>
      </x:c>
      <x:c r="F11" s="20" t="str">
        <x:v>Field roles and fail-closed behavior</x:v>
      </x:c>
    </x:row>
    <x:row r="12" ht="24" hidden="0" customHeight="1">
      <x:c r="A12" s="20" t="str">
        <x:v>Runtime reason</x:v>
      </x:c>
      <x:c r="B12" s="20" t="str">
        <x:v>NO_RUNTIME_CURVE</x:v>
      </x:c>
      <x:c r="D12" s="20" t="n">
        <x:v>8</x:v>
      </x:c>
      <x:c r="E12" s="20" t="str">
        <x:v>Legacy_Audit</x:v>
      </x:c>
      <x:c r="F12" s="20" t="str">
        <x:v>Rejected formula and aggregation checks</x:v>
      </x:c>
    </x:row>
    <x:row r="13" ht="15" hidden="0" customHeight="1">
      <x:c r="A13" s="20" t="str">
        <x:v>Package release</x:v>
      </x:c>
      <x:c r="B13" s="20" t="str">
        <x:v>unreleased</x:v>
      </x:c>
      <x:c r="D13" s="20" t="n">
        <x:v>9</x:v>
      </x:c>
      <x:c r="E13" s="20" t="str">
        <x:v>Claim_Register</x:v>
      </x:c>
      <x:c r="F13" s="20" t="str">
        <x:v>Claims and permitted inference</x:v>
      </x:c>
    </x:row>
    <x:row r="14" ht="15" hidden="0" customHeight="1">
      <x:c r="A14" s="20" t="str">
        <x:v>Schema envelope</x:v>
      </x:c>
      <x:c r="B14" s="20" t="str">
        <x:v>v1 noncanonical zero-curve scaffold exception</x:v>
      </x:c>
      <x:c r="D14" s="20" t="n">
        <x:v>10</x:v>
      </x:c>
      <x:c r="E14" s="20" t="str">
        <x:v>Source_Register</x:v>
      </x:c>
      <x:c r="F14" s="20" t="str">
        <x:v>Citations, locators, and tiers</x:v>
      </x:c>
    </x:row>
    <x:row r="15" ht="15" hidden="0" customHeight="1">
      <x:c r="A15" s="20" t="str">
        <x:v>Consumer action</x:v>
      </x:c>
      <x:c r="B15" s="20" t="str">
        <x:v>Do not load or cut over</x:v>
      </x:c>
      <x:c r="D15" s="20" t="n">
        <x:v>11</x:v>
      </x:c>
      <x:c r="E15" s="20" t="str">
        <x:v>Parameter_Tiers</x:v>
      </x:c>
      <x:c r="F15" s="20" t="str">
        <x:v>Parameters, status, and triggers</x:v>
      </x:c>
    </x:row>
    <x:row r="16" ht="15" hidden="0" customHeight="1">
      <x:c r="D16" s="20" t="n">
        <x:v>12</x:v>
      </x:c>
      <x:c r="E16" s="20" t="str">
        <x:v>QA_Checks</x:v>
      </x:c>
      <x:c r="F16" s="20" t="str">
        <x:v>Formula-driven integrity assertions</x:v>
      </x:c>
    </x:row>
    <x:row r="17"/>
    <x:row r="18">
      <x:c r="A18" s="36" t="str">
        <x:v>Interpretation guardrail: candidate tower-buckling/collapse probabilities are evidence audits only. They are not economic damage ratios, runtime curve records, or loss outputs.</x:v>
      </x:c>
      <x:c r="B18" s="37"/>
      <x:c r="C18" s="37"/>
      <x:c r="D18" s="37"/>
      <x:c r="E18" s="37"/>
      <x:c r="F18" s="37"/>
      <x:c r="G18" s="37"/>
      <x:c r="H18" s="38"/>
    </x:row>
    <x:row r="19">
      <x:c r="A19" s="39"/>
      <x:c r="B19" s="40"/>
      <x:c r="C19" s="40"/>
      <x:c r="D19" s="40"/>
      <x:c r="E19" s="40"/>
      <x:c r="F19" s="40"/>
      <x:c r="G19" s="40"/>
      <x:c r="H19" s="41"/>
    </x:row>
  </x:sheetData>
  <x:mergeCells>
    <x:mergeCell ref="A1:H1"/>
    <x:mergeCell ref="A2:H2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1.600000381469727" hidden="0" customHeight="1">
      <x:c r="A1" s="3" t="str">
        <x:v>Seven-step audit</x:v>
      </x:c>
      <x:c r="B1" s="3"/>
      <x:c r="C1" s="3"/>
      <x:c r="D1" s="3"/>
      <x:c r="E1" s="3"/>
      <x:c r="F1" s="3"/>
    </x:row>
    <x:row r="2" ht="15" hidden="0" customHeight="1">
      <x:c r="A2" s="7" t="str">
        <x:v>A structural PASS means the scaffold is coherent; it does not mean a damage curve is calibrated.</x:v>
      </x:c>
      <x:c r="B2" s="7"/>
      <x:c r="C2" s="7"/>
      <x:c r="D2" s="7"/>
      <x:c r="E2" s="7"/>
      <x:c r="F2" s="7"/>
    </x:row>
    <x:row r="3"/>
    <x:row r="4" ht="15" hidden="0" customHeight="1">
      <x:c r="A4" s="13" t="str">
        <x:v>Step</x:v>
      </x:c>
      <x:c r="B4" s="13" t="str">
        <x:v>Question</x:v>
      </x:c>
      <x:c r="C4" s="13" t="str">
        <x:v>v0.1 result</x:v>
      </x:c>
      <x:c r="D4" s="13" t="str">
        <x:v>Retained work</x:v>
      </x:c>
      <x:c r="E4" s="13" t="str">
        <x:v>Blocking seam</x:v>
      </x:c>
      <x:c r="F4" s="13" t="str">
        <x:v>Promotion trigger</x:v>
      </x:c>
    </x:row>
    <x:row r="5" ht="15" hidden="0" customHeight="1">
      <x:c r="A5" s="20" t="n">
        <x:v>1</x:v>
      </x:c>
      <x:c r="B5" s="20" t="str">
        <x:v>Define asset</x:v>
      </x:c>
      <x:c r="C5" s="20" t="str">
        <x:v>PASS_REFERENCE_ARCHETYPE_ONLY</x:v>
      </x:c>
      <x:c r="D5" s="20" t="str">
        <x:v>Modern land-based multi-MW HAWT boundary</x:v>
      </x:c>
      <x:c r="E5" s="20" t="str">
        <x:v>Site/OEM configuration external</x:v>
      </x:c>
      <x:c r="F5" s="20" t="str">
        <x:v>Verified target fleet and site inventory</x:v>
      </x:c>
    </x:row>
    <x:row r="6" ht="24" hidden="0" customHeight="1">
      <x:c r="A6" s="20" t="n">
        <x:v>2</x:v>
      </x:c>
      <x:c r="B6" s="20" t="str">
        <x:v>Decompose</x:v>
      </x:c>
      <x:c r="C6" s="20" t="str">
        <x:v>PARTIAL_DEPENDENCY_SAFE_SKELETON</x:v>
      </x:c>
      <x:c r="D6" s="20" t="str">
        <x:v>One turbine-equipment assembly plus separate plant units</x:v>
      </x:c>
      <x:c r="E6" s="20" t="str">
        <x:v>Electrical/civil splits and foundation precedence</x:v>
      </x:c>
      <x:c r="F6" s="20" t="str">
        <x:v>Exhaustive units and mutually exclusive terminal states</x:v>
      </x:c>
    </x:row>
    <x:row r="7" ht="15" hidden="0" customHeight="1">
      <x:c r="A7" s="20" t="n">
        <x:v>3</x:v>
      </x:c>
      <x:c r="B7" s="20" t="str">
        <x:v>Choose basis</x:v>
      </x:c>
      <x:c r="C7" s="20" t="str">
        <x:v>PASS_REFERENCE_BASIS</x:v>
      </x:c>
      <x:c r="D7" s="20" t="str">
        <x:v>NREL CWER row-level reference ledger</x:v>
      </x:c>
      <x:c r="E7" s="20" t="str">
        <x:v>Site value and disposition rules</x:v>
      </x:c>
      <x:c r="F7" s="20" t="str">
        <x:v>Same-unit appraisal/replacement schedule</x:v>
      </x:c>
    </x:row>
    <x:row r="8" ht="15" hidden="0" customHeight="1">
      <x:c r="A8" s="20" t="n">
        <x:v>4</x:v>
      </x:c>
      <x:c r="B8" s="20" t="str">
        <x:v>Split basis</x:v>
      </x:c>
      <x:c r="C8" s="20" t="str">
        <x:v>PARTIAL_ROW_GROUPS_ONLY</x:v>
      </x:c>
      <x:c r="D8" s="20" t="str">
        <x:v>Equipment, other direct, support, excluded reconcile</x:v>
      </x:c>
      <x:c r="E8" s="20" t="str">
        <x:v>Electrical and civil component allocation</x:v>
      </x:c>
      <x:c r="F8" s="20" t="str">
        <x:v>Unit-complete row split</x:v>
      </x:c>
    </x:row>
    <x:row r="9" ht="15" hidden="0" customHeight="1">
      <x:c r="A9" s="20" t="n">
        <x:v>5</x:v>
      </x:c>
      <x:c r="B9" s="20" t="str">
        <x:v>Allocate value/exposure</x:v>
      </x:c>
      <x:c r="C9" s="20" t="str">
        <x:v>PARTIAL_FAIL_CLOSED</x:v>
      </x:c>
      <x:c r="D9" s="20" t="str">
        <x:v>Per-turbine versus point/line/network discipline</x:v>
      </x:c>
      <x:c r="E9" s="20" t="str">
        <x:v>Site subjects/fractions/support rule</x:v>
      </x:c>
      <x:c r="F9" s="20" t="str">
        <x:v>Auditable value and exposure map</x:v>
      </x:c>
    </x:row>
    <x:row r="10" ht="15" hidden="0" customHeight="1">
      <x:c r="A10" s="20" t="n">
        <x:v>6</x:v>
      </x:c>
      <x:c r="B10" s="20" t="str">
        <x:v>Apply TC adapter</x:v>
      </x:c>
      <x:c r="C10" s="20" t="str">
        <x:v>SPECIFIED_NOT_PARAMETERIZED</x:v>
      </x:c>
      <x:c r="D10" s="20" t="str">
        <x:v>Identity, source metadata, selectors, conditioners</x:v>
      </x:c>
      <x:c r="E10" s="20" t="str">
        <x:v>No approved demand bridge or state modifiers</x:v>
      </x:c>
      <x:c r="F10" s="20" t="str">
        <x:v>Versioned bridge with KATs and uncertainty</x:v>
      </x:c>
    </x:row>
    <x:row r="11" ht="15" hidden="0" customHeight="1">
      <x:c r="A11" s="20" t="n">
        <x:v>7</x:v>
      </x:c>
      <x:c r="B11" s="20" t="str">
        <x:v>Curves and loss</x:v>
      </x:c>
      <x:c r="C11" s="20" t="str">
        <x:v>WITHHELD_NO_RUNTIME_CURVE</x:v>
      </x:c>
      <x:c r="D11" s="20" t="str">
        <x:v>Narrow structural candidates retained in audit layer</x:v>
      </x:c>
      <x:c r="E11" s="20" t="str">
        <x:v>No all-severity same-unit economic curve</x:v>
      </x:c>
      <x:c r="F11" s="20" t="str">
        <x:v>Reviewed model v1.0 numerical records</x:v>
      </x:c>
    </x:row>
    <x:row r="12"/>
    <x:row r="13">
      <x:c r="A13" s="56" t="str">
        <x:v>Final result: failure-unit DR, scenario loss, EAL, PML, VaR, and TVaR are null/withheld with NO_RUNTIME_CURVE.</x:v>
      </x:c>
      <x:c r="B13" s="57"/>
      <x:c r="C13" s="57"/>
      <x:c r="D13" s="57"/>
      <x:c r="E13" s="57"/>
      <x:c r="F13" s="58"/>
    </x:row>
    <x:row r="14">
      <x:c r="A14" s="59"/>
      <x:c r="B14" s="60"/>
      <x:c r="C14" s="60"/>
      <x:c r="D14" s="60"/>
      <x:c r="E14" s="60"/>
      <x:c r="F14" s="61"/>
    </x:row>
  </x:sheetData>
  <x:mergeCells>
    <x:mergeCell ref="A1:F1"/>
    <x:mergeCell ref="A2:F2"/>
    <x:mergeCell ref="A13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40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21.600000381469727" hidden="0" customHeight="1">
      <x:c r="A1" s="3" t="str">
        <x:v>Reference value basis</x:v>
      </x:c>
      <x:c r="B1" s="3"/>
      <x:c r="C1" s="3"/>
      <x:c r="D1" s="3"/>
      <x:c r="E1" s="3"/>
      <x:c r="F1" s="3"/>
    </x:row>
    <x:row r="2" ht="15" hidden="0" customHeight="1">
      <x:c r="A2" s="7" t="str">
        <x:v>NREL CWER 2024 Edition • 2023 USD/kW • reference archetype only, never a site appraisal</x:v>
      </x:c>
      <x:c r="B2" s="7"/>
      <x:c r="C2" s="7"/>
      <x:c r="D2" s="7"/>
      <x:c r="E2" s="7"/>
      <x:c r="F2" s="7"/>
    </x:row>
    <x:row r="3"/>
    <x:row r="4" ht="15" hidden="0" customHeight="1">
      <x:c r="A4" s="13" t="str">
        <x:v>Bucket</x:v>
      </x:c>
      <x:c r="B4" s="13" t="str">
        <x:v>2023 USD/kW</x:v>
      </x:c>
      <x:c r="C4" s="13" t="str">
        <x:v>Treatment</x:v>
      </x:c>
      <x:c r="D4" s="13" t="str">
        <x:v>Share of physical</x:v>
      </x:c>
      <x:c r="E4" s="13" t="str">
        <x:v>Share of installed</x:v>
      </x:c>
      <x:c r="F4" s="13" t="str">
        <x:v>Guardrail</x:v>
      </x:c>
    </x:row>
    <x:row r="5" ht="15" hidden="0" customHeight="1">
      <x:c r="A5" s="20" t="str">
        <x:v>Turbine equipment</x:v>
      </x:c>
      <x:c r="B5" s="62" t="n">
        <x:v>1090</x:v>
      </x:c>
      <x:c r="C5" s="20" t="str">
        <x:v>candidate same-unit direct denominator</x:v>
      </x:c>
      <x:c r="D5" s="63" t="n">
        <x:f>B5/$B$8</x:f>
        <x:v>0.6715958102279729</x:v>
      </x:c>
      <x:c r="E5" s="63" t="n">
        <x:f>B5/$B$10</x:f>
        <x:v>0.5538617886178862</x:v>
      </x:c>
      <x:c r="F5" s="20" t="str">
        <x:v>Per turbine; not a DR cap</x:v>
      </x:c>
    </x:row>
    <x:row r="6" ht="15" hidden="0" customHeight="1">
      <x:c r="A6" s="20" t="str">
        <x:v>Other direct</x:v>
      </x:c>
      <x:c r="B6" s="62" t="n">
        <x:v>239</x:v>
      </x:c>
      <x:c r="C6" s="20" t="str">
        <x:v>foundation + civil + electrical withheld/split</x:v>
      </x:c>
      <x:c r="D6" s="63" t="n">
        <x:f>B6/$B$8</x:f>
        <x:v>0.1472581638940234</x:v>
      </x:c>
      <x:c r="E6" s="63" t="n">
        <x:f>B6/$B$10</x:f>
        <x:v>0.12144308943089431</x:v>
      </x:c>
      <x:c r="F6" s="20" t="str">
        <x:v>Never inherit equipment DR</x:v>
      </x:c>
    </x:row>
    <x:row r="7" ht="15" hidden="0" customHeight="1">
      <x:c r="A7" s="20" t="str">
        <x:v>Support</x:v>
      </x:c>
      <x:c r="B7" s="62" t="n">
        <x:v>294</x:v>
      </x:c>
      <x:c r="C7" s="20" t="str">
        <x:v>fieldwork + transport allocated once</x:v>
      </x:c>
      <x:c r="D7" s="63" t="n">
        <x:f>B7/$B$8</x:f>
        <x:v>0.18114602587800369</x:v>
      </x:c>
      <x:c r="E7" s="63" t="n">
        <x:f>B7/$B$10</x:f>
        <x:v>0.14939024390243902</x:v>
      </x:c>
      <x:c r="F7" s="20" t="str">
        <x:v>No independent fragility</x:v>
      </x:c>
    </x:row>
    <x:row r="8" ht="15" hidden="0" customHeight="1">
      <x:c r="A8" s="20" t="str">
        <x:v>Physical total</x:v>
      </x:c>
      <x:c r="B8" s="62" t="n">
        <x:f>SUM(B5:B7)</x:f>
        <x:v>1623</x:v>
      </x:c>
      <x:c r="C8" s="20" t="str">
        <x:v>reconciliation/reporting denominator</x:v>
      </x:c>
      <x:c r="D8" s="63" t="n">
        <x:f>B8/$B$8</x:f>
        <x:v>1</x:v>
      </x:c>
      <x:c r="E8" s="63" t="n">
        <x:f>B8/$B$10</x:f>
        <x:v>0.8246951219512195</x:v>
      </x:c>
      <x:c r="F8" s="20" t="str">
        <x:v>No pooled physical-base DR</x:v>
      </x:c>
    </x:row>
    <x:row r="9" ht="15" hidden="0" customHeight="1">
      <x:c r="A9" s="20" t="str">
        <x:v>Excluded</x:v>
      </x:c>
      <x:c r="B9" s="62" t="n">
        <x:v>345</x:v>
      </x:c>
      <x:c r="C9" s="20" t="str">
        <x:v>soft/sunk/nonphysical</x:v>
      </x:c>
      <x:c r="D9" s="63"/>
      <x:c r="E9" s="63" t="n">
        <x:f>B9/$B$10</x:f>
        <x:v>0.17530487804878048</x:v>
      </x:c>
      <x:c r="F9" s="20" t="str">
        <x:v>Outside physical damage</x:v>
      </x:c>
    </x:row>
    <x:row r="10" ht="15" hidden="0" customHeight="1">
      <x:c r="A10" s="20" t="str">
        <x:v>Installed total</x:v>
      </x:c>
      <x:c r="B10" s="62" t="n">
        <x:f>B8+B9</x:f>
        <x:v>1968</x:v>
      </x:c>
      <x:c r="C10" s="20" t="str">
        <x:v>reference reporting denominator</x:v>
      </x:c>
      <x:c r="D10" s="63" t="n">
        <x:f>B8/B10</x:f>
        <x:v>0.8246951219512195</x:v>
      </x:c>
      <x:c r="E10" s="63" t="n">
        <x:f>B10/$B$10</x:f>
        <x:v>1</x:v>
      </x:c>
      <x:c r="F10" s="20" t="str">
        <x:v>Not site TIV</x:v>
      </x:c>
    </x:row>
    <x:row r="11"/>
    <x:row r="12"/>
    <x:row r="13"/>
    <x:row r="14" ht="15" hidden="0" customHeight="1">
      <x:c r="A14" s="67" t="str">
        <x:v>QA reconciliation</x:v>
      </x:c>
      <x:c r="B14" s="67" t="str">
        <x:v>Formula result</x:v>
      </x:c>
      <x:c r="C14" s="67" t="str">
        <x:v>Expected</x:v>
      </x:c>
      <x:c r="D14" s="67" t="str">
        <x:v>Status</x:v>
      </x:c>
    </x:row>
    <x:row r="15" ht="15" hidden="0" customHeight="1">
      <x:c r="A15" s="20" t="str">
        <x:v>Physical = equipment + other direct + support</x:v>
      </x:c>
      <x:c r="B15" s="20" t="n">
        <x:f>B8</x:f>
        <x:v>1623</x:v>
      </x:c>
      <x:c r="C15" s="20" t="n">
        <x:v>1623</x:v>
      </x:c>
      <x:c r="D15" s="20" t="str">
        <x:f>IF(B15=C15,"PASS","FAIL")</x:f>
        <x:v>PASS</x:v>
      </x:c>
    </x:row>
    <x:row r="16" ht="15" hidden="0" customHeight="1">
      <x:c r="A16" s="20" t="str">
        <x:v>Installed = physical + excluded</x:v>
      </x:c>
      <x:c r="B16" s="20" t="n">
        <x:f>B10</x:f>
        <x:v>1968</x:v>
      </x:c>
      <x:c r="C16" s="20" t="n">
        <x:v>1968</x:v>
      </x:c>
      <x:c r="D16" s="20" t="str">
        <x:f>IF(B16=C16,"PASS","FAIL")</x:f>
        <x:v>PASS</x:v>
      </x:c>
    </x:row>
    <x:row r="17" ht="15" hidden="0" customHeight="1">
      <x:c r="A17" s="20" t="str">
        <x:v>Equipment share of physical</x:v>
      </x:c>
      <x:c r="B17" s="68" t="n">
        <x:f>D5</x:f>
        <x:v>0.6715958102279729</x:v>
      </x:c>
      <x:c r="C17" s="68" t="n">
        <x:v>0.671595810228</x:v>
      </x:c>
      <x:c r="D17" s="20" t="str">
        <x:f>IF(ABS(B17-C17)&lt;0.000000001,"PASS","FAIL")</x:f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30" hidden="0" customWidth="1"/>
    <x:col min="4" max="4" width="34" hidden="0" customWidth="1"/>
    <x:col min="5" max="5" width="14" hidden="0" customWidth="1"/>
    <x:col min="6" max="6" width="18" hidden="0" customWidth="1"/>
    <x:col min="7" max="7" width="24" hidden="0" customWidth="1"/>
    <x:col min="8" max="8" width="34" hidden="0" customWidth="1"/>
    <x:col min="9" max="9" width="22" hidden="0" customWidth="1"/>
    <x:col min="10" max="10" width="24" hidden="0" customWidth="1"/>
    <x:col min="11" max="11" width="18" hidden="0" customWidth="1"/>
    <x:col min="12" max="12" width="55" hidden="0" customWidth="1"/>
    <x:col min="13" max="13" width="55" hidden="0" customWidth="1"/>
    <x:col min="14" max="14" width="22" hidden="0" customWidth="1"/>
    <x:col min="15" max="15" width="55" hidden="0" customWidth="1"/>
  </x:cols>
  <x:sheetData>
    <x:row r="1" ht="44" hidden="0" customHeight="1">
      <x:c r="A1" s="79" t="str">
        <x:v>value_source_id</x:v>
      </x:c>
      <x:c r="B1" s="79" t="str">
        <x:v>source_location</x:v>
      </x:c>
      <x:c r="C1" s="79" t="str">
        <x:v>row_or_bucket_id</x:v>
      </x:c>
      <x:c r="D1" s="79" t="str">
        <x:v>row_or_bucket_label</x:v>
      </x:c>
      <x:c r="E1" s="79" t="str">
        <x:v>value</x:v>
      </x:c>
      <x:c r="F1" s="79" t="str">
        <x:v>unit</x:v>
      </x:c>
      <x:c r="G1" s="79" t="str">
        <x:v>financial_class</x:v>
      </x:c>
      <x:c r="H1" s="79" t="str">
        <x:v>failure_unit_id</x:v>
      </x:c>
      <x:c r="I1" s="79" t="str">
        <x:v>applicable_pathway_ids</x:v>
      </x:c>
      <x:c r="J1" s="79" t="str">
        <x:v>role_in_loss</x:v>
      </x:c>
      <x:c r="K1" s="79" t="str">
        <x:v>include_in_direct_denominator</x:v>
      </x:c>
      <x:c r="L1" s="79" t="str">
        <x:v>allocation_rule</x:v>
      </x:c>
      <x:c r="M1" s="79" t="str">
        <x:v>double_count_guardrail</x:v>
      </x:c>
      <x:c r="N1" s="79" t="str">
        <x:v>status</x:v>
      </x:c>
      <x:c r="O1" s="79" t="str">
        <x:v>notes</x:v>
      </x:c>
    </x:row>
    <x:row r="2" ht="15" hidden="0" customHeight="1">
      <x:c r="A2" s="75" t="str">
        <x:v>NREL_CWER_2024</x:v>
      </x:c>
      <x:c r="B2" s="75" t="str">
        <x:v>docs/method/value_basis/solar_wind_value_breakdown.xlsx::Wind_Map!2</x:v>
      </x:c>
      <x:c r="C2" s="75" t="str">
        <x:v>WIND_VALUE_002_BLADE</x:v>
      </x:c>
      <x:c r="D2" s="75" t="str">
        <x:v>Blades</x:v>
      </x:c>
      <x:c r="E2" s="80" t="n">
        <x:v>282</x:v>
      </x:c>
      <x:c r="F2" s="75" t="str">
        <x:v>2023_USD_per_kW</x:v>
      </x:c>
      <x:c r="G2" s="75" t="str">
        <x:v>direct_hardware</x:v>
      </x:c>
      <x:c r="H2" s="75" t="str">
        <x:v>WT_TURBINE_EQUIPMENT_ASSEMBLY</x:v>
      </x:c>
      <x:c r="I2" s="75" t="str">
        <x:v>tropical_cyclone_wind</x:v>
      </x:c>
      <x:c r="J2" s="75" t="str">
        <x:v>direct_vulnerable_value</x:v>
      </x:c>
      <x:c r="K2" s="76" t="b">
        <x:v>1</x:v>
      </x:c>
      <x:c r="L2" s="75" t="str">
        <x:v>Candidate assembly denominator only; runtime DR withheld.</x:v>
      </x:c>
      <x:c r="M2" s="75" t="str">
        <x:v>Do not add a blade curve to a terminal assembly state.</x:v>
      </x:c>
      <x:c r="N2" s="75" t="str">
        <x:v>mapped_no_curve</x:v>
      </x:c>
      <x:c r="O2" s="75" t="str">
        <x:v>Direct CWER component row.</x:v>
      </x:c>
    </x:row>
    <x:row r="3" ht="15" hidden="0" customHeight="1">
      <x:c r="A3" s="75" t="str">
        <x:v>NREL_CWER_2024</x:v>
      </x:c>
      <x:c r="B3" s="75" t="str">
        <x:v>docs/method/value_basis/solar_wind_value_breakdown.xlsx::Wind_Map!3</x:v>
      </x:c>
      <x:c r="C3" s="75" t="str">
        <x:v>WIND_VALUE_003_PITCH</x:v>
      </x:c>
      <x:c r="D3" s="75" t="str">
        <x:v>Pitch assembly</x:v>
      </x:c>
      <x:c r="E3" s="80" t="n">
        <x:v>13</x:v>
      </x:c>
      <x:c r="F3" s="75" t="str">
        <x:v>2023_USD_per_kW</x:v>
      </x:c>
      <x:c r="G3" s="75" t="str">
        <x:v>direct_hardware</x:v>
      </x:c>
      <x:c r="H3" s="75" t="str">
        <x:v>WT_TURBINE_EQUIPMENT_ASSEMBLY</x:v>
      </x:c>
      <x:c r="I3" s="75" t="str">
        <x:v>tropical_cyclone_wind</x:v>
      </x:c>
      <x:c r="J3" s="75" t="str">
        <x:v>direct_vulnerable_value</x:v>
      </x:c>
      <x:c r="K3" s="76" t="b">
        <x:v>1</x:v>
      </x:c>
      <x:c r="L3" s="75" t="str">
        <x:v>Candidate assembly denominator; pitch availability remains a conditioner.</x:v>
      </x:c>
      <x:c r="M3" s="75" t="str">
        <x:v>Do not count pitch impairment as both state modifier and default physical loss.</x:v>
      </x:c>
      <x:c r="N3" s="75" t="str">
        <x:v>mapped_no_curve</x:v>
      </x:c>
      <x:c r="O3" s="75" t="str">
        <x:v>CWER reports within rotor module.</x:v>
      </x:c>
    </x:row>
    <x:row r="4" ht="15" hidden="0" customHeight="1">
      <x:c r="A4" s="75" t="str">
        <x:v>NREL_CWER_2024</x:v>
      </x:c>
      <x:c r="B4" s="75" t="str">
        <x:v>docs/method/value_basis/solar_wind_value_breakdown.xlsx::Wind_Map!4</x:v>
      </x:c>
      <x:c r="C4" s="75" t="str">
        <x:v>WIND_VALUE_004_HUB</x:v>
      </x:c>
      <x:c r="D4" s="75" t="str">
        <x:v>Hub assembly</x:v>
      </x:c>
      <x:c r="E4" s="80" t="n">
        <x:v>42</x:v>
      </x:c>
      <x:c r="F4" s="75" t="str">
        <x:v>2023_USD_per_kW</x:v>
      </x:c>
      <x:c r="G4" s="75" t="str">
        <x:v>direct_hardware</x:v>
      </x:c>
      <x:c r="H4" s="75" t="str">
        <x:v>WT_TURBINE_EQUIPMENT_ASSEMBLY</x:v>
      </x:c>
      <x:c r="I4" s="75" t="str">
        <x:v>tropical_cyclone_wind</x:v>
      </x:c>
      <x:c r="J4" s="75" t="str">
        <x:v>direct_vulnerable_value</x:v>
      </x:c>
      <x:c r="K4" s="76" t="b">
        <x:v>1</x:v>
      </x:c>
      <x:c r="L4" s="75" t="str">
        <x:v>Candidate assembly denominator only; runtime DR withheld.</x:v>
      </x:c>
      <x:c r="M4" s="75" t="str">
        <x:v>No hub fragility is inferred from blade or tower evidence.</x:v>
      </x:c>
      <x:c r="N4" s="75" t="str">
        <x:v>mapped_no_curve</x:v>
      </x:c>
      <x:c r="O4" s="75" t="str">
        <x:v>Direct CWER component row.</x:v>
      </x:c>
    </x:row>
    <x:row r="5" ht="15" hidden="0" customHeight="1">
      <x:c r="A5" s="75" t="str">
        <x:v>NREL_CWER_2024</x:v>
      </x:c>
      <x:c r="B5" s="75" t="str">
        <x:v>docs/method/value_basis/solar_wind_value_breakdown.xlsx::Wind_Map!5</x:v>
      </x:c>
      <x:c r="C5" s="75" t="str">
        <x:v>WIND_VALUE_005_NACELLE_STRUCTURE</x:v>
      </x:c>
      <x:c r="D5" s="75" t="str">
        <x:v>Nacelle structural assembly</x:v>
      </x:c>
      <x:c r="E5" s="80" t="n">
        <x:v>76</x:v>
      </x:c>
      <x:c r="F5" s="75" t="str">
        <x:v>2023_USD_per_kW</x:v>
      </x:c>
      <x:c r="G5" s="75" t="str">
        <x:v>direct_hardware</x:v>
      </x:c>
      <x:c r="H5" s="75" t="str">
        <x:v>WT_TURBINE_EQUIPMENT_ASSEMBLY</x:v>
      </x:c>
      <x:c r="I5" s="75" t="str">
        <x:v>tropical_cyclone_wind</x:v>
      </x:c>
      <x:c r="J5" s="75" t="str">
        <x:v>direct_vulnerable_value</x:v>
      </x:c>
      <x:c r="K5" s="76" t="b">
        <x:v>1</x:v>
      </x:c>
      <x:c r="L5" s="75" t="str">
        <x:v>Candidate assembly denominator only; runtime DR withheld.</x:v>
      </x:c>
      <x:c r="M5" s="75" t="str">
        <x:v>No nacelle curve is inferred from cover-loss narratives or tower collapse.</x:v>
      </x:c>
      <x:c r="N5" s="75" t="str">
        <x:v>mapped_no_curve</x:v>
      </x:c>
      <x:c r="O5" s="75" t="str">
        <x:v>Direct CWER component row.</x:v>
      </x:c>
    </x:row>
    <x:row r="6" ht="15" hidden="0" customHeight="1">
      <x:c r="A6" s="75" t="str">
        <x:v>NREL_CWER_2024</x:v>
      </x:c>
      <x:c r="B6" s="75" t="str">
        <x:v>docs/method/value_basis/solar_wind_value_breakdown.xlsx::Wind_Map!6</x:v>
      </x:c>
      <x:c r="C6" s="75" t="str">
        <x:v>WIND_VALUE_006_DRIVETRAIN</x:v>
      </x:c>
      <x:c r="D6" s="75" t="str">
        <x:v>Drivetrain assembly</x:v>
      </x:c>
      <x:c r="E6" s="80" t="n">
        <x:v>236</x:v>
      </x:c>
      <x:c r="F6" s="75" t="str">
        <x:v>2023_USD_per_kW</x:v>
      </x:c>
      <x:c r="G6" s="75" t="str">
        <x:v>direct_hardware</x:v>
      </x:c>
      <x:c r="H6" s="75" t="str">
        <x:v>WT_TURBINE_EQUIPMENT_ASSEMBLY</x:v>
      </x:c>
      <x:c r="I6" s="75" t="str">
        <x:v>tropical_cyclone_wind</x:v>
      </x:c>
      <x:c r="J6" s="75" t="str">
        <x:v>direct_vulnerable_value</x:v>
      </x:c>
      <x:c r="K6" s="76" t="b">
        <x:v>1</x:v>
      </x:c>
      <x:c r="L6" s="75" t="str">
        <x:v>Candidate assembly denominator only; runtime DR withheld.</x:v>
      </x:c>
      <x:c r="M6" s="75" t="str">
        <x:v>Grid loss and shutdown do not imply drivetrain replacement.</x:v>
      </x:c>
      <x:c r="N6" s="75" t="str">
        <x:v>mapped_no_curve</x:v>
      </x:c>
      <x:c r="O6" s="75" t="str">
        <x:v>Gearbox and generator remain a public rollup.</x:v>
      </x:c>
    </x:row>
    <x:row r="7" ht="15" hidden="0" customHeight="1">
      <x:c r="A7" s="75" t="str">
        <x:v>NREL_CWER_2024</x:v>
      </x:c>
      <x:c r="B7" s="75" t="str">
        <x:v>docs/method/value_basis/solar_wind_value_breakdown.xlsx::Wind_Map!7</x:v>
      </x:c>
      <x:c r="C7" s="75" t="str">
        <x:v>WIND_VALUE_007_POWER_ELECTRONICS</x:v>
      </x:c>
      <x:c r="D7" s="75" t="str">
        <x:v>Nacelle electrical assembly</x:v>
      </x:c>
      <x:c r="E7" s="80" t="n">
        <x:v>137</x:v>
      </x:c>
      <x:c r="F7" s="75" t="str">
        <x:v>2023_USD_per_kW</x:v>
      </x:c>
      <x:c r="G7" s="75" t="str">
        <x:v>direct_hardware</x:v>
      </x:c>
      <x:c r="H7" s="75" t="str">
        <x:v>WT_TURBINE_EQUIPMENT_ASSEMBLY</x:v>
      </x:c>
      <x:c r="I7" s="75" t="str">
        <x:v>tropical_cyclone_wind</x:v>
      </x:c>
      <x:c r="J7" s="75" t="str">
        <x:v>direct_vulnerable_value</x:v>
      </x:c>
      <x:c r="K7" s="76" t="b">
        <x:v>1</x:v>
      </x:c>
      <x:c r="L7" s="75" t="str">
        <x:v>Candidate assembly denominator only; runtime DR withheld.</x:v>
      </x:c>
      <x:c r="M7" s="75" t="str">
        <x:v>Do not treat curtailment or grid outage as destruction.</x:v>
      </x:c>
      <x:c r="N7" s="75" t="str">
        <x:v>mapped_no_curve</x:v>
      </x:c>
      <x:c r="O7" s="75" t="str">
        <x:v>Direct CWER component row.</x:v>
      </x:c>
    </x:row>
    <x:row r="8" ht="15" hidden="0" customHeight="1">
      <x:c r="A8" s="75" t="str">
        <x:v>NREL_CWER_2024</x:v>
      </x:c>
      <x:c r="B8" s="75" t="str">
        <x:v>docs/method/value_basis/solar_wind_value_breakdown.xlsx::Wind_Map!8</x:v>
      </x:c>
      <x:c r="C8" s="75" t="str">
        <x:v>WIND_VALUE_008_YAW</x:v>
      </x:c>
      <x:c r="D8" s="75" t="str">
        <x:v>Yaw assembly</x:v>
      </x:c>
      <x:c r="E8" s="80" t="n">
        <x:v>28</x:v>
      </x:c>
      <x:c r="F8" s="75" t="str">
        <x:v>2023_USD_per_kW</x:v>
      </x:c>
      <x:c r="G8" s="75" t="str">
        <x:v>direct_hardware</x:v>
      </x:c>
      <x:c r="H8" s="75" t="str">
        <x:v>WT_TURBINE_EQUIPMENT_ASSEMBLY</x:v>
      </x:c>
      <x:c r="I8" s="75" t="str">
        <x:v>tropical_cyclone_wind</x:v>
      </x:c>
      <x:c r="J8" s="75" t="str">
        <x:v>direct_vulnerable_value</x:v>
      </x:c>
      <x:c r="K8" s="76" t="b">
        <x:v>1</x:v>
      </x:c>
      <x:c r="L8" s="75" t="str">
        <x:v>Candidate assembly denominator; yaw availability is separately an event conditioner.</x:v>
      </x:c>
      <x:c r="M8" s="75" t="str">
        <x:v>Do not reduce exposure/value after applying a future state-specific response.</x:v>
      </x:c>
      <x:c r="N8" s="75" t="str">
        <x:v>mapped_no_curve</x:v>
      </x:c>
      <x:c r="O8" s="75" t="str">
        <x:v>Direct CWER component row.</x:v>
      </x:c>
    </x:row>
    <x:row r="9" ht="15" hidden="0" customHeight="1">
      <x:c r="A9" s="75" t="str">
        <x:v>NREL_CWER_2024</x:v>
      </x:c>
      <x:c r="B9" s="75" t="str">
        <x:v>docs/method/value_basis/solar_wind_value_breakdown.xlsx::Wind_Map!9</x:v>
      </x:c>
      <x:c r="C9" s="75" t="str">
        <x:v>WIND_VALUE_009_TOWER</x:v>
      </x:c>
      <x:c r="D9" s="75" t="str">
        <x:v>Tower module</x:v>
      </x:c>
      <x:c r="E9" s="80" t="n">
        <x:v>276</x:v>
      </x:c>
      <x:c r="F9" s="75" t="str">
        <x:v>2023_USD_per_kW</x:v>
      </x:c>
      <x:c r="G9" s="75" t="str">
        <x:v>direct_hardware</x:v>
      </x:c>
      <x:c r="H9" s="75" t="str">
        <x:v>WT_TURBINE_EQUIPMENT_ASSEMBLY</x:v>
      </x:c>
      <x:c r="I9" s="75" t="str">
        <x:v>tropical_cyclone_wind</x:v>
      </x:c>
      <x:c r="J9" s="75" t="str">
        <x:v>direct_vulnerable_value</x:v>
      </x:c>
      <x:c r="K9" s="76" t="b">
        <x:v>1</x:v>
      </x:c>
      <x:c r="L9" s="75" t="str">
        <x:v>Candidate assembly denominator; source tower-collapse probabilities remain audit-only.</x:v>
      </x:c>
      <x:c r="M9" s="75" t="str">
        <x:v>Do not count tower value and consequential equipment replacement twice.</x:v>
      </x:c>
      <x:c r="N9" s="75" t="str">
        <x:v>mapped_no_curve</x:v>
      </x:c>
      <x:c r="O9" s="75" t="str">
        <x:v>Direct CWER subsystem row.</x:v>
      </x:c>
    </x:row>
    <x:row r="10" ht="15" hidden="0" customHeight="1">
      <x:c r="A10" s="75" t="str">
        <x:v>NREL_CWER_2024</x:v>
      </x:c>
      <x:c r="B10" s="75" t="str">
        <x:v>docs/method/value_basis/solar_wind_value_breakdown.xlsx::Wind_Map!10</x:v>
      </x:c>
      <x:c r="C10" s="75" t="str">
        <x:v>WIND_VALUE_010_FOUNDATION</x:v>
      </x:c>
      <x:c r="D10" s="75" t="str">
        <x:v>Foundation</x:v>
      </x:c>
      <x:c r="E10" s="80" t="n">
        <x:v>120</x:v>
      </x:c>
      <x:c r="F10" s="75" t="str">
        <x:v>2023_USD_per_kW</x:v>
      </x:c>
      <x:c r="G10" s="75" t="str">
        <x:v>direct_hardware</x:v>
      </x:c>
      <x:c r="H10" s="75" t="str">
        <x:v>WT_FOUNDATION</x:v>
      </x:c>
      <x:c r="I10" s="75" t="str">
        <x:v>tropical_cyclone_wind</x:v>
      </x:c>
      <x:c r="J10" s="75" t="str">
        <x:v>direct_vulnerable_value</x:v>
      </x:c>
      <x:c r="K10" s="76" t="b">
        <x:v>0</x:v>
      </x:c>
      <x:c r="L10" s="75" t="str">
        <x:v>Separate failure unit; wind-only capacity and post-collapse disposition required.</x:v>
      </x:c>
      <x:c r="M10" s="75" t="str">
        <x:v>Do not inherit turbine-equipment DR or include surge/scour in this pathway.</x:v>
      </x:c>
      <x:c r="N10" s="75" t="str">
        <x:v>withheld</x:v>
      </x:c>
      <x:c r="O10" s="75" t="str">
        <x:v>Plant row allocated by capacity in source ledger.</x:v>
      </x:c>
    </x:row>
    <x:row r="11" ht="15" hidden="0" customHeight="1">
      <x:c r="A11" s="75" t="str">
        <x:v>NREL_CWER_2024</x:v>
      </x:c>
      <x:c r="B11" s="75" t="str">
        <x:v>docs/method/value_basis/solar_wind_value_breakdown.xlsx::Wind_Map!11</x:v>
      </x:c>
      <x:c r="C11" s="75" t="str">
        <x:v>WIND_VALUE_011_CIVIL</x:v>
      </x:c>
      <x:c r="D11" s="75" t="str">
        <x:v>Site access, staging, and facilities</x:v>
      </x:c>
      <x:c r="E11" s="80" t="n">
        <x:v>47</x:v>
      </x:c>
      <x:c r="F11" s="75" t="str">
        <x:v>2023_USD_per_kW</x:v>
      </x:c>
      <x:c r="G11" s="75" t="str">
        <x:v>mixed_civil</x:v>
      </x:c>
      <x:c r="H11" s="75" t="str">
        <x:v>WT_CIVIL_INFRA</x:v>
      </x:c>
      <x:c r="I11" s="75" t="str">
        <x:v>tropical_cyclone_wind</x:v>
      </x:c>
      <x:c r="J11" s="75" t="str">
        <x:v>split_required</x:v>
      </x:c>
      <x:c r="K11" s="76" t="b">
        <x:v>0</x:v>
      </x:c>
      <x:c r="L11" s="75" t="str">
        <x:v>Split roads, crane pads, buildings, fences, and facilities before damage modeling.</x:v>
      </x:c>
      <x:c r="M11" s="75" t="str">
        <x:v>Do not scale by exposed turbine fraction or turbine DR.</x:v>
      </x:c>
      <x:c r="N11" s="75" t="str">
        <x:v>withheld</x:v>
      </x:c>
      <x:c r="O11" s="75" t="str">
        <x:v>Mixed plant-level physical rollup.</x:v>
      </x:c>
    </x:row>
    <x:row r="12" ht="15" hidden="0" customHeight="1">
      <x:c r="A12" s="75" t="str">
        <x:v>NREL_CWER_2024</x:v>
      </x:c>
      <x:c r="B12" s="75" t="str">
        <x:v>docs/method/value_basis/solar_wind_value_breakdown.xlsx::Wind_Map!12</x:v>
      </x:c>
      <x:c r="C12" s="75" t="str">
        <x:v>WIND_VALUE_012_ELECTRICAL</x:v>
      </x:c>
      <x:c r="D12" s="75" t="str">
        <x:v>Electrical infrastructure</x:v>
      </x:c>
      <x:c r="E12" s="80" t="n">
        <x:v>72</x:v>
      </x:c>
      <x:c r="F12" s="75" t="str">
        <x:v>2023_USD_per_kW</x:v>
      </x:c>
      <x:c r="G12" s="75" t="str">
        <x:v>mixed_direct_hardware</x:v>
      </x:c>
      <x:c r="H12" s="75" t="str">
        <x:v>WT_EXTERNAL_ELECTRICAL</x:v>
      </x:c>
      <x:c r="I12" s="75" t="str">
        <x:v>tropical_cyclone_wind</x:v>
      </x:c>
      <x:c r="J12" s="75" t="str">
        <x:v>split_required</x:v>
      </x:c>
      <x:c r="K12" s="76" t="b">
        <x:v>0</x:v>
      </x:c>
      <x:c r="L12" s="75" t="str">
        <x:v>Split pad equipment, collection lines, substation, and control building.</x:v>
      </x:c>
      <x:c r="M12" s="75" t="str">
        <x:v>Do not use one turbine gust/point exposure for line and shared-point assets.</x:v>
      </x:c>
      <x:c r="N12" s="75" t="str">
        <x:v>withheld</x:v>
      </x:c>
      <x:c r="O12" s="75" t="str">
        <x:v>CWER does not split collection versus substation.</x:v>
      </x:c>
    </x:row>
    <x:row r="13" ht="15" hidden="0" customHeight="1">
      <x:c r="A13" s="75" t="str">
        <x:v>NREL_CWER_2024</x:v>
      </x:c>
      <x:c r="B13" s="75" t="str">
        <x:v>docs/method/value_basis/solar_wind_value_breakdown.xlsx::Wind_Map!13</x:v>
      </x:c>
      <x:c r="C13" s="75" t="str">
        <x:v>WIND_VALUE_013_FIELDWORK</x:v>
      </x:c>
      <x:c r="D13" s="75" t="str">
        <x:v>Assembly and installation</x:v>
      </x:c>
      <x:c r="E13" s="80" t="n">
        <x:v>100</x:v>
      </x:c>
      <x:c r="F13" s="75" t="str">
        <x:v>2023_USD_per_kW</x:v>
      </x:c>
      <x:c r="G13" s="75" t="str">
        <x:v>support_logistics</x:v>
      </x:c>
      <x:c r="H13" s="75" t="str">
        <x:v>SUPPORT_FIELDWORK</x:v>
      </x:c>
      <x:c r="I13" s="75" t="str">
        <x:v>tropical_cyclone_wind</x:v>
      </x:c>
      <x:c r="J13" s="75" t="str">
        <x:v>support_once</x:v>
      </x:c>
      <x:c r="K13" s="76" t="b">
        <x:v>0</x:v>
      </x:c>
      <x:c r="L13" s="75" t="str">
        <x:v>Allocate once after qualified direct repair scope with a site/claims rule.</x:v>
      </x:c>
      <x:c r="M13" s="75" t="str">
        <x:v>No independent fragility and no automatic linear DR scaling.</x:v>
      </x:c>
      <x:c r="N13" s="75" t="str">
        <x:v>mapped_support_rule_open</x:v>
      </x:c>
      <x:c r="O13" s="75" t="str">
        <x:v>Recurring replacement support, not owned vulnerable hardware.</x:v>
      </x:c>
    </x:row>
    <x:row r="14" ht="15" hidden="0" customHeight="1">
      <x:c r="A14" s="75" t="str">
        <x:v>NREL_CWER_2024</x:v>
      </x:c>
      <x:c r="B14" s="75" t="str">
        <x:v>docs/method/value_basis/solar_wind_value_breakdown.xlsx::Wind_Map!14</x:v>
      </x:c>
      <x:c r="C14" s="75" t="str">
        <x:v>WIND_VALUE_014_TRANSPORT</x:v>
      </x:c>
      <x:c r="D14" s="75" t="str">
        <x:v>Wind turbine transport</x:v>
      </x:c>
      <x:c r="E14" s="80" t="n">
        <x:v>194</x:v>
      </x:c>
      <x:c r="F14" s="75" t="str">
        <x:v>2023_USD_per_kW</x:v>
      </x:c>
      <x:c r="G14" s="75" t="str">
        <x:v>support_logistics</x:v>
      </x:c>
      <x:c r="H14" s="75" t="str">
        <x:v>SUPPORT_TRANSPORT_LOGISTICS</x:v>
      </x:c>
      <x:c r="I14" s="75" t="str">
        <x:v>tropical_cyclone_wind</x:v>
      </x:c>
      <x:c r="J14" s="75" t="str">
        <x:v>support_once</x:v>
      </x:c>
      <x:c r="K14" s="76" t="b">
        <x:v>0</x:v>
      </x:c>
      <x:c r="L14" s="75" t="str">
        <x:v>Allocate once when replacement scope and logistics require it.</x:v>
      </x:c>
      <x:c r="M14" s="75" t="str">
        <x:v>Do not include in the intrinsic denominator and add again downstream.</x:v>
      </x:c>
      <x:c r="N14" s="75" t="str">
        <x:v>mapped_support_rule_open</x:v>
      </x:c>
      <x:c r="O14" s="75" t="str">
        <x:v>Reference only; site distance, crane, and access can dominate.</x:v>
      </x:c>
    </x:row>
    <x:row r="15" ht="21.600000381469727" hidden="0" customHeight="1">
      <x:c r="A15" s="75" t="str">
        <x:v>NREL_CWER_2024</x:v>
      </x:c>
      <x:c r="B15" s="75" t="str">
        <x:v>docs/method/value_basis/solar_wind_value_breakdown.xlsx::Wind_Map!15</x:v>
      </x:c>
      <x:c r="C15" s="75" t="str">
        <x:v>WIND_VALUE_015_ENGINEERING_DEVELOPMENT</x:v>
      </x:c>
      <x:c r="D15" s="75" t="str">
        <x:v>Engineering and development</x:v>
      </x:c>
      <x:c r="E15" s="80" t="n">
        <x:v>36</x:v>
      </x:c>
      <x:c r="F15" s="75" t="str">
        <x:v>2023_USD_per_kW</x:v>
      </x:c>
      <x:c r="G15" s="75" t="str">
        <x:v>excluded_soft_sunk_nonphysical</x:v>
      </x:c>
      <x:c r="H15" s="75" t="str">
        <x:v>OUTSIDE_PHYSICAL_CELL</x:v>
      </x:c>
      <x:c r="I15" s="75" t="str">
        <x:v>all_shared</x:v>
      </x:c>
      <x:c r="J15" s="75" t="str">
        <x:v>excluded</x:v>
      </x:c>
      <x:c r="K15" s="76" t="b">
        <x:v>0</x:v>
      </x:c>
      <x:c r="L15" s="75" t="str">
        <x:v>Exclude from physical destruction by default.</x:v>
      </x:c>
      <x:c r="M15" s="75" t="str">
        <x:v>Do not reintroduce without an explicit insured-value boundary.</x:v>
      </x:c>
      <x:c r="N15" s="75" t="str">
        <x:v>excluded</x:v>
      </x:c>
      <x:c r="O15" s="75" t="str">
        <x:v>Source soft-cost row.</x:v>
      </x:c>
    </x:row>
    <x:row r="16" ht="15" hidden="0" customHeight="1">
      <x:c r="A16" s="75" t="str">
        <x:v>NREL_CWER_2024</x:v>
      </x:c>
      <x:c r="B16" s="75" t="str">
        <x:v>docs/method/value_basis/solar_wind_value_breakdown.xlsx::Wind_Map!16</x:v>
      </x:c>
      <x:c r="C16" s="75" t="str">
        <x:v>WIND_VALUE_016_PROJECT_MANAGEMENT</x:v>
      </x:c>
      <x:c r="D16" s="75" t="str">
        <x:v>Project management</x:v>
      </x:c>
      <x:c r="E16" s="80" t="n">
        <x:v>14</x:v>
      </x:c>
      <x:c r="F16" s="75" t="str">
        <x:v>2023_USD_per_kW</x:v>
      </x:c>
      <x:c r="G16" s="75" t="str">
        <x:v>excluded_soft_sunk_nonphysical</x:v>
      </x:c>
      <x:c r="H16" s="75" t="str">
        <x:v>OUTSIDE_PHYSICAL_CELL</x:v>
      </x:c>
      <x:c r="I16" s="75" t="str">
        <x:v>all_shared</x:v>
      </x:c>
      <x:c r="J16" s="75" t="str">
        <x:v>excluded</x:v>
      </x:c>
      <x:c r="K16" s="76" t="b">
        <x:v>0</x:v>
      </x:c>
      <x:c r="L16" s="75" t="str">
        <x:v>Exclude from physical destruction by default.</x:v>
      </x:c>
      <x:c r="M16" s="75" t="str">
        <x:v>Do not reintroduce without an explicit insured-value boundary.</x:v>
      </x:c>
      <x:c r="N16" s="75" t="str">
        <x:v>excluded</x:v>
      </x:c>
      <x:c r="O16" s="75" t="str">
        <x:v>Source soft-cost row.</x:v>
      </x:c>
    </x:row>
    <x:row r="17" ht="15" hidden="0" customHeight="1">
      <x:c r="A17" s="75" t="str">
        <x:v>NREL_CWER_2024</x:v>
      </x:c>
      <x:c r="B17" s="75" t="str">
        <x:v>docs/method/value_basis/solar_wind_value_breakdown.xlsx::Wind_Map!17</x:v>
      </x:c>
      <x:c r="C17" s="75" t="str">
        <x:v>WIND_VALUE_017_FINANCE</x:v>
      </x:c>
      <x:c r="D17" s="75" t="str">
        <x:v>Construction finance</x:v>
      </x:c>
      <x:c r="E17" s="80" t="n">
        <x:v>111</x:v>
      </x:c>
      <x:c r="F17" s="75" t="str">
        <x:v>2023_USD_per_kW</x:v>
      </x:c>
      <x:c r="G17" s="75" t="str">
        <x:v>excluded_soft_sunk_nonphysical</x:v>
      </x:c>
      <x:c r="H17" s="75" t="str">
        <x:v>OUTSIDE_PHYSICAL_CELL</x:v>
      </x:c>
      <x:c r="I17" s="75" t="str">
        <x:v>all_shared</x:v>
      </x:c>
      <x:c r="J17" s="75" t="str">
        <x:v>excluded</x:v>
      </x:c>
      <x:c r="K17" s="76" t="b">
        <x:v>0</x:v>
      </x:c>
      <x:c r="L17" s="75" t="str">
        <x:v>Exclude from physical destruction.</x:v>
      </x:c>
      <x:c r="M17" s="75" t="str">
        <x:v>Financial cost is not physical repair value.</x:v>
      </x:c>
      <x:c r="N17" s="75" t="str">
        <x:v>excluded</x:v>
      </x:c>
      <x:c r="O17" s="75" t="str">
        <x:v>Source soft-cost row.</x:v>
      </x:c>
    </x:row>
    <x:row r="18" ht="15" hidden="0" customHeight="1">
      <x:c r="A18" s="75" t="str">
        <x:v>NREL_CWER_2024</x:v>
      </x:c>
      <x:c r="B18" s="75" t="str">
        <x:v>docs/method/value_basis/solar_wind_value_breakdown.xlsx::Wind_Map!18</x:v>
      </x:c>
      <x:c r="C18" s="75" t="str">
        <x:v>WIND_VALUE_018_CONTINGENCY</x:v>
      </x:c>
      <x:c r="D18" s="75" t="str">
        <x:v>Contingency</x:v>
      </x:c>
      <x:c r="E18" s="80" t="n">
        <x:v>54</x:v>
      </x:c>
      <x:c r="F18" s="75" t="str">
        <x:v>2023_USD_per_kW</x:v>
      </x:c>
      <x:c r="G18" s="75" t="str">
        <x:v>excluded_soft_sunk_nonphysical</x:v>
      </x:c>
      <x:c r="H18" s="75" t="str">
        <x:v>OUTSIDE_PHYSICAL_CELL</x:v>
      </x:c>
      <x:c r="I18" s="75" t="str">
        <x:v>all_shared</x:v>
      </x:c>
      <x:c r="J18" s="75" t="str">
        <x:v>excluded</x:v>
      </x:c>
      <x:c r="K18" s="76" t="b">
        <x:v>0</x:v>
      </x:c>
      <x:c r="L18" s="75" t="str">
        <x:v>Exclude; any claims contingency needs a separate valuation rule.</x:v>
      </x:c>
      <x:c r="M18" s="75" t="str">
        <x:v>Do not use as curve uncertainty or support automatically.</x:v>
      </x:c>
      <x:c r="N18" s="75" t="str">
        <x:v>excluded</x:v>
      </x:c>
      <x:c r="O18" s="75" t="str">
        <x:v>Includes insurance, permitting, bonding, and markup.</x:v>
      </x:c>
    </x:row>
    <x:row r="19" ht="15" hidden="0" customHeight="1">
      <x:c r="A19" s="75" t="str">
        <x:v>NREL_CWER_2024</x:v>
      </x:c>
      <x:c r="B19" s="75" t="str">
        <x:v>docs/method/value_basis/solar_wind_value_breakdown.xlsx::Wind_Map!19</x:v>
      </x:c>
      <x:c r="C19" s="75" t="str">
        <x:v>WIND_VALUE_019_WARRANTY</x:v>
      </x:c>
      <x:c r="D19" s="75" t="str">
        <x:v>Wind turbine warranty</x:v>
      </x:c>
      <x:c r="E19" s="80" t="n">
        <x:v>130</x:v>
      </x:c>
      <x:c r="F19" s="75" t="str">
        <x:v>2023_USD_per_kW</x:v>
      </x:c>
      <x:c r="G19" s="75" t="str">
        <x:v>excluded_soft_sunk_nonphysical</x:v>
      </x:c>
      <x:c r="H19" s="75" t="str">
        <x:v>OUTSIDE_PHYSICAL_CELL</x:v>
      </x:c>
      <x:c r="I19" s="75" t="str">
        <x:v>all_shared</x:v>
      </x:c>
      <x:c r="J19" s="75" t="str">
        <x:v>excluded</x:v>
      </x:c>
      <x:c r="K19" s="76" t="b">
        <x:v>0</x:v>
      </x:c>
      <x:c r="L19" s="75" t="str">
        <x:v>Exclude from physical destruction.</x:v>
      </x:c>
      <x:c r="M19" s="75" t="str">
        <x:v>Warranty value is not replacement damage.</x:v>
      </x:c>
      <x:c r="N19" s="75" t="str">
        <x:v>excluded</x:v>
      </x:c>
      <x:c r="O19" s="75" t="str">
        <x:v>Source soft-cost row.</x:v>
      </x:c>
    </x:row>
    <x:row r="20" ht="21.600000381469727" hidden="0" customHeight="1">
      <x:c r="A20" s="75" t="str">
        <x:v>SUMMARY</x:v>
      </x:c>
      <x:c r="B20" s="75" t="str">
        <x:v>Wind_Map!2:9</x:v>
      </x:c>
      <x:c r="C20" s="75" t="str">
        <x:v>WT_TURBINE_EQUIPMENT_ASSEMBLY_TOTAL</x:v>
      </x:c>
      <x:c r="D20" s="75" t="str">
        <x:v>Turbine equipment direct denominator</x:v>
      </x:c>
      <x:c r="E20" s="80" t="n">
        <x:v>1090</x:v>
      </x:c>
      <x:c r="F20" s="75" t="str">
        <x:v>2023_USD_per_kW</x:v>
      </x:c>
      <x:c r="G20" s="75" t="str">
        <x:v>reconciliation</x:v>
      </x:c>
      <x:c r="H20" s="75" t="str">
        <x:v>WT_TURBINE_EQUIPMENT_ASSEMBLY</x:v>
      </x:c>
      <x:c r="I20" s="75" t="str">
        <x:v>tropical_cyclone_wind</x:v>
      </x:c>
      <x:c r="J20" s="75" t="str">
        <x:v>direct_vulnerable_value</x:v>
      </x:c>
      <x:c r="K20" s="76" t="b">
        <x:v>1</x:v>
      </x:c>
      <x:c r="L20" s="75" t="str">
        <x:v>One repeated turbine-equipment assembly; 0.671595810228 of physical and 0.553861788618 of installed reference.</x:v>
      </x:c>
      <x:c r="M20" s="75" t="str">
        <x:v>Apply exposure per turbine and never call either share a DR cap.</x:v>
      </x:c>
      <x:c r="N20" s="75" t="str">
        <x:v>mapped_no_curve</x:v>
      </x:c>
      <x:c r="O20" s="75" t="str">
        <x:v>Rotor 337 + nacelle/drivetrain/power/yaw 477 + tower 276.</x:v>
      </x:c>
    </x:row>
    <x:row r="21" ht="15" hidden="0" customHeight="1">
      <x:c r="A21" s="75" t="str">
        <x:v>SUMMARY</x:v>
      </x:c>
      <x:c r="B21" s="75" t="str">
        <x:v>Wind_Map!10:12</x:v>
      </x:c>
      <x:c r="C21" s="75" t="str">
        <x:v>WITHHELD_DIRECT_OTHER_TOTAL</x:v>
      </x:c>
      <x:c r="D21" s="75" t="str">
        <x:v>Foundation plus civil plus external electrical</x:v>
      </x:c>
      <x:c r="E21" s="80" t="n">
        <x:v>239</x:v>
      </x:c>
      <x:c r="F21" s="75" t="str">
        <x:v>2023_USD_per_kW</x:v>
      </x:c>
      <x:c r="G21" s="75" t="str">
        <x:v>reconciliation</x:v>
      </x:c>
      <x:c r="H21" s="75" t="str">
        <x:v>MULTIPLE_WITHHELD_UNITS</x:v>
      </x:c>
      <x:c r="I21" s="75" t="str">
        <x:v>tropical_cyclone_wind</x:v>
      </x:c>
      <x:c r="J21" s="75" t="str">
        <x:v>split_required</x:v>
      </x:c>
      <x:c r="K21" s="76" t="b">
        <x:v>0</x:v>
      </x:c>
      <x:c r="L21" s="75" t="str">
        <x:v>Retain as unknown direct coverage, 0.147258163894 of physical reference.</x:v>
      </x:c>
      <x:c r="M21" s="75" t="str">
        <x:v>Do not treat withheld as zero or inherit assembly DR.</x:v>
      </x:c>
      <x:c r="N21" s="75" t="str">
        <x:v>withheld</x:v>
      </x:c>
      <x:c r="O21" s="75" t="str">
        <x:v>Requires unit-specific curves and exposure.</x:v>
      </x:c>
    </x:row>
    <x:row r="22" ht="21.600000381469727" hidden="0" customHeight="1">
      <x:c r="A22" s="75" t="str">
        <x:v>SUMMARY</x:v>
      </x:c>
      <x:c r="B22" s="75" t="str">
        <x:v>Wind_Map!13:14</x:v>
      </x:c>
      <x:c r="C22" s="75" t="str">
        <x:v>SUPPORT_TOTAL</x:v>
      </x:c>
      <x:c r="D22" s="75" t="str">
        <x:v>Fieldwork plus transport/logistics</x:v>
      </x:c>
      <x:c r="E22" s="80" t="n">
        <x:v>294</x:v>
      </x:c>
      <x:c r="F22" s="75" t="str">
        <x:v>2023_USD_per_kW</x:v>
      </x:c>
      <x:c r="G22" s="75" t="str">
        <x:v>reconciliation</x:v>
      </x:c>
      <x:c r="H22" s="75" t="str">
        <x:v>SUPPORT_ONCE</x:v>
      </x:c>
      <x:c r="I22" s="75" t="str">
        <x:v>tropical_cyclone_wind</x:v>
      </x:c>
      <x:c r="J22" s="75" t="str">
        <x:v>support_once</x:v>
      </x:c>
      <x:c r="K22" s="76" t="b">
        <x:v>0</x:v>
      </x:c>
      <x:c r="L22" s="75" t="str">
        <x:v>Allocate once only after direct damaged units are known; 0.181146025878 of physical reference.</x:v>
      </x:c>
      <x:c r="M22" s="75" t="str">
        <x:v>Do not give support its own DR or scale twice.</x:v>
      </x:c>
      <x:c r="N22" s="75" t="str">
        <x:v>mapped_support_rule_open</x:v>
      </x:c>
      <x:c r="O22" s="75" t="str">
        <x:v>No default proportional rule authorized.</x:v>
      </x:c>
    </x:row>
    <x:row r="23" ht="15" hidden="0" customHeight="1">
      <x:c r="A23" s="75" t="str">
        <x:v>SUMMARY</x:v>
      </x:c>
      <x:c r="B23" s="75" t="str">
        <x:v>Wind_Map!2:14</x:v>
      </x:c>
      <x:c r="C23" s="75" t="str">
        <x:v>PHYSICAL_REFERENCE_TOTAL</x:v>
      </x:c>
      <x:c r="D23" s="75" t="str">
        <x:v>Physical replaceable reference basis</x:v>
      </x:c>
      <x:c r="E23" s="80" t="n">
        <x:v>1623</x:v>
      </x:c>
      <x:c r="F23" s="75" t="str">
        <x:v>2023_USD_per_kW</x:v>
      </x:c>
      <x:c r="G23" s="75" t="str">
        <x:v>reconciliation</x:v>
      </x:c>
      <x:c r="H23" s="75" t="str">
        <x:v>REFERENCE_DENOMINATOR_ONLY</x:v>
      </x:c>
      <x:c r="I23" s="75" t="str">
        <x:v>all_shared</x:v>
      </x:c>
      <x:c r="J23" s="75" t="str">
        <x:v>reference</x:v>
      </x:c>
      <x:c r="K23" s="76" t="b">
        <x:v>0</x:v>
      </x:c>
      <x:c r="L23" s="75" t="str">
        <x:v>1090 equipment + 239 withheld other direct + 294 support.</x:v>
      </x:c>
      <x:c r="M23" s="75" t="str">
        <x:v>No pooled physical-base DR may bypass unit/exposure/support rules.</x:v>
      </x:c>
      <x:c r="N23" s="75" t="str">
        <x:v>reconciled</x:v>
      </x:c>
      <x:c r="O23" s="75" t="str">
        <x:v>Physical-to-installed ratio 0.824695121951.</x:v>
      </x:c>
    </x:row>
    <x:row r="24" ht="15" hidden="0" customHeight="1">
      <x:c r="A24" s="75" t="str">
        <x:v>SUMMARY</x:v>
      </x:c>
      <x:c r="B24" s="75" t="str">
        <x:v>Wind_Map!15:19</x:v>
      </x:c>
      <x:c r="C24" s="75" t="str">
        <x:v>EXCLUDED_TOTAL</x:v>
      </x:c>
      <x:c r="D24" s="75" t="str">
        <x:v>Sunk/soft/nonphysical excluded</x:v>
      </x:c>
      <x:c r="E24" s="80" t="n">
        <x:v>345</x:v>
      </x:c>
      <x:c r="F24" s="75" t="str">
        <x:v>2023_USD_per_kW</x:v>
      </x:c>
      <x:c r="G24" s="75" t="str">
        <x:v>reconciliation</x:v>
      </x:c>
      <x:c r="H24" s="75" t="str">
        <x:v>OUTSIDE_PHYSICAL_CELL</x:v>
      </x:c>
      <x:c r="I24" s="75" t="str">
        <x:v>all_shared</x:v>
      </x:c>
      <x:c r="J24" s="75" t="str">
        <x:v>excluded</x:v>
      </x:c>
      <x:c r="K24" s="76" t="b">
        <x:v>0</x:v>
      </x:c>
      <x:c r="L24" s="75" t="str">
        <x:v>36 + 14 + 111 + 54 + 130.</x:v>
      </x:c>
      <x:c r="M24" s="75" t="str">
        <x:v>Do not reintroduce through damage or support scaling.</x:v>
      </x:c>
      <x:c r="N24" s="75" t="str">
        <x:v>reconciled</x:v>
      </x:c>
      <x:c r="O24" s="75" t="str">
        <x:v>Installed = physical + excluded.</x:v>
      </x:c>
    </x:row>
    <x:row r="25" ht="15" hidden="0" customHeight="1">
      <x:c r="A25" s="75" t="str">
        <x:v>SUMMARY</x:v>
      </x:c>
      <x:c r="B25" s="75" t="str">
        <x:v>Wind_Map!2:19</x:v>
      </x:c>
      <x:c r="C25" s="75" t="str">
        <x:v>INSTALLED_REFERENCE_TOTAL</x:v>
      </x:c>
      <x:c r="D25" s="75" t="str">
        <x:v>Installed CAPEX reference basis</x:v>
      </x:c>
      <x:c r="E25" s="80" t="n">
        <x:v>1968</x:v>
      </x:c>
      <x:c r="F25" s="75" t="str">
        <x:v>2023_USD_per_kW</x:v>
      </x:c>
      <x:c r="G25" s="75" t="str">
        <x:v>reconciliation</x:v>
      </x:c>
      <x:c r="H25" s="75" t="str">
        <x:v>REFERENCE_REPORTING_DENOMINATOR</x:v>
      </x:c>
      <x:c r="I25" s="75" t="str">
        <x:v>all_shared</x:v>
      </x:c>
      <x:c r="J25" s="75" t="str">
        <x:v>reference</x:v>
      </x:c>
      <x:c r="K25" s="76" t="b">
        <x:v>0</x:v>
      </x:c>
      <x:c r="L25" s="75" t="str">
        <x:v>Reference denominator only; no scenario loss in model v0.1.</x:v>
      </x:c>
      <x:c r="M25" s="75" t="str">
        <x:v>No implicit full-TIV curve or loss is published.</x:v>
      </x:c>
      <x:c r="N25" s="75" t="str">
        <x:v>reconciled</x:v>
      </x:c>
      <x:c r="O25" s="75" t="str">
        <x:v>A 200-MW reference would be 393.6 million 2023 USD, but that is not a site appraisal.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34" hidden="0" customWidth="1"/>
    <x:col min="4" max="4" width="36" hidden="0" customWidth="1"/>
    <x:col min="5" max="5" width="22" hidden="0" customWidth="1"/>
    <x:col min="6" max="6" width="22" hidden="0" customWidth="1"/>
    <x:col min="7" max="7" width="44" hidden="0" customWidth="1"/>
  </x:cols>
  <x:sheetData>
    <x:row r="1" ht="21.600000381469727" hidden="0" customHeight="1">
      <x:c r="A1" s="3" t="str">
        <x:v>Failure-unit and exposure plan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Withheld means unresolved/not released; it never means zero damage.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3" t="str">
        <x:v>ID</x:v>
      </x:c>
      <x:c r="B4" s="13" t="str">
        <x:v>Physical subject</x:v>
      </x:c>
      <x:c r="C4" s="13" t="str">
        <x:v>Coverage role</x:v>
      </x:c>
      <x:c r="D4" s="13" t="str">
        <x:v>Natural exposure grain</x:v>
      </x:c>
      <x:c r="E4" s="13" t="str">
        <x:v>Reference value</x:v>
      </x:c>
      <x:c r="F4" s="13" t="str">
        <x:v>v0.1 result</x:v>
      </x:c>
      <x:c r="G4" s="13" t="str">
        <x:v>Promotion blocker</x:v>
      </x:c>
    </x:row>
    <x:row r="5" ht="15" hidden="0" customHeight="1">
      <x:c r="A5" s="20" t="str">
        <x:v>WT_TURBINE_EQUIPMENT_ASSEMBLY</x:v>
      </x:c>
      <x:c r="B5" s="20" t="str">
        <x:v>Rotor + nacelle + tower</x:v>
      </x:c>
      <x:c r="C5" s="20" t="str">
        <x:v>primary dependency-safe candidate</x:v>
      </x:c>
      <x:c r="D5" s="20" t="str">
        <x:v>individual turbine/rotor</x:v>
      </x:c>
      <x:c r="E5" s="20" t="str">
        <x:v>1,090 USD/kW</x:v>
      </x:c>
      <x:c r="F5" s="20" t="str">
        <x:v>no curve</x:v>
      </x:c>
      <x:c r="G5" s="20" t="str">
        <x:v>All-severity mutually exclusive state/cost model</x:v>
      </x:c>
    </x:row>
    <x:row r="6" ht="15" hidden="0" customHeight="1">
      <x:c r="A6" s="20" t="str">
        <x:v>WT_FOUNDATION</x:v>
      </x:c>
      <x:c r="B6" s="20" t="str">
        <x:v>Foundation/base</x:v>
      </x:c>
      <x:c r="C6" s="20" t="str">
        <x:v>separate primary candidate</x:v>
      </x:c>
      <x:c r="D6" s="20" t="str">
        <x:v>turbine point</x:v>
      </x:c>
      <x:c r="E6" s="20" t="str">
        <x:v>120 USD/kW</x:v>
      </x:c>
      <x:c r="F6" s="20" t="str">
        <x:v>withheld, not zero</x:v>
      </x:c>
      <x:c r="G6" s="20" t="str">
        <x:v>Capacity/disposition and equipment precedence</x:v>
      </x:c>
    </x:row>
    <x:row r="7" ht="15" hidden="0" customHeight="1">
      <x:c r="A7" s="20" t="str">
        <x:v>WT_EXTERNAL_ELECTRICAL</x:v>
      </x:c>
      <x:c r="B7" s="20" t="str">
        <x:v>Pad + collection + substation/control rollup</x:v>
      </x:c>
      <x:c r="C7" s="20" t="str">
        <x:v>decomposition gate</x:v>
      </x:c>
      <x:c r="D7" s="20" t="str">
        <x:v>point + line/network + shared point</x:v>
      </x:c>
      <x:c r="E7" s="20" t="str">
        <x:v>72 USD/kW</x:v>
      </x:c>
      <x:c r="F7" s="20" t="str">
        <x:v>split required</x:v>
      </x:c>
      <x:c r="G7" s="20" t="str">
        <x:v>Component value and matched demand/exposure</x:v>
      </x:c>
    </x:row>
    <x:row r="8" ht="15" hidden="0" customHeight="1">
      <x:c r="A8" s="20" t="str">
        <x:v>WT_CIVIL_INFRA</x:v>
      </x:c>
      <x:c r="B8" s="20" t="str">
        <x:v>Roads + pads + buildings + fences/facilities</x:v>
      </x:c>
      <x:c r="C8" s="20" t="str">
        <x:v>decomposition gate</x:v>
      </x:c>
      <x:c r="D8" s="20" t="str">
        <x:v>line/network/polygon</x:v>
      </x:c>
      <x:c r="E8" s="20" t="str">
        <x:v>47 USD/kW</x:v>
      </x:c>
      <x:c r="F8" s="20" t="str">
        <x:v>split required</x:v>
      </x:c>
      <x:c r="G8" s="20" t="str">
        <x:v>Physical subject and wind response</x:v>
      </x:c>
    </x:row>
    <x:row r="9" ht="15" hidden="0" customHeight="1">
      <x:c r="A9" s="20" t="str">
        <x:v>SUPPORT_FIELDWORK</x:v>
      </x:c>
      <x:c r="B9" s="20" t="str">
        <x:v>Assembly and installation</x:v>
      </x:c>
      <x:c r="C9" s="20" t="str">
        <x:v>support allocation</x:v>
      </x:c>
      <x:c r="D9" s="20" t="str">
        <x:v>post-damage repair scope</x:v>
      </x:c>
      <x:c r="E9" s="20" t="str">
        <x:v>100 USD/kW</x:v>
      </x:c>
      <x:c r="F9" s="20" t="str">
        <x:v>no curve</x:v>
      </x:c>
      <x:c r="G9" s="20" t="str">
        <x:v>Claims/site allocation rule</x:v>
      </x:c>
    </x:row>
    <x:row r="10" ht="15" hidden="0" customHeight="1">
      <x:c r="A10" s="20" t="str">
        <x:v>SUPPORT_TRANSPORT_LOGISTICS</x:v>
      </x:c>
      <x:c r="B10" s="20" t="str">
        <x:v>Turbine transport</x:v>
      </x:c>
      <x:c r="C10" s="20" t="str">
        <x:v>support allocation</x:v>
      </x:c>
      <x:c r="D10" s="20" t="str">
        <x:v>replacement/logistics scope</x:v>
      </x:c>
      <x:c r="E10" s="20" t="str">
        <x:v>194 USD/kW</x:v>
      </x:c>
      <x:c r="F10" s="20" t="str">
        <x:v>no curve</x:v>
      </x:c>
      <x:c r="G10" s="20" t="str">
        <x:v>Distance, crane, access and replacement rule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48" hidden="0" customWidth="1"/>
  </x:cols>
  <x:sheetData>
    <x:row r="1" ht="21.600000381469727" hidden="0" customHeight="1">
      <x:c r="A1" s="3" t="str">
        <x:v>Candidate structural fragility audit — never runtime DR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5" hidden="0" customHeight="1">
      <x:c r="A2" s="7" t="str">
        <x:v>Published equations reproduced on native axes. Numeric values stay in this audit layer and are excluded from curve_records/KAT outputs.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/>
    <x:row r="4" ht="15" hidden="0" customHeight="1">
      <x:c r="A4" s="84" t="str">
        <x:v>Jaimes et al. DS3: tower-wall buckling with collapse assumed • 3-second peak gust at 10 m • modeled range 108–252 km/h • H:K are editable native-axis speed fixtures</x:v>
      </x:c>
      <x:c r="B4" s="85"/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6"/>
    </x:row>
    <x:row r="5" ht="15" hidden="0" customHeight="1">
      <x:c r="A5" s="13" t="str">
        <x:v>Candidate</x:v>
      </x:c>
      <x:c r="B5" s="13" t="str">
        <x:v>Rating MW</x:v>
      </x:c>
      <x:c r="C5" s="13" t="str">
        <x:v>Hub m</x:v>
      </x:c>
      <x:c r="D5" s="13" t="str">
        <x:v>Rotor m</x:v>
      </x:c>
      <x:c r="E5" s="13" t="str">
        <x:v>mu ln(km/h)</x:v>
      </x:c>
      <x:c r="F5" s="13" t="str">
        <x:v>sigma</x:v>
      </x:c>
      <x:c r="G5" s="13" t="str">
        <x:v>Median km/h</x:v>
      </x:c>
      <x:c r="H5" s="87" t="n">
        <x:v>160</x:v>
      </x:c>
      <x:c r="I5" s="87" t="n">
        <x:v>180</x:v>
      </x:c>
      <x:c r="J5" s="87" t="n">
        <x:v>200</x:v>
      </x:c>
      <x:c r="K5" s="87" t="n">
        <x:v>220</x:v>
      </x:c>
      <x:c r="L5" s="13" t="str">
        <x:v>Runtime enabled</x:v>
      </x:c>
      <x:c r="M5" s="13" t="str">
        <x:v>Endpoint/use</x:v>
      </x:c>
    </x:row>
    <x:row r="6" ht="15" hidden="0" customHeight="1">
      <x:c r="A6" s="20" t="str">
        <x:v>JAIMES_DS3_1MW</x:v>
      </x:c>
      <x:c r="B6" s="20" t="n">
        <x:v>1</x:v>
      </x:c>
      <x:c r="C6" s="20" t="n">
        <x:v>44</x:v>
      </x:c>
      <x:c r="D6" s="20" t="n">
        <x:v>50</x:v>
      </x:c>
      <x:c r="E6" s="88" t="n">
        <x:v>5.3165</x:v>
      </x:c>
      <x:c r="F6" s="88" t="n">
        <x:v>0.0485</x:v>
      </x:c>
      <x:c r="G6" s="88" t="n">
        <x:f>EXP(E6)</x:f>
        <x:v>203.66978879805362</x:v>
      </x:c>
      <x:c r="H6" s="88" t="n">
        <x:f>NORM.S.DIST((LN(H$5)-$E6)/$F6,TRUE)</x:f>
        <x:v>3.248975448677527e-7</x:v>
      </x:c>
      <x:c r="I6" s="88" t="n">
        <x:f>NORM.S.DIST((LN(I$5)-$E6)/$F6,TRUE)</x:f>
        <x:v>0.005428292029222348</x:v>
      </x:c>
      <x:c r="J6" s="88" t="n">
        <x:f>NORM.S.DIST((LN(J$5)-$E6)/$F6,TRUE)</x:f>
        <x:v>0.35386754641430995</x:v>
      </x:c>
      <x:c r="K6" s="88" t="n">
        <x:f>NORM.S.DIST((LN(K$5)-$E6)/$F6,TRUE)</x:f>
        <x:v>0.9441117466745194</x:v>
      </x:c>
      <x:c r="L6" s="21" t="b">
        <x:v>0</x:v>
      </x:c>
      <x:c r="M6" s="20" t="str">
        <x:v>Exact generic archetype; audit-only structural probability</x:v>
      </x:c>
    </x:row>
    <x:row r="7" ht="15" hidden="0" customHeight="1">
      <x:c r="A7" s="20" t="str">
        <x:v>JAIMES_DS3_2P5MW</x:v>
      </x:c>
      <x:c r="B7" s="20" t="n">
        <x:v>2.5</x:v>
      </x:c>
      <x:c r="C7" s="20" t="n">
        <x:v>80</x:v>
      </x:c>
      <x:c r="D7" s="20" t="n">
        <x:v>90</x:v>
      </x:c>
      <x:c r="E7" s="88" t="n">
        <x:v>5.2276</x:v>
      </x:c>
      <x:c r="F7" s="88" t="n">
        <x:v>0.0516</x:v>
      </x:c>
      <x:c r="G7" s="88" t="n">
        <x:f>EXP(E7)</x:f>
        <x:v>186.34503832488127</x:v>
      </x:c>
      <x:c r="H7" s="88" t="n">
        <x:f>NORM.S.DIST((LN(H$5)-$E7)/$F7,TRUE)</x:f>
        <x:v>0.0015684412277022775</x:v>
      </x:c>
      <x:c r="I7" s="88" t="n">
        <x:f>NORM.S.DIST((LN(I$5)-$E7)/$F7,TRUE)</x:f>
        <x:v>0.25098960470001175</x:v>
      </x:c>
      <x:c r="J7" s="88" t="n">
        <x:f>NORM.S.DIST((LN(J$5)-$E7)/$F7,TRUE)</x:f>
        <x:v>0.9147332520848093</x:v>
      </x:c>
      <x:c r="K7" s="88" t="n">
        <x:f>NORM.S.DIST((LN(K$5)-$E7)/$F7,TRUE)</x:f>
        <x:v>0.9993536334228672</x:v>
      </x:c>
      <x:c r="L7" s="21" t="b">
        <x:v>0</x:v>
      </x:c>
      <x:c r="M7" s="20" t="str">
        <x:v>Exact generic archetype; audit-only structural probability</x:v>
      </x:c>
    </x:row>
    <x:row r="8" ht="15" hidden="0" customHeight="1">
      <x:c r="A8" s="20" t="str">
        <x:v>JAIMES_DS3_3P3MW</x:v>
      </x:c>
      <x:c r="B8" s="20" t="n">
        <x:v>3.3</x:v>
      </x:c>
      <x:c r="C8" s="20" t="n">
        <x:v>100</x:v>
      </x:c>
      <x:c r="D8" s="20" t="n">
        <x:v>114</x:v>
      </x:c>
      <x:c r="E8" s="88" t="n">
        <x:v>5.1642</x:v>
      </x:c>
      <x:c r="F8" s="88" t="n">
        <x:v>0.0567</x:v>
      </x:c>
      <x:c r="G8" s="88" t="n">
        <x:f>EXP(E8)</x:f>
        <x:v>174.89748460199343</x:v>
      </x:c>
      <x:c r="H8" s="88" t="n">
        <x:f>NORM.S.DIST((LN(H$5)-$E8)/$F8,TRUE)</x:f>
        <x:v>0.05819281724290104</x:v>
      </x:c>
      <x:c r="I8" s="88" t="n">
        <x:f>NORM.S.DIST((LN(I$5)-$E8)/$F8,TRUE)</x:f>
        <x:v>0.6939841583023916</x:v>
      </x:c>
      <x:c r="J8" s="88" t="n">
        <x:f>NORM.S.DIST((LN(J$5)-$E8)/$F8,TRUE)</x:f>
        <x:v>0.9909943478390106</x:v>
      </x:c>
      <x:c r="K8" s="88" t="n">
        <x:f>NORM.S.DIST((LN(K$5)-$E8)/$F8,TRUE)</x:f>
        <x:v>0.9999739878064842</x:v>
      </x:c>
      <x:c r="L8" s="21" t="b">
        <x:v>0</x:v>
      </x:c>
      <x:c r="M8" s="20" t="str">
        <x:v>Exact generic archetype; audit-only structural probability</x:v>
      </x:c>
    </x:row>
    <x:row r="9"/>
    <x:row r="10"/>
    <x:row r="11" ht="15" hidden="0" customHeight="1">
      <x:c r="A11" s="93" t="str">
        <x:v>Rose et al.: binary NREL 5-MW tower buckling • 10-minute hub-height wind • adjacent validation only • D:I are editable native-axis speed fixtures</x:v>
      </x:c>
      <x:c r="B11" s="94"/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5"/>
    </x:row>
    <x:row r="12"/>
    <x:row r="13" ht="15" hidden="0" customHeight="1">
      <x:c r="A13" s="13" t="str">
        <x:v>State</x:v>
      </x:c>
      <x:c r="B13" s="13" t="str">
        <x:v>alpha knots</x:v>
      </x:c>
      <x:c r="C13" s="13" t="str">
        <x:v>beta</x:v>
      </x:c>
      <x:c r="D13" s="96" t="n">
        <x:v>100</x:v>
      </x:c>
      <x:c r="E13" s="96" t="n">
        <x:v>120</x:v>
      </x:c>
      <x:c r="F13" s="96" t="n">
        <x:v>140</x:v>
      </x:c>
      <x:c r="G13" s="96" t="n">
        <x:v>160</x:v>
      </x:c>
      <x:c r="H13" s="96" t="n">
        <x:v>174</x:v>
      </x:c>
      <x:c r="I13" s="96" t="n">
        <x:v>200</x:v>
      </x:c>
      <x:c r="J13" s="13" t="str">
        <x:v>Runtime enabled</x:v>
      </x:c>
      <x:c r="K13" s="13" t="str">
        <x:v>Endpoint/use</x:v>
      </x:c>
    </x:row>
    <x:row r="14" ht="36" hidden="0" customHeight="1">
      <x:c r="A14" s="20" t="str">
        <x:v>Active yaw aligned</x:v>
      </x:c>
      <x:c r="B14" s="20" t="n">
        <x:v>174</x:v>
      </x:c>
      <x:c r="C14" s="20" t="n">
        <x:v>19.3</x:v>
      </x:c>
      <x:c r="D14" s="88" t="n">
        <x:f>1/(1+($B14/D$13)^$C14)</x:f>
        <x:v>0.000022771394044046398</x:v>
      </x:c>
      <x:c r="E14" s="88" t="n">
        <x:f>1/(1+($B14/E$13)^$C14)</x:f>
        <x:v>0.0007678280354115277</x:v>
      </x:c>
      <x:c r="F14" s="88" t="n">
        <x:f>1/(1+($B14/F$13)^$C14)</x:f>
        <x:v>0.01483136669511884</x:v>
      </x:c>
      <x:c r="G14" s="88" t="n">
        <x:f>1/(1+($B14/G$13)^$C14)</x:f>
        <x:v>0.1653548849061324</x:v>
      </x:c>
      <x:c r="H14" s="88" t="n">
        <x:f>1/(1+($B14/H$13)^$C14)</x:f>
        <x:v>0.5</x:v>
      </x:c>
      <x:c r="I14" s="88" t="n">
        <x:f>1/(1+($B14/I$13)^$C14)</x:f>
        <x:v>0.9363003891154603</x:v>
      </x:c>
      <x:c r="J14" s="21" t="b">
        <x:v>0</x:v>
      </x:c>
      <x:c r="K14" s="20" t="str">
        <x:v>Binary tower buckling; adjacent validation</x:v>
      </x:c>
    </x:row>
    <x:row r="15" ht="36" hidden="0" customHeight="1">
      <x:c r="A15" s="20" t="str">
        <x:v>Perpendicular non-yaw</x:v>
      </x:c>
      <x:c r="B15" s="20" t="n">
        <x:v>140</x:v>
      </x:c>
      <x:c r="C15" s="20" t="n">
        <x:v>18.6</x:v>
      </x:c>
      <x:c r="D15" s="88" t="n">
        <x:f>1/(1+($B15/D$13)^$C15)</x:f>
        <x:v>0.0019106799437608958</x:v>
      </x:c>
      <x:c r="E15" s="88" t="n">
        <x:f>1/(1+($B15/E$13)^$C15)</x:f>
        <x:v>0.05379887251622885</x:v>
      </x:c>
      <x:c r="F15" s="88" t="n">
        <x:f>1/(1+($B15/F$13)^$C15)</x:f>
        <x:v>0.5</x:v>
      </x:c>
      <x:c r="G15" s="88" t="n">
        <x:f>1/(1+($B15/G$13)^$C15)</x:f>
        <x:v>0.9229900558797602</x:v>
      </x:c>
      <x:c r="H15" s="88" t="n">
        <x:f>1/(1+($B15/H$13)^$C15)</x:f>
        <x:v>0.9827726488225195</x:v>
      </x:c>
      <x:c r="I15" s="88" t="n">
        <x:f>1/(1+($B15/I$13)^$C15)</x:f>
        <x:v>0.9986870355827488</x:v>
      </x:c>
      <x:c r="J15" s="21" t="b">
        <x:v>0</x:v>
      </x:c>
      <x:c r="K15" s="20" t="str">
        <x:v>Binary tower buckling; adjacent validation</x:v>
      </x:c>
    </x:row>
    <x:row r="16"/>
    <x:row r="17"/>
    <x:row r="18">
      <x:c r="A18" s="56" t="str">
        <x:v>WITHHOLDING RULE: P(structural state) ≠ conditional economic damage ratio. Missing all-severity states, disposition, same-unit cost, target-fleet transfer, and plant-system coverage block runtime use.</x:v>
      </x:c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8"/>
    </x:row>
    <x:row r="19">
      <x:c r="A19" s="59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1"/>
    </x:row>
  </x:sheetData>
  <x:mergeCells>
    <x:mergeCell ref="A1:M1"/>
    <x:mergeCell ref="A2:M2"/>
    <x:mergeCell ref="A4:M4"/>
    <x:mergeCell ref="A11:M11"/>
    <x:mergeCell ref="A18:M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1.600000381469727" hidden="0" customHeight="1">
      <x:c r="A1" s="3" t="str">
        <x:v>Site and event-condition adapter</x:v>
      </x:c>
      <x:c r="B1" s="3"/>
      <x:c r="C1" s="3"/>
      <x:c r="D1" s="3"/>
      <x:c r="E1" s="3"/>
      <x:c r="F1" s="3"/>
      <x:c r="G1" s="3"/>
    </x:row>
    <x:row r="2" ht="15" hidden="0" customHeight="1">
      <x:c r="A2" s="7" t="str">
        <x:v>Specified but not parameterized: no bridge factor, conditioner multiplier, or protection credit is active.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3" t="str">
        <x:v>Role</x:v>
      </x:c>
      <x:c r="B4" s="13" t="str">
        <x:v>Fields/examples</x:v>
      </x:c>
      <x:c r="C4" s="13" t="str">
        <x:v>Permitted effect</x:v>
      </x:c>
      <x:c r="D4" s="13" t="str">
        <x:v>v0.1 behavior</x:v>
      </x:c>
      <x:c r="E4" s="13" t="str">
        <x:v>Missing behavior</x:v>
      </x:c>
      <x:c r="F4" s="13" t="str">
        <x:v>Double-count guardrail</x:v>
      </x:c>
      <x:c r="G4" s="13" t="str">
        <x:v>Evidence/status</x:v>
      </x:c>
    </x:row>
    <x:row r="5" ht="15" hidden="0" customHeight="1">
      <x:c r="A5" s="20" t="str">
        <x:v>Identity</x:v>
      </x:c>
      <x:c r="B5" s="20" t="str">
        <x:v>event_id, event_family_id, pathway_id</x:v>
      </x:c>
      <x:c r="C5" s="20" t="str">
        <x:v>route occurrence and compound family</x:v>
      </x:c>
      <x:c r="D5" s="20" t="str">
        <x:v>exact tropical_cyclone_wind only</x:v>
      </x:c>
      <x:c r="E5" s="20" t="str">
        <x:v>reject</x:v>
      </x:c>
      <x:c r="F5" s="20" t="str">
        <x:v>No speed-based fallback</x:v>
      </x:c>
      <x:c r="G5" s="20" t="str">
        <x:v>governance</x:v>
      </x:c>
    </x:row>
    <x:row r="6" ht="15" hidden="0" customHeight="1">
      <x:c r="A6" s="20" t="str">
        <x:v>Source wind</x:v>
      </x:c>
      <x:c r="B6" s="20" t="str">
        <x:v>speed, height, averaging, exposure, product, time</x:v>
      </x:c>
      <x:c r="C6" s="20" t="str">
        <x:v>preserve source-native field</x:v>
      </x:c>
      <x:c r="D6" s="20" t="str">
        <x:v>research-state validation</x:v>
      </x:c>
      <x:c r="E6" s="20" t="str">
        <x:v>reject/withhold</x:v>
      </x:c>
      <x:c r="F6" s="20" t="str">
        <x:v>Category is context only</x:v>
      </x:c>
      <x:c r="G6" s="20" t="str">
        <x:v>NHC</x:v>
      </x:c>
    </x:row>
    <x:row r="7" ht="15" hidden="0" customHeight="1">
      <x:c r="A7" s="20" t="str">
        <x:v>Axis bridge</x:v>
      </x:c>
      <x:c r="B7" s="20" t="str">
        <x:v>height/time/gust/terrain/duration/direction/turbulence</x:v>
      </x:c>
      <x:c r="C7" s="20" t="str">
        <x:v>produce delivered turbine demand</x:v>
      </x:c>
      <x:c r="D7" s="20" t="str">
        <x:v>none approved</x:v>
      </x:c>
      <x:c r="E7" s="20" t="str">
        <x:v>withhold</x:v>
      </x:c>
      <x:c r="F7" s="20" t="str">
        <x:v>One named transformation only</x:v>
      </x:c>
      <x:c r="G7" s="20" t="str">
        <x:v>open gate</x:v>
      </x:c>
    </x:row>
    <x:row r="8" ht="15" hidden="0" customHeight="1">
      <x:c r="A8" s="20" t="str">
        <x:v>Selector</x:v>
      </x:c>
      <x:c r="B8" s="20" t="str">
        <x:v>model, rating, hub/rotor, tower, class, TMD, vintage</x:v>
      </x:c>
      <x:c r="C8" s="20" t="str">
        <x:v>choose verified archetype</x:v>
      </x:c>
      <x:c r="D8" s="20" t="str">
        <x:v>capture only</x:v>
      </x:c>
      <x:c r="E8" s="20" t="str">
        <x:v>no credit/default</x:v>
      </x:c>
      <x:c r="F8" s="20" t="str">
        <x:v>Do not alter exposure/value</x:v>
      </x:c>
      <x:c r="G8" s="20" t="str">
        <x:v>partial</x:v>
      </x:c>
    </x:row>
    <x:row r="9" ht="15" hidden="0" customHeight="1">
      <x:c r="A9" s="20" t="str">
        <x:v>Conditioner</x:v>
      </x:c>
      <x:c r="B9" s="20" t="str">
        <x:v>operating, yaw, pitch, brake, grid, backup</x:v>
      </x:c>
      <x:c r="C9" s="20" t="str">
        <x:v>choose/modify validated state response</x:v>
      </x:c>
      <x:c r="D9" s="20" t="str">
        <x:v>capture only</x:v>
      </x:c>
      <x:c r="E9" s="20" t="str">
        <x:v>unknown no credit</x:v>
      </x:c>
      <x:c r="F9" s="20" t="str">
        <x:v>No second value/exposure discount</x:v>
      </x:c>
      <x:c r="G9" s="20" t="str">
        <x:v>mechanism only</x:v>
      </x:c>
    </x:row>
    <x:row r="10" ht="15" hidden="0" customHeight="1">
      <x:c r="A10" s="20" t="str">
        <x:v>Exposure</x:v>
      </x:c>
      <x:c r="B10" s="20" t="str">
        <x:v>turbine point, line/network, shared point/polygon</x:v>
      </x:c>
      <x:c r="C10" s="20" t="str">
        <x:v>identify matching value touched</x:v>
      </x:c>
      <x:c r="D10" s="20" t="str">
        <x:v>explicit by subject</x:v>
      </x:c>
      <x:c r="E10" s="20" t="str">
        <x:v>no whole-site default</x:v>
      </x:c>
      <x:c r="F10" s="20" t="str">
        <x:v>Do not alter intrinsic fragility</x:v>
      </x:c>
      <x:c r="G10" s="20" t="str">
        <x:v>structure only</x:v>
      </x:c>
    </x:row>
    <x:row r="11" ht="15" hidden="0" customHeight="1">
      <x:c r="A11" s="20" t="str">
        <x:v>Value</x:v>
      </x:c>
      <x:c r="B11" s="20" t="str">
        <x:v>same-unit direct replacement value</x:v>
      </x:c>
      <x:c r="C11" s="20" t="str">
        <x:v>convert DR to direct cost</x:v>
      </x:c>
      <x:c r="D11" s="20" t="str">
        <x:v>reference ledger only</x:v>
      </x:c>
      <x:c r="E11" s="20" t="str">
        <x:v>loss withheld</x:v>
      </x:c>
      <x:c r="F11" s="20" t="str">
        <x:v>No full-TIV scaling</x:v>
      </x:c>
      <x:c r="G11" s="20" t="str">
        <x:v>NREL reference</x:v>
      </x:c>
    </x:row>
    <x:row r="12" ht="15" hidden="0" customHeight="1">
      <x:c r="A12" s="20" t="str">
        <x:v>Support</x:v>
      </x:c>
      <x:c r="B12" s="20" t="str">
        <x:v>fieldwork, transport</x:v>
      </x:c>
      <x:c r="C12" s="20" t="str">
        <x:v>allocate once after disposition</x:v>
      </x:c>
      <x:c r="D12" s="20" t="str">
        <x:v>rule open</x:v>
      </x:c>
      <x:c r="E12" s="20" t="str">
        <x:v>withhold loss</x:v>
      </x:c>
      <x:c r="F12" s="20" t="str">
        <x:v>No independent DR</x:v>
      </x:c>
      <x:c r="G12" s="20" t="str">
        <x:v>Tier 4</x:v>
      </x:c>
    </x:row>
    <x:row r="13"/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</x:cols>
  <x:sheetData>
    <x:row r="1" ht="21.600000381469727" hidden="0" customHeight="1">
      <x:c r="A1" s="3" t="str">
        <x:v>Legacy numerical audit — rejected for runtime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7" t="str">
        <x:v>Formula-driven reproduction of table mismatches and rotor aggregation defects; retained only for migration/source discovery.</x:v>
      </x:c>
      <x:c r="B2" s="7"/>
      <x:c r="C2" s="7"/>
      <x:c r="D2" s="7"/>
      <x:c r="E2" s="7"/>
      <x:c r="F2" s="7"/>
      <x:c r="G2" s="7"/>
      <x:c r="H2" s="7"/>
      <x:c r="I2" s="7"/>
    </x:row>
    <x:row r="3"/>
    <x:row r="4" ht="15" hidden="0" customHeight="1">
      <x:c r="A4" s="13" t="str">
        <x:v>Check</x:v>
      </x:c>
      <x:c r="B4" s="13" t="str">
        <x:v>x mph</x:v>
      </x:c>
      <x:c r="C4" s="13" t="str">
        <x:v>L</x:v>
      </x:c>
      <x:c r="D4" s="13" t="str">
        <x:v>k</x:v>
      </x:c>
      <x:c r="E4" s="13" t="str">
        <x:v>x0 mph</x:v>
      </x:c>
      <x:c r="F4" s="13" t="str">
        <x:v>Printed table</x:v>
      </x:c>
      <x:c r="G4" s="13" t="str">
        <x:v>Recalculated</x:v>
      </x:c>
      <x:c r="H4" s="13" t="str">
        <x:v>Difference</x:v>
      </x:c>
      <x:c r="I4" s="13" t="str">
        <x:v>Decision</x:v>
      </x:c>
    </x:row>
    <x:row r="5" ht="15" hidden="0" customHeight="1">
      <x:c r="A5" s="20" t="str">
        <x:v>Blade at 130 mph</x:v>
      </x:c>
      <x:c r="B5" s="20" t="n">
        <x:v>130</x:v>
      </x:c>
      <x:c r="C5" s="88" t="n">
        <x:v>0.9</x:v>
      </x:c>
      <x:c r="D5" s="88" t="n">
        <x:v>0.0669</x:v>
      </x:c>
      <x:c r="E5" s="88" t="n">
        <x:v>118</x:v>
      </x:c>
      <x:c r="F5" s="88" t="n">
        <x:v>0.569</x:v>
      </x:c>
      <x:c r="G5" s="88" t="n">
        <x:f>C5/(1+EXP(-D5*(B5-E5)))</x:f>
        <x:v>0.62151579851334</x:v>
      </x:c>
      <x:c r="H5" s="88" t="n">
        <x:f>G5-F5</x:f>
        <x:v>0.052515798513340095</x:v>
      </x:c>
      <x:c r="I5" s="20" t="str">
        <x:v>reject</x:v>
      </x:c>
    </x:row>
    <x:row r="6" ht="15" hidden="0" customHeight="1">
      <x:c r="A6" s="20" t="str">
        <x:v>Nacelle at 96 mph</x:v>
      </x:c>
      <x:c r="B6" s="20" t="n">
        <x:v>96</x:v>
      </x:c>
      <x:c r="C6" s="88" t="n">
        <x:v>0.65</x:v>
      </x:c>
      <x:c r="D6" s="88" t="n">
        <x:v>0.0541</x:v>
      </x:c>
      <x:c r="E6" s="88" t="n">
        <x:v>130</x:v>
      </x:c>
      <x:c r="F6" s="88" t="n">
        <x:v>0.069</x:v>
      </x:c>
      <x:c r="G6" s="88" t="n">
        <x:f>C6/(1+EXP(-D6*(B6-E6)))</x:f>
        <x:v>0.08912947483132702</x:v>
      </x:c>
      <x:c r="H6" s="88" t="n">
        <x:f>G6-F6</x:f>
        <x:v>0.020129474831327016</x:v>
      </x:c>
      <x:c r="I6" s="20" t="str">
        <x:v>reject</x:v>
      </x:c>
    </x:row>
    <x:row r="7" ht="15" hidden="0" customHeight="1">
      <x:c r="A7" s="20" t="str">
        <x:v>Foundation at 130 mph</x:v>
      </x:c>
      <x:c r="B7" s="20" t="n">
        <x:v>130</x:v>
      </x:c>
      <x:c r="C7" s="88" t="n">
        <x:v>0.5</x:v>
      </x:c>
      <x:c r="D7" s="88" t="n">
        <x:v>0.0722</x:v>
      </x:c>
      <x:c r="E7" s="88" t="n">
        <x:v>155</x:v>
      </x:c>
      <x:c r="F7" s="88" t="n">
        <x:v>0.059</x:v>
      </x:c>
      <x:c r="G7" s="88" t="n">
        <x:f>C7/(1+EXP(-D7*(B7-E7)))</x:f>
        <x:v>0.07062175372253744</x:v>
      </x:c>
      <x:c r="H7" s="88" t="n">
        <x:f>G7-F7</x:f>
        <x:v>0.011621753722537445</x:v>
      </x:c>
      <x:c r="I7" s="20" t="str">
        <x:v>reject</x:v>
      </x:c>
    </x:row>
    <x:row r="8"/>
    <x:row r="9"/>
    <x:row r="10"/>
    <x:row r="11" ht="15" hidden="0" customHeight="1">
      <x:c r="A11" s="67" t="str">
        <x:v>Rotor component</x:v>
      </x:c>
      <x:c r="B11" s="67" t="str">
        <x:v>Weight</x:v>
      </x:c>
      <x:c r="C11" s="67" t="str">
        <x:v>Cap</x:v>
      </x:c>
      <x:c r="D11" s="67" t="str">
        <x:v>Weighted cap</x:v>
      </x:c>
    </x:row>
    <x:row r="12" ht="15" hidden="0" customHeight="1">
      <x:c r="A12" s="20" t="str">
        <x:v>Blade</x:v>
      </x:c>
      <x:c r="B12" s="88" t="n">
        <x:v>0.55</x:v>
      </x:c>
      <x:c r="C12" s="88" t="n">
        <x:v>0.9</x:v>
      </x:c>
      <x:c r="D12" s="88" t="n">
        <x:f>B12*C12</x:f>
        <x:v>0.49500000000000005</x:v>
      </x:c>
    </x:row>
    <x:row r="13" ht="15" hidden="0" customHeight="1">
      <x:c r="A13" s="20" t="str">
        <x:v>Hub</x:v>
      </x:c>
      <x:c r="B13" s="88" t="n">
        <x:v>0.25</x:v>
      </x:c>
      <x:c r="C13" s="88" t="n">
        <x:v>0.7</x:v>
      </x:c>
      <x:c r="D13" s="88" t="n">
        <x:f>B13*C13</x:f>
        <x:v>0.175</x:v>
      </x:c>
    </x:row>
    <x:row r="14" ht="15" hidden="0" customHeight="1">
      <x:c r="A14" s="20" t="str">
        <x:v>Pitch</x:v>
      </x:c>
      <x:c r="B14" s="88" t="n">
        <x:v>0.2</x:v>
      </x:c>
      <x:c r="C14" s="88" t="n">
        <x:v>0.75</x:v>
      </x:c>
      <x:c r="D14" s="88" t="n">
        <x:f>B14*C14</x:f>
        <x:v>0.15000000000000002</x:v>
      </x:c>
    </x:row>
    <x:row r="15" ht="15" hidden="0" customHeight="1">
      <x:c r="A15" s="20" t="str">
        <x:v>Weighted total</x:v>
      </x:c>
      <x:c r="B15" s="88"/>
      <x:c r="C15" s="88"/>
      <x:c r="D15" s="88" t="n">
        <x:f>SUM(D12:D14)</x:f>
        <x:v>0.8200000000000001</x:v>
      </x:c>
    </x:row>
    <x:row r="16" ht="15" hidden="0" customHeight="1">
      <x:c r="A16" s="20" t="str">
        <x:v>Published aggregate cap</x:v>
      </x:c>
      <x:c r="B16" s="88"/>
      <x:c r="C16" s="88" t="n">
        <x:v>0.88</x:v>
      </x:c>
      <x:c r="D16" s="88"/>
    </x:row>
    <x:row r="17"/>
    <x:row r="18"/>
    <x:row r="19" ht="15" hidden="0" customHeight="1">
      <x:c r="A19" s="13" t="str">
        <x:v>130-mph component</x:v>
      </x:c>
      <x:c r="B19" s="13" t="str">
        <x:v>Weight</x:v>
      </x:c>
      <x:c r="C19" s="13" t="str">
        <x:v>L</x:v>
      </x:c>
      <x:c r="D19" s="13" t="str">
        <x:v>k</x:v>
      </x:c>
      <x:c r="E19" s="13" t="str">
        <x:v>x0</x:v>
      </x:c>
      <x:c r="F19" s="13" t="str">
        <x:v>Curve value</x:v>
      </x:c>
      <x:c r="G19" s="13" t="str">
        <x:v>Weighted value</x:v>
      </x:c>
    </x:row>
    <x:row r="20" ht="15" hidden="0" customHeight="1">
      <x:c r="A20" s="20" t="str">
        <x:v>Blade</x:v>
      </x:c>
      <x:c r="B20" s="88" t="n">
        <x:v>0.55</x:v>
      </x:c>
      <x:c r="C20" s="88" t="n">
        <x:v>0.9</x:v>
      </x:c>
      <x:c r="D20" s="88" t="n">
        <x:v>0.0669</x:v>
      </x:c>
      <x:c r="E20" s="88" t="n">
        <x:v>118</x:v>
      </x:c>
      <x:c r="F20" s="88" t="n">
        <x:f>C20/(1+EXP(-D20*(130-E20)))</x:f>
        <x:v>0.62151579851334</x:v>
      </x:c>
      <x:c r="G20" s="88" t="n">
        <x:f>B20*F20</x:f>
        <x:v>0.34183368918233703</x:v>
      </x:c>
    </x:row>
    <x:row r="21" ht="15" hidden="0" customHeight="1">
      <x:c r="A21" s="20" t="str">
        <x:v>Hub</x:v>
      </x:c>
      <x:c r="B21" s="88" t="n">
        <x:v>0.25</x:v>
      </x:c>
      <x:c r="C21" s="88" t="n">
        <x:v>0.7</x:v>
      </x:c>
      <x:c r="D21" s="88" t="n">
        <x:v>0.0896</x:v>
      </x:c>
      <x:c r="E21" s="88" t="n">
        <x:v>130</x:v>
      </x:c>
      <x:c r="F21" s="88" t="n">
        <x:f>C21/(1+EXP(-D21*(130-E21)))</x:f>
        <x:v>0.35</x:v>
      </x:c>
      <x:c r="G21" s="88" t="n">
        <x:f>B21*F21</x:f>
        <x:v>0.0875</x:v>
      </x:c>
    </x:row>
    <x:row r="22" ht="15" hidden="0" customHeight="1">
      <x:c r="A22" s="20" t="str">
        <x:v>Pitch</x:v>
      </x:c>
      <x:c r="B22" s="88" t="n">
        <x:v>0.2</x:v>
      </x:c>
      <x:c r="C22" s="88" t="n">
        <x:v>0.75</x:v>
      </x:c>
      <x:c r="D22" s="88" t="n">
        <x:v>0.095</x:v>
      </x:c>
      <x:c r="E22" s="88" t="n">
        <x:v>105</x:v>
      </x:c>
      <x:c r="F22" s="88" t="n">
        <x:f>C22/(1+EXP(-D22*(130-E22)))</x:f>
        <x:v>0.6861757162447348</x:v>
      </x:c>
      <x:c r="G22" s="88" t="n">
        <x:f>B22*F22</x:f>
        <x:v>0.13723514324894698</x:v>
      </x:c>
    </x:row>
    <x:row r="23" ht="15" hidden="0" customHeight="1">
      <x:c r="A23" s="20" t="str">
        <x:v>Weighted component total</x:v>
      </x:c>
      <x:c r="B23" s="88"/>
      <x:c r="C23" s="88"/>
      <x:c r="D23" s="88"/>
      <x:c r="E23" s="88"/>
      <x:c r="F23" s="88"/>
      <x:c r="G23" s="88" t="n">
        <x:f>SUM(G20:G22)</x:f>
        <x:v>0.5665688324312841</x:v>
      </x:c>
    </x:row>
    <x:row r="24" ht="15" hidden="0" customHeight="1">
      <x:c r="B24" s="97"/>
      <x:c r="C24" s="97"/>
      <x:c r="D24" s="97"/>
      <x:c r="E24" s="97"/>
      <x:c r="F24" s="97"/>
      <x:c r="G24" s="97"/>
    </x:row>
    <x:row r="25" ht="26.399999618530273" hidden="0" customHeight="1">
      <x:c r="A25" s="67" t="str">
        <x:v>Aggregate comparison</x:v>
      </x:c>
      <x:c r="B25" s="98" t="str">
        <x:v>L</x:v>
      </x:c>
      <x:c r="C25" s="98" t="str">
        <x:v>k</x:v>
      </x:c>
      <x:c r="D25" s="98" t="str">
        <x:v>x0</x:v>
      </x:c>
      <x:c r="E25" s="98" t="str">
        <x:v>Value at 130</x:v>
      </x:c>
      <x:c r="F25" s="98" t="str">
        <x:v>Difference vs weighted</x:v>
      </x:c>
      <x:c r="G25" s="97"/>
    </x:row>
    <x:row r="26" ht="15" hidden="0" customHeight="1">
      <x:c r="A26" s="20" t="str">
        <x:v>Published rotor aggregate</x:v>
      </x:c>
      <x:c r="B26" s="88" t="n">
        <x:v>0.88</x:v>
      </x:c>
      <x:c r="C26" s="88" t="n">
        <x:v>0.0744</x:v>
      </x:c>
      <x:c r="D26" s="88" t="n">
        <x:v>116</x:v>
      </x:c>
      <x:c r="E26" s="88" t="n">
        <x:f>B26/(1+EXP(-C26*(130-D26)))</x:f>
        <x:v>0.6504595760625672</x:v>
      </x:c>
      <x:c r="F26" s="88" t="n">
        <x:f>E26-G23</x:f>
        <x:v>0.08389074363128313</x:v>
      </x:c>
      <x:c r="G26" s="97"/>
    </x:row>
    <x:row r="27"/>
    <x:row r="28"/>
    <x:row r="29">
      <x:c r="A29" s="56" t="str">
        <x:v>Rejected outputs are not known answers and do not enter the artifact. The audit demonstrates non-reproducibility and endpoint/axis drift; it does not propose replacement ordinates.</x:v>
      </x:c>
      <x:c r="B29" s="57"/>
      <x:c r="C29" s="57"/>
      <x:c r="D29" s="57"/>
      <x:c r="E29" s="57"/>
      <x:c r="F29" s="57"/>
      <x:c r="G29" s="57"/>
      <x:c r="H29" s="57"/>
      <x:c r="I29" s="58"/>
    </x:row>
    <x:row r="30">
      <x:c r="A30" s="59"/>
      <x:c r="B30" s="60"/>
      <x:c r="C30" s="60"/>
      <x:c r="D30" s="60"/>
      <x:c r="E30" s="60"/>
      <x:c r="F30" s="60"/>
      <x:c r="G30" s="60"/>
      <x:c r="H30" s="60"/>
      <x:c r="I30" s="61"/>
    </x:row>
  </x:sheetData>
  <x:mergeCells>
    <x:mergeCell ref="A1:I1"/>
    <x:mergeCell ref="A2:I2"/>
    <x:mergeCell ref="A29:I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56" hidden="0" customWidth="1"/>
    <x:col min="4" max="4" width="22" hidden="0" customWidth="1"/>
    <x:col min="5" max="5" width="34" hidden="0" customWidth="1"/>
    <x:col min="6" max="6" width="42" hidden="0" customWidth="1"/>
    <x:col min="7" max="7" width="28" hidden="0" customWidth="1"/>
    <x:col min="8" max="8" width="30" hidden="0" customWidth="1"/>
    <x:col min="9" max="9" width="24" hidden="0" customWidth="1"/>
    <x:col min="10" max="10" width="54" hidden="0" customWidth="1"/>
    <x:col min="11" max="11" width="54" hidden="0" customWidth="1"/>
    <x:col min="12" max="12" width="54" hidden="0" customWidth="1"/>
    <x:col min="13" max="13" width="42" hidden="0" customWidth="1"/>
  </x:cols>
  <x:sheetData>
    <x:row r="1" ht="44" hidden="0" customHeight="1">
      <x:c r="A1" s="79" t="str">
        <x:v>claim_id</x:v>
      </x:c>
      <x:c r="B1" s="79" t="str">
        <x:v>pathway_id</x:v>
      </x:c>
      <x:c r="C1" s="79" t="str">
        <x:v>claim_text</x:v>
      </x:c>
      <x:c r="D1" s="79" t="str">
        <x:v>claim_type</x:v>
      </x:c>
      <x:c r="E1" s="79" t="str">
        <x:v>source_ids</x:v>
      </x:c>
      <x:c r="F1" s="79" t="str">
        <x:v>exact_locator</x:v>
      </x:c>
      <x:c r="G1" s="79" t="str">
        <x:v>evidence_tier</x:v>
      </x:c>
      <x:c r="H1" s="79" t="str">
        <x:v>parameter_or_rule</x:v>
      </x:c>
      <x:c r="I1" s="79" t="str">
        <x:v>adoption_status</x:v>
      </x:c>
      <x:c r="J1" s="79" t="str">
        <x:v>permitted_inference</x:v>
      </x:c>
      <x:c r="K1" s="79" t="str">
        <x:v>prohibited_inference</x:v>
      </x:c>
      <x:c r="L1" s="79" t="str">
        <x:v>reasoning</x:v>
      </x:c>
      <x:c r="M1" s="79" t="str">
        <x:v>update_trigger</x:v>
      </x:c>
    </x:row>
    <x:row r="2" ht="21.600000381469727" hidden="0" customHeight="1">
      <x:c r="A2" s="75" t="str">
        <x:v>TCWW-C001</x:v>
      </x:c>
      <x:c r="B2" s="75" t="str">
        <x:v>tropical_cyclone_wind</x:v>
      </x:c>
      <x:c r="C2" s="75" t="str">
        <x:v>NHC maximum sustained surface wind is a one-minute average at 10 m in unobstructed exposure.</x:v>
      </x:c>
      <x:c r="D2" s="75" t="str">
        <x:v>direct_observation</x:v>
      </x:c>
      <x:c r="E2" s="75" t="str">
        <x:v>TCWW-S001</x:v>
      </x:c>
      <x:c r="F2" s="75" t="str">
        <x:v>NHC glossary entry</x:v>
      </x:c>
      <x:c r="G2" s="75" t="str">
        <x:v>T2_public_lab_standard_or_physics</x:v>
      </x:c>
      <x:c r="H2" s="75" t="str">
        <x:v>source_native_axis_semantics</x:v>
      </x:c>
      <x:c r="I2" s="75" t="str">
        <x:v>adopt</x:v>
      </x:c>
      <x:c r="J2" s="75" t="str">
        <x:v>Label upstream storm-field inputs.</x:v>
      </x:c>
      <x:c r="K2" s="75" t="str">
        <x:v>Treat as turbine hub/rotor demand.</x:v>
      </x:c>
      <x:c r="L2" s="75" t="str">
        <x:v>Height and averaging reference are explicit in the official definition.</x:v>
      </x:c>
      <x:c r="M2" s="75" t="str">
        <x:v>NHC definition changes.</x:v>
      </x:c>
    </x:row>
    <x:row r="3" ht="21.600000381469727" hidden="0" customHeight="1">
      <x:c r="A3" s="75" t="str">
        <x:v>TCWW-C002</x:v>
      </x:c>
      <x:c r="B3" s="75" t="str">
        <x:v>tropical_cyclone_wind</x:v>
      </x:c>
      <x:c r="C3" s="75" t="str">
        <x:v>A tropical-cyclone event requires its own pathway rather than convective or tornado curve fallback.</x:v>
      </x:c>
      <x:c r="D3" s="75" t="str">
        <x:v>governance_decision</x:v>
      </x:c>
      <x:c r="E3" s="75" t="str">
        <x:v>TCWW-S006;TCWW-S007;GOVERNANCE_CONTRACT</x:v>
      </x:c>
      <x:c r="F3" s="75" t="str">
        <x:v>EPRI pp. 3-8 to 4-2; Kapoor conclusions; Standard 22</x:v>
      </x:c>
      <x:c r="G3" s="75" t="str">
        <x:v>T2_public_lab_standard_or_physics</x:v>
      </x:c>
      <x:c r="H3" s="75" t="str">
        <x:v>pathway_routing</x:v>
      </x:c>
      <x:c r="I3" s="75" t="str">
        <x:v>adopt</x:v>
      </x:c>
      <x:c r="J3" s="75" t="str">
        <x:v>Share asset/value substrate only.</x:v>
      </x:c>
      <x:c r="K3" s="75" t="str">
        <x:v>Infer pathway from intensity or reuse numerical curves.</x:v>
      </x:c>
      <x:c r="L3" s="75" t="str">
        <x:v>Duration, direction, turbulence, and controls differ materially.</x:v>
      </x:c>
      <x:c r="M3" s="75" t="str">
        <x:v>A formal equivalence study passes.</x:v>
      </x:c>
    </x:row>
    <x:row r="4" ht="21.600000381469727" hidden="0" customHeight="1">
      <x:c r="A4" s="75" t="str">
        <x:v>TCWW-C003</x:v>
      </x:c>
      <x:c r="B4" s="75" t="str">
        <x:v>tropical_cyclone_wind</x:v>
      </x:c>
      <x:c r="C4" s="75" t="str">
        <x:v>The runtime damage axis is not frozen at scaffold stage.</x:v>
      </x:c>
      <x:c r="D4" s="75" t="str">
        <x:v>governance_decision</x:v>
      </x:c>
      <x:c r="E4" s="75" t="str">
        <x:v>TCWW-S001;TCWW-S003;TCWW-S005;TCWW-S007;TCWW-S012</x:v>
      </x:c>
      <x:c r="F4" s="75" t="str">
        <x:v>native axes and bridge limitations</x:v>
      </x:c>
      <x:c r="G4" s="75" t="str">
        <x:v>T3_engineering_proxy_or_adjacent_empirical</x:v>
      </x:c>
      <x:c r="H4" s="75" t="str">
        <x:v>axis_status</x:v>
      </x:c>
      <x:c r="I4" s="75" t="str">
        <x:v>withhold</x:v>
      </x:c>
      <x:c r="J4" s="75" t="str">
        <x:v>Preserve multiple source-native evidence axes and specify bridge requirements.</x:v>
      </x:c>
      <x:c r="K4" s="75" t="str">
        <x:v>Publish a silent global conversion.</x:v>
      </x:c>
      <x:c r="L4" s="75" t="str">
        <x:v>Available curve evidence uses incompatible height and averaging references.</x:v>
      </x:c>
      <x:c r="M4" s="75" t="str">
        <x:v>One qualified bridge and matching target curve pass review.</x:v>
      </x:c>
    </x:row>
    <x:row r="5" ht="21.600000381469727" hidden="0" customHeight="1">
      <x:c r="A5" s="75" t="str">
        <x:v>TCWW-C004</x:v>
      </x:c>
      <x:c r="B5" s="75" t="str">
        <x:v>tropical_cyclone_wind</x:v>
      </x:c>
      <x:c r="C5" s="75" t="str">
        <x:v>Duration, veer, rapid direction change, turbulence, and yaw/grid state are load-bearing descriptors.</x:v>
      </x:c>
      <x:c r="D5" s="75" t="str">
        <x:v>source_interpretation</x:v>
      </x:c>
      <x:c r="E5" s="75" t="str">
        <x:v>TCWW-S006;TCWW-S007</x:v>
      </x:c>
      <x:c r="F5" s="75" t="str">
        <x:v>EPRI pp. 3-8 to 4-2; Kapoor Table 7 and conclusions</x:v>
      </x:c>
      <x:c r="G5" s="75" t="str">
        <x:v>T2_public_lab_standard_or_physics</x:v>
      </x:c>
      <x:c r="H5" s="75" t="str">
        <x:v>bridge_and_conditioner_fields</x:v>
      </x:c>
      <x:c r="I5" s="75" t="str">
        <x:v>adopt</x:v>
      </x:c>
      <x:c r="J5" s="75" t="str">
        <x:v>Require or preserve fields and withhold unsupported modifier effects.</x:v>
      </x:c>
      <x:c r="K5" s="75" t="str">
        <x:v>Apply universal percentage modifiers.</x:v>
      </x:c>
      <x:c r="L5" s="75" t="str">
        <x:v>Sources show different components and states respond differently but do not calibrate economic effects.</x:v>
      </x:c>
      <x:c r="M5" s="75" t="str">
        <x:v>Matched structural capacity/disposition evidence supports a numeric rule.</x:v>
      </x:c>
    </x:row>
    <x:row r="6" ht="15" hidden="0" customHeight="1">
      <x:c r="A6" s="75" t="str">
        <x:v>TCWW-C005</x:v>
      </x:c>
      <x:c r="B6" s="75" t="str">
        <x:v>tropical_cyclone_wind</x:v>
      </x:c>
      <x:c r="C6" s="75" t="str">
        <x:v>Jaimes uses a 3-second peak gust at 10 m in km/h and simulates 108-252 km/h.</x:v>
      </x:c>
      <x:c r="D6" s="75" t="str">
        <x:v>direct_observation</x:v>
      </x:c>
      <x:c r="E6" s="75" t="str">
        <x:v>TCWW-S005</x:v>
      </x:c>
      <x:c r="F6" s="75" t="str">
        <x:v>sections 2.1 and 2.3.1; section 3.3.2</x:v>
      </x:c>
      <x:c r="G6" s="75" t="str">
        <x:v>T3_engineering_proxy_or_adjacent_empirical</x:v>
      </x:c>
      <x:c r="H6" s="75" t="str">
        <x:v>jaimes_native_axis</x:v>
      </x:c>
      <x:c r="I6" s="75" t="str">
        <x:v>adopt_audit_only</x:v>
      </x:c>
      <x:c r="J6" s="75" t="str">
        <x:v>Reproduce candidate fragilities on their native axis and range.</x:v>
      </x:c>
      <x:c r="K6" s="75" t="str">
        <x:v>Use NHC category or hub wind interchangeably.</x:v>
      </x:c>
      <x:c r="L6" s="75" t="str">
        <x:v>The paper states the intensity definition and simulation range.</x:v>
      </x:c>
      <x:c r="M6" s="75" t="str">
        <x:v>Author correction or new version.</x:v>
      </x:c>
    </x:row>
    <x:row r="7" ht="15" hidden="0" customHeight="1">
      <x:c r="A7" s="75" t="str">
        <x:v>TCWW-C006</x:v>
      </x:c>
      <x:c r="B7" s="75" t="str">
        <x:v>tropical_cyclone_wind</x:v>
      </x:c>
      <x:c r="C7" s="75" t="str">
        <x:v>Jaimes DS3 is tower-wall buckling with assumed structural collapse.</x:v>
      </x:c>
      <x:c r="D7" s="75" t="str">
        <x:v>direct_observation</x:v>
      </x:c>
      <x:c r="E7" s="75" t="str">
        <x:v>TCWW-S005</x:v>
      </x:c>
      <x:c r="F7" s="75" t="str">
        <x:v>section 3.3.3</x:v>
      </x:c>
      <x:c r="G7" s="75" t="str">
        <x:v>T3_engineering_proxy_or_adjacent_empirical</x:v>
      </x:c>
      <x:c r="H7" s="75" t="str">
        <x:v>jaimes_ds3_endpoint</x:v>
      </x:c>
      <x:c r="I7" s="75" t="str">
        <x:v>adopt_audit_only</x:v>
      </x:c>
      <x:c r="J7" s="75" t="str">
        <x:v>Name the candidate endpoint exactly.</x:v>
      </x:c>
      <x:c r="K7" s="75" t="str">
        <x:v>Call it total turbine economic loss or all tower damage.</x:v>
      </x:c>
      <x:c r="L7" s="75" t="str">
        <x:v>The damage-state definition is explicit and narrower than economic DR.</x:v>
      </x:c>
      <x:c r="M7" s="75" t="str">
        <x:v>Field-validated disposition evidence.</x:v>
      </x:c>
    </x:row>
    <x:row r="8" ht="21.600000381469727" hidden="0" customHeight="1">
      <x:c r="A8" s="75" t="str">
        <x:v>TCWW-C007</x:v>
      </x:c>
      <x:c r="B8" s="75" t="str">
        <x:v>tropical_cyclone_wind</x:v>
      </x:c>
      <x:c r="C8" s="75" t="str">
        <x:v>Jaimes DS3 lognormal parameters are (5.3165,0.0485), (5.2276,0.0516), and (5.1642,0.0567) in ln(km/h) for the three modeled archetypes.</x:v>
      </x:c>
      <x:c r="D8" s="75" t="str">
        <x:v>direct_observation</x:v>
      </x:c>
      <x:c r="E8" s="75" t="str">
        <x:v>TCWW-S005</x:v>
      </x:c>
      <x:c r="F8" s="75" t="str">
        <x:v>Table 3</x:v>
      </x:c>
      <x:c r="G8" s="75" t="str">
        <x:v>T3_engineering_proxy_or_adjacent_empirical</x:v>
      </x:c>
      <x:c r="H8" s="75" t="str">
        <x:v>jaimes_ds3_mu_sigma</x:v>
      </x:c>
      <x:c r="I8" s="75" t="str">
        <x:v>defer_candidate_only</x:v>
      </x:c>
      <x:c r="J8" s="75" t="str">
        <x:v>Reproduce source-native tower-collapse probability for exact audit fixtures.</x:v>
      </x:c>
      <x:c r="K8" s="75" t="str">
        <x:v>Emit runtime DR or transfer across turbine classes.</x:v>
      </x:c>
      <x:c r="L8" s="75" t="str">
        <x:v>Numbers are reproducible but applicability and economics are unresolved.</x:v>
      </x:c>
      <x:c r="M8" s="75" t="str">
        <x:v>Exact-archetype verification plus approved severity bridge.</x:v>
      </x:c>
    </x:row>
    <x:row r="9" ht="15" hidden="0" customHeight="1">
      <x:c r="A9" s="75" t="str">
        <x:v>TCWW-C008</x:v>
      </x:c>
      <x:c r="B9" s="75" t="str">
        <x:v>tropical_cyclone_wind</x:v>
      </x:c>
      <x:c r="C9" s="75" t="str">
        <x:v>Jaimes economic damage-state ratios are assumed rather than wind-farm-loss calibrated.</x:v>
      </x:c>
      <x:c r="D9" s="75" t="str">
        <x:v>direct_observation</x:v>
      </x:c>
      <x:c r="E9" s="75" t="str">
        <x:v>TCWW-S005</x:v>
      </x:c>
      <x:c r="F9" s="75" t="str">
        <x:v>section 3.3.5; Eqs. 12-13; Figure 6</x:v>
      </x:c>
      <x:c r="G9" s="75" t="str">
        <x:v>T3_engineering_proxy_or_adjacent_empirical</x:v>
      </x:c>
      <x:c r="H9" s="75" t="str">
        <x:v>jaimes_economic_bridge</x:v>
      </x:c>
      <x:c r="I9" s="75" t="str">
        <x:v>reject</x:v>
      </x:c>
      <x:c r="J9" s="75" t="str">
        <x:v>Use to explain why fragility does not become economic DR.</x:v>
      </x:c>
      <x:c r="K9" s="75" t="str">
        <x:v>Adopt the paper's vulnerability function as claims-derived.</x:v>
      </x:c>
      <x:c r="L9" s="75" t="str">
        <x:v>The authors state matching Mexico wind-farm loss data were unavailable.</x:v>
      </x:c>
      <x:c r="M9" s="75" t="str">
        <x:v>Matched claims/repair-cost data become available.</x:v>
      </x:c>
    </x:row>
    <x:row r="10" ht="15" hidden="0" customHeight="1">
      <x:c r="A10" s="75" t="str">
        <x:v>TCWW-C009</x:v>
      </x:c>
      <x:c r="B10" s="75" t="str">
        <x:v>tropical_cyclone_wind</x:v>
      </x:c>
      <x:c r="C10" s="75" t="str">
        <x:v>Rose models binary tower buckling only on a 10-minute hub-height wind axis in knots.</x:v>
      </x:c>
      <x:c r="D10" s="75" t="str">
        <x:v>direct_observation</x:v>
      </x:c>
      <x:c r="E10" s="75" t="str">
        <x:v>TCWW-S003</x:v>
      </x:c>
      <x:c r="F10" s="75" t="str">
        <x:v>Eq. 5 and Table 1</x:v>
      </x:c>
      <x:c r="G10" s="75" t="str">
        <x:v>T3_engineering_proxy_or_adjacent_empirical</x:v>
      </x:c>
      <x:c r="H10" s="75" t="str">
        <x:v>rose_native_endpoint_axis</x:v>
      </x:c>
      <x:c r="I10" s="75" t="str">
        <x:v>adopt_audit_only</x:v>
      </x:c>
      <x:c r="J10" s="75" t="str">
        <x:v>Reproduce control-state sensitivity on native axis.</x:v>
      </x:c>
      <x:c r="K10" s="75" t="str">
        <x:v>Calibrate other components or economic DR.</x:v>
      </x:c>
      <x:c r="L10" s="75" t="str">
        <x:v>Source scope is explicit.</x:v>
      </x:c>
      <x:c r="M10" s="75" t="str">
        <x:v>Onshore field validation with cost endpoint.</x:v>
      </x:c>
    </x:row>
    <x:row r="11" ht="21.600000381469727" hidden="0" customHeight="1">
      <x:c r="A11" s="75" t="str">
        <x:v>TCWW-C010</x:v>
      </x:c>
      <x:c r="B11" s="75" t="str">
        <x:v>tropical_cyclone_wind</x:v>
      </x:c>
      <x:c r="C11" s="75" t="str">
        <x:v>Rose active-yaw aligned parameters are alpha=174 knots and beta=19.3; perpendicular non-yaw parameters are alpha=140 knots and beta=18.6.</x:v>
      </x:c>
      <x:c r="D11" s="75" t="str">
        <x:v>direct_observation</x:v>
      </x:c>
      <x:c r="E11" s="75" t="str">
        <x:v>TCWW-S003</x:v>
      </x:c>
      <x:c r="F11" s="75" t="str">
        <x:v>Table 1 and damage-function method</x:v>
      </x:c>
      <x:c r="G11" s="75" t="str">
        <x:v>T3_engineering_proxy_or_adjacent_empirical</x:v>
      </x:c>
      <x:c r="H11" s="75" t="str">
        <x:v>rose_alpha_beta</x:v>
      </x:c>
      <x:c r="I11" s="75" t="str">
        <x:v>defer_candidate_validation</x:v>
      </x:c>
      <x:c r="J11" s="75" t="str">
        <x:v>Use as adjacent numerical audit and conditioner-state check.</x:v>
      </x:c>
      <x:c r="K11" s="75" t="str">
        <x:v>Average the curves or default unknown yaw to either state.</x:v>
      </x:c>
      <x:c r="L11" s="75" t="str">
        <x:v>States are discrete model assumptions, not a generic uncertainty distribution.</x:v>
      </x:c>
      <x:c r="M11" s="75" t="str">
        <x:v>Qualified onshore yaw-state calibration.</x:v>
      </x:c>
    </x:row>
    <x:row r="12" ht="15" hidden="0" customHeight="1">
      <x:c r="A12" s="75" t="str">
        <x:v>TCWW-C011</x:v>
      </x:c>
      <x:c r="B12" s="75" t="str">
        <x:v>tropical_cyclone_wind</x:v>
      </x:c>
      <x:c r="C12" s="75" t="str">
        <x:v>The legacy Rose surface-wind conversion is internally inconsistent and is rejected.</x:v>
      </x:c>
      <x:c r="D12" s="75" t="str">
        <x:v>engineering_inference</x:v>
      </x:c>
      <x:c r="E12" s="75" t="str">
        <x:v>TCWW-S003;LEG-TCWW-001</x:v>
      </x:c>
      <x:c r="F12" s="75" t="str">
        <x:v>legacy lines 34-46, 369-376, 792-808</x:v>
      </x:c>
      <x:c r="G12" s="75" t="str">
        <x:v>T4_placeholder_or_expert_judgment</x:v>
      </x:c>
      <x:c r="H12" s="75" t="str">
        <x:v>legacy_axis_conversion</x:v>
      </x:c>
      <x:c r="I12" s="75" t="str">
        <x:v>reject</x:v>
      </x:c>
      <x:c r="J12" s="75" t="str">
        <x:v>Retain native Rose units and record mismatch.</x:v>
      </x:c>
      <x:c r="K12" s="75" t="str">
        <x:v>Use 133 mph or 166 mph as converted medians.</x:v>
      </x:c>
      <x:c r="L12" s="75" t="str">
        <x:v>The stated factors do not reproduce the displayed table.</x:v>
      </x:c>
      <x:c r="M12" s="75" t="str">
        <x:v>A governed bridge with exact convention is validated.</x:v>
      </x:c>
    </x:row>
    <x:row r="13" ht="15" hidden="0" customHeight="1">
      <x:c r="A13" s="75" t="str">
        <x:v>TCWW-C012</x:v>
      </x:c>
      <x:c r="B13" s="75" t="str">
        <x:v>tropical_cyclone_wind</x:v>
      </x:c>
      <x:c r="C13" s="75" t="str">
        <x:v>One repeated turbine-equipment assembly is the primary candidate loss atom.</x:v>
      </x:c>
      <x:c r="D13" s="75" t="str">
        <x:v>governance_decision</x:v>
      </x:c>
      <x:c r="E13" s="75" t="str">
        <x:v>TCWW-S008;TCWW-S010;GOVERNANCE_CONTRACT</x:v>
      </x:c>
      <x:c r="F13" s="75" t="str">
        <x:v>Usagi dependency evidence; CWER rows; decision D-TCWW-04</x:v>
      </x:c>
      <x:c r="G13" s="75" t="str">
        <x:v>T3_engineering_proxy_or_adjacent_empirical</x:v>
      </x:c>
      <x:c r="H13" s="75" t="str">
        <x:v>failure_unit_id</x:v>
      </x:c>
      <x:c r="I13" s="75" t="str">
        <x:v>adopt</x:v>
      </x:c>
      <x:c r="J13" s="75" t="str">
        <x:v>Develop mutually exclusive states and apply exposure per turbine.</x:v>
      </x:c>
      <x:c r="K13" s="75" t="str">
        <x:v>Independently add rotor, tower, and nacelle losses after terminal collapse.</x:v>
      </x:c>
      <x:c r="L13" s="75" t="str">
        <x:v>Assembly grain prevents consequential double counting.</x:v>
      </x:c>
      <x:c r="M13" s="75" t="str">
        <x:v>Claims evidence proves separable states and costs.</x:v>
      </x:c>
    </x:row>
    <x:row r="14" ht="15" hidden="0" customHeight="1">
      <x:c r="A14" s="75" t="str">
        <x:v>TCWW-C013</x:v>
      </x:c>
      <x:c r="B14" s="75" t="str">
        <x:v>all_shared</x:v>
      </x:c>
      <x:c r="C14" s="75" t="str">
        <x:v>The reference turbine-equipment denominator is 1090 2023 USD/kW.</x:v>
      </x:c>
      <x:c r="D14" s="75" t="str">
        <x:v>direct_observation</x:v>
      </x:c>
      <x:c r="E14" s="75" t="str">
        <x:v>TCWW-S010</x:v>
      </x:c>
      <x:c r="F14" s="75" t="str">
        <x:v>CWER land-based breakdown; Wind_Map rows 2-9</x:v>
      </x:c>
      <x:c r="G14" s="75" t="str">
        <x:v>T2_public_lab_standard_or_physics</x:v>
      </x:c>
      <x:c r="H14" s="75" t="str">
        <x:v>value_denominator</x:v>
      </x:c>
      <x:c r="I14" s="75" t="str">
        <x:v>adopt_with_limits</x:v>
      </x:c>
      <x:c r="J14" s="75" t="str">
        <x:v>Use as a labeled reference value basis only.</x:v>
      </x:c>
      <x:c r="K14" s="75" t="str">
        <x:v>Use as a universal site/OEM value or emit scenario loss without a curve.</x:v>
      </x:c>
      <x:c r="L14" s="75" t="str">
        <x:v>Rows reconcile to rotor, nacelle, yaw, power, and tower equipment.</x:v>
      </x:c>
      <x:c r="M14" s="75" t="str">
        <x:v>New CWER vintage or site appraisal.</x:v>
      </x:c>
    </x:row>
    <x:row r="15" ht="21.600000381469727" hidden="0" customHeight="1">
      <x:c r="A15" s="75" t="str">
        <x:v>TCWW-C014</x:v>
      </x:c>
      <x:c r="B15" s="75" t="str">
        <x:v>all_shared</x:v>
      </x:c>
      <x:c r="C15" s="75" t="str">
        <x:v>Foundation, civil, and external electrical total 239 2023 USD/kW and remain separate/withheld.</x:v>
      </x:c>
      <x:c r="D15" s="75" t="str">
        <x:v>governance_decision</x:v>
      </x:c>
      <x:c r="E15" s="75" t="str">
        <x:v>TCWW-S010;GOVERNANCE_CONTRACT</x:v>
      </x:c>
      <x:c r="F15" s="75" t="str">
        <x:v>Wind_Map rows 10-12; decision D-TCWW-02 and seven-step audit steps 2-5</x:v>
      </x:c>
      <x:c r="G15" s="75" t="str">
        <x:v>T3_engineering_proxy_or_adjacent_empirical</x:v>
      </x:c>
      <x:c r="H15" s="75" t="str">
        <x:v>withheld_value_coverage</x:v>
      </x:c>
      <x:c r="I15" s="75" t="str">
        <x:v>withhold</x:v>
      </x:c>
      <x:c r="J15" s="75" t="str">
        <x:v>Keep row-complete reconciliation.</x:v>
      </x:c>
      <x:c r="K15" s="75" t="str">
        <x:v>Scale by turbine-equipment DR or exposed turbine fraction.</x:v>
      </x:c>
      <x:c r="L15" s="75" t="str">
        <x:v>CWER supplies the values; governance owns the separation/withholding because point, line, network, and mixed civil subjects require different evidence.</x:v>
      </x:c>
      <x:c r="M15" s="75" t="str">
        <x:v>Unit-specific evidence and value split.</x:v>
      </x:c>
    </x:row>
    <x:row r="16" ht="21.600000381469727" hidden="0" customHeight="1">
      <x:c r="A16" s="75" t="str">
        <x:v>TCWW-C015</x:v>
      </x:c>
      <x:c r="B16" s="75" t="str">
        <x:v>all_shared</x:v>
      </x:c>
      <x:c r="C16" s="75" t="str">
        <x:v>Fieldwork and transport total 294 2023 USD/kW and are support allocated once.</x:v>
      </x:c>
      <x:c r="D16" s="75" t="str">
        <x:v>governance_decision</x:v>
      </x:c>
      <x:c r="E16" s="75" t="str">
        <x:v>TCWW-S010;GOVERNANCE_CONTRACT</x:v>
      </x:c>
      <x:c r="F16" s="75" t="str">
        <x:v>Wind_Map rows 13-14; decision D-TCWW-02 and seven-step audit steps 3-5</x:v>
      </x:c>
      <x:c r="G16" s="75" t="str">
        <x:v>T4_placeholder_or_expert_judgment</x:v>
      </x:c>
      <x:c r="H16" s="75" t="str">
        <x:v>support_once_rule</x:v>
      </x:c>
      <x:c r="I16" s="75" t="str">
        <x:v>adopt_with_limits</x:v>
      </x:c>
      <x:c r="J16" s="75" t="str">
        <x:v>Add once after qualified repair scope under an explicit rule.</x:v>
      </x:c>
      <x:c r="K16" s="75" t="str">
        <x:v>Assign independent fragility or include and add twice.</x:v>
      </x:c>
      <x:c r="L16" s="75" t="str">
        <x:v>CWER supplies the cost rows; the support-once treatment is a governed value rule, not an inference from CWER.</x:v>
      </x:c>
      <x:c r="M16" s="75" t="str">
        <x:v>Claims-backed support allocation.</x:v>
      </x:c>
    </x:row>
    <x:row r="17" ht="21.600000381469727" hidden="0" customHeight="1">
      <x:c r="A17" s="75" t="str">
        <x:v>TCWW-C016</x:v>
      </x:c>
      <x:c r="B17" s="75" t="str">
        <x:v>all_shared</x:v>
      </x:c>
      <x:c r="C17" s="75" t="str">
        <x:v>The physical and installed reference bases are 1623 and 1968 2023 USD/kW; 345 is excluded soft/sunk value.</x:v>
      </x:c>
      <x:c r="D17" s="75" t="str">
        <x:v>source_interpretation</x:v>
      </x:c>
      <x:c r="E17" s="75" t="str">
        <x:v>TCWW-S010;GOVERNANCE_CONTRACT</x:v>
      </x:c>
      <x:c r="F17" s="75" t="str">
        <x:v>CWER land-based rows; local Wind_Map rows 2-19 and reconciliation</x:v>
      </x:c>
      <x:c r="G17" s="75" t="str">
        <x:v>T2_public_lab_standard_or_physics</x:v>
      </x:c>
      <x:c r="H17" s="75" t="str">
        <x:v>reference_value_reconciliation</x:v>
      </x:c>
      <x:c r="I17" s="75" t="str">
        <x:v>adopt_with_limits</x:v>
      </x:c>
      <x:c r="J17" s="75" t="str">
        <x:v>Report labeled denominator conversions.</x:v>
      </x:c>
      <x:c r="K17" s="75" t="str">
        <x:v>Treat either total as the intrinsic curve denominator.</x:v>
      </x:c>
      <x:c r="L17" s="75" t="str">
        <x:v>CWER supplies the component rows and installed total; the physical/excluded classification and arithmetic are governed locally and reconcile exactly.</x:v>
      </x:c>
      <x:c r="M17" s="75" t="str">
        <x:v>Value vintage or physical-boundary change.</x:v>
      </x:c>
    </x:row>
    <x:row r="18" ht="15" hidden="0" customHeight="1">
      <x:c r="A18" s="75" t="str">
        <x:v>TCWW-C017</x:v>
      </x:c>
      <x:c r="B18" s="75" t="str">
        <x:v>tropical_cyclone_wind</x:v>
      </x:c>
      <x:c r="C18" s="75" t="str">
        <x:v>Foundation wind response and post-collapse disposition are not calibrated.</x:v>
      </x:c>
      <x:c r="D18" s="75" t="str">
        <x:v>governance_decision</x:v>
      </x:c>
      <x:c r="E18" s="75" t="str">
        <x:v>TCWW-S006;TCWW-S009;TCWW-S010</x:v>
      </x:c>
      <x:c r="F18" s="75" t="str">
        <x:v>EPRI vulnerability review; Jangmi case; value row</x:v>
      </x:c>
      <x:c r="G18" s="75" t="str">
        <x:v>T3_engineering_proxy_or_adjacent_empirical</x:v>
      </x:c>
      <x:c r="H18" s="75" t="str">
        <x:v>WT_FOUNDATION_support</x:v>
      </x:c>
      <x:c r="I18" s="75" t="str">
        <x:v>withhold</x:v>
      </x:c>
      <x:c r="J18" s="75" t="str">
        <x:v>Retain a separate candidate unit and case mechanisms.</x:v>
      </x:c>
      <x:c r="K18" s="75" t="str">
        <x:v>Set DR to zero or inherit tower DR.</x:v>
      </x:c>
      <x:c r="L18" s="75" t="str">
        <x:v>Case evidence does not supply a population probability/cost rule.</x:v>
      </x:c>
      <x:c r="M18" s="75" t="str">
        <x:v>Matched foundation capacity/disposition/repair data.</x:v>
      </x:c>
    </x:row>
    <x:row r="19" ht="21.600000381469727" hidden="0" customHeight="1">
      <x:c r="A19" s="75" t="str">
        <x:v>TCWW-C018</x:v>
      </x:c>
      <x:c r="B19" s="75" t="str">
        <x:v>tropical_cyclone_wind</x:v>
      </x:c>
      <x:c r="C19" s="75" t="str">
        <x:v>Electrical and civil assets require separate point/line/network exposure objects.</x:v>
      </x:c>
      <x:c r="D19" s="75" t="str">
        <x:v>governance_decision</x:v>
      </x:c>
      <x:c r="E19" s="75" t="str">
        <x:v>TCWW-S010;LEG-TCWW-002;GOVERNANCE_CONTRACT</x:v>
      </x:c>
      <x:c r="F19" s="75" t="str">
        <x:v>value ledger; consumer audit; seven-step audit steps 2 and 5</x:v>
      </x:c>
      <x:c r="G19" s="75" t="str">
        <x:v>T4_placeholder_or_expert_judgment</x:v>
      </x:c>
      <x:c r="H19" s="75" t="str">
        <x:v>external_asset_exposure</x:v>
      </x:c>
      <x:c r="I19" s="75" t="str">
        <x:v>withhold</x:v>
      </x:c>
      <x:c r="J19" s="75" t="str">
        <x:v>Split future units and preserve values.</x:v>
      </x:c>
      <x:c r="K19" s="75" t="str">
        <x:v>Apply turbine-point gust and exposure to full shared-site value.</x:v>
      </x:c>
      <x:c r="L19" s="75" t="str">
        <x:v>The sources expose a mixed aggregate; governance owns the physical/spatial grain separation rule.</x:v>
      </x:c>
      <x:c r="M19" s="75" t="str">
        <x:v>Component values and matched exposure/damage models.</x:v>
      </x:c>
    </x:row>
    <x:row r="20" ht="21.600000381469727" hidden="0" customHeight="1">
      <x:c r="A20" s="75" t="str">
        <x:v>TCWW-C019</x:v>
      </x:c>
      <x:c r="B20" s="75" t="str">
        <x:v>tropical_cyclone_wind</x:v>
      </x:c>
      <x:c r="C20" s="75" t="str">
        <x:v>Unknown yaw, pitch, grid, backup-power, or operating state earns no protection credit.</x:v>
      </x:c>
      <x:c r="D20" s="75" t="str">
        <x:v>governance_decision</x:v>
      </x:c>
      <x:c r="E20" s="75" t="str">
        <x:v>TCWW-S003;TCWW-S006;TCWW-S007;TCWW-S008;GOVERNANCE_CONTRACT</x:v>
      </x:c>
      <x:c r="F20" s="75" t="str">
        <x:v>state sensitivity evidence; decision D-TCWW-03; site-adapter missing-state rule</x:v>
      </x:c>
      <x:c r="G20" s="75" t="str">
        <x:v>T3_engineering_proxy_or_adjacent_empirical</x:v>
      </x:c>
      <x:c r="H20" s="75" t="str">
        <x:v>unknown_conditioner_policy</x:v>
      </x:c>
      <x:c r="I20" s="75" t="str">
        <x:v>adopt</x:v>
      </x:c>
      <x:c r="J20" s="75" t="str">
        <x:v>Preserve unknown and withhold any state-dependent numeric output.</x:v>
      </x:c>
      <x:c r="K20" s="75" t="str">
        <x:v>Default to aligned/protected or worst case silently.</x:v>
      </x:c>
      <x:c r="L20" s="75" t="str">
        <x:v>Sources show material state sensitivity; governance owns the conservative unknown-state policy.</x:v>
      </x:c>
      <x:c r="M20" s="75" t="str">
        <x:v>Validated state-response family with governed defaults.</x:v>
      </x:c>
    </x:row>
    <x:row r="21" ht="15" hidden="0" customHeight="1">
      <x:c r="A21" s="75" t="str">
        <x:v>TCWW-C020</x:v>
      </x:c>
      <x:c r="B21" s="75" t="str">
        <x:v>tropical_cyclone_wind</x:v>
      </x:c>
      <x:c r="C21" s="75" t="str">
        <x:v>TC-spawned tornadoes are routed separately with one parent event family.</x:v>
      </x:c>
      <x:c r="D21" s="75" t="str">
        <x:v>governance_decision</x:v>
      </x:c>
      <x:c r="E21" s="75" t="str">
        <x:v>GOVERNANCE_CONTRACT</x:v>
      </x:c>
      <x:c r="F21" s="75" t="str">
        <x:v>boundary standard and decision D-TCWW-08</x:v>
      </x:c>
      <x:c r="G21" s="75" t="str">
        <x:v>T4_placeholder_or_expert_judgment</x:v>
      </x:c>
      <x:c r="H21" s="75" t="str">
        <x:v>event_identity_rule</x:v>
      </x:c>
      <x:c r="I21" s="75" t="str">
        <x:v>adopt</x:v>
      </x:c>
      <x:c r="J21" s="75" t="str">
        <x:v>Coordinate compound occurrence downstream.</x:v>
      </x:c>
      <x:c r="K21" s="75" t="str">
        <x:v>Count a tornado independently in both TC and convective catalogs.</x:v>
      </x:c>
      <x:c r="L21" s="75" t="str">
        <x:v>One physical occurrence and value stock cannot be charged twice.</x:v>
      </x:c>
      <x:c r="M21" s="75" t="str">
        <x:v>Consumer event contract changes.</x:v>
      </x:c>
    </x:row>
    <x:row r="22" ht="21.600000381469727" hidden="0" customHeight="1">
      <x:c r="A22" s="75" t="str">
        <x:v>TCWW-C021</x:v>
      </x:c>
      <x:c r="B22" s="75" t="str">
        <x:v>tropical_cyclone_wind</x:v>
      </x:c>
      <x:c r="C22" s="75" t="str">
        <x:v>Coastal hurricane-inclusive ASCE strong wind must not be summed with a future TC wind result.</x:v>
      </x:c>
      <x:c r="D22" s="75" t="str">
        <x:v>governance_decision</x:v>
      </x:c>
      <x:c r="E22" s="75" t="str">
        <x:v>HAZARD_CONSUMER_AUDIT</x:v>
      </x:c>
      <x:c r="F22" s="75" t="str">
        <x:v>Hazard convective-wind versions.md lines 35-39</x:v>
      </x:c>
      <x:c r="G22" s="75" t="str">
        <x:v>T4_placeholder_or_expert_judgment</x:v>
      </x:c>
      <x:c r="H22" s="75" t="str">
        <x:v>coastal_peril_overlap_guardrail</x:v>
      </x:c>
      <x:c r="I22" s="75" t="str">
        <x:v>adopt</x:v>
      </x:c>
      <x:c r="J22" s="75" t="str">
        <x:v>Use a governed event/peril partition or worse-wins rule upstream/downstream.</x:v>
      </x:c>
      <x:c r="K22" s="75" t="str">
        <x:v>Add both losses as independent perils.</x:v>
      </x:c>
      <x:c r="L22" s="75" t="str">
        <x:v>The existing surface already embeds coastal TC wind influence.</x:v>
      </x:c>
      <x:c r="M22" s="75" t="str">
        <x:v>Hazard peril-boundary redesign.</x:v>
      </x:c>
    </x:row>
    <x:row r="23" ht="15" hidden="0" customHeight="1">
      <x:c r="A23" s="75" t="str">
        <x:v>TCWW-C022</x:v>
      </x:c>
      <x:c r="B23" s="75" t="str">
        <x:v>tropical_cyclone_wind</x:v>
      </x:c>
      <x:c r="C23" s="75" t="str">
        <x:v>The existing Hazard hurricane/wind-farm logistics are a regression fixture only.</x:v>
      </x:c>
      <x:c r="D23" s="75" t="str">
        <x:v>direct_observation</x:v>
      </x:c>
      <x:c r="E23" s="75" t="str">
        <x:v>LEG-TCWW-002</x:v>
      </x:c>
      <x:c r="F23" s="75" t="str">
        <x:v>01_damage.py lines 75-110</x:v>
      </x:c>
      <x:c r="G23" s="75" t="str">
        <x:v>T4_placeholder_or_expert_judgment</x:v>
      </x:c>
      <x:c r="H23" s="75" t="str">
        <x:v>legacy_consumer_curve</x:v>
      </x:c>
      <x:c r="I23" s="75" t="str">
        <x:v>reject</x:v>
      </x:c>
      <x:c r="J23" s="75" t="str">
        <x:v>Reproduce old behavior for migration comparison.</x:v>
      </x:c>
      <x:c r="K23" s="75" t="str">
        <x:v>Treat copied convective curve, full-TIV shares, zeros, or 0.65 cap as calibration.</x:v>
      </x:c>
      <x:c r="L23" s="75" t="str">
        <x:v>The code self-identifies reuse and missing tower-collapse mode.</x:v>
      </x:c>
      <x:c r="M23" s="75" t="str">
        <x:v>Governed model v1.0 and consumer cutover.</x:v>
      </x:c>
    </x:row>
    <x:row r="24" ht="21.600000381469727" hidden="0" customHeight="1">
      <x:c r="A24" s="75" t="str">
        <x:v>TCWW-C023</x:v>
      </x:c>
      <x:c r="B24" s="75" t="str">
        <x:v>tropical_cyclone_wind</x:v>
      </x:c>
      <x:c r="C24" s="75" t="str">
        <x:v>No public matched evidence chain was located from representative turbine-local TC demand through all-severity disposition to same-unit repair cost.</x:v>
      </x:c>
      <x:c r="D24" s="75" t="str">
        <x:v>governance_decision</x:v>
      </x:c>
      <x:c r="E24" s="75" t="str">
        <x:v>TCWW-S005;TCWW-S006;BOUNDED_SEARCH_LOG</x:v>
      </x:c>
      <x:c r="F24" s="75" t="str">
        <x:v>bounded search results and negative endpoint tests</x:v>
      </x:c>
      <x:c r="G24" s="75" t="str">
        <x:v>T3_engineering_proxy_or_adjacent_empirical</x:v>
      </x:c>
      <x:c r="H24" s="75" t="str">
        <x:v>runtime_curve_gate</x:v>
      </x:c>
      <x:c r="I24" s="75" t="str">
        <x:v>withhold</x:v>
      </x:c>
      <x:c r="J24" s="75" t="str">
        <x:v>Use only as the bounded reason for NO_RUNTIME_CURVE.</x:v>
      </x:c>
      <x:c r="K24" s="75" t="str">
        <x:v>Claim universal absence or ignore private/non-English/unindexed evidence.</x:v>
      </x:c>
      <x:c r="L24" s="75" t="str">
        <x:v>Strong sources stop at fragility, mechanism, case severity, or assumed economics.</x:v>
      </x:c>
      <x:c r="M24" s="75" t="str">
        <x:v>Matched public/authorized claims or governed elicitation closes the chain.</x:v>
      </x:c>
    </x:row>
    <x:row r="25" ht="15" hidden="0" customHeight="1">
      <x:c r="A25" s="75" t="str">
        <x:v>TCWW-C024</x:v>
      </x:c>
      <x:c r="B25" s="75" t="str">
        <x:v>tropical_cyclone_wind</x:v>
      </x:c>
      <x:c r="C25" s="75" t="str">
        <x:v>All scalar damage and loss outputs are withheld in model v0.1.</x:v>
      </x:c>
      <x:c r="D25" s="75" t="str">
        <x:v>governance_decision</x:v>
      </x:c>
      <x:c r="E25" s="75" t="str">
        <x:v>GOVERNANCE_CONTRACT</x:v>
      </x:c>
      <x:c r="F25" s="75" t="str">
        <x:v>decision D-TCWW-07</x:v>
      </x:c>
      <x:c r="G25" s="75" t="str">
        <x:v>T4_placeholder_or_expert_judgment</x:v>
      </x:c>
      <x:c r="H25" s="75" t="str">
        <x:v>capability</x:v>
      </x:c>
      <x:c r="I25" s="75" t="str">
        <x:v>withhold</x:v>
      </x:c>
      <x:c r="J25" s="75" t="str">
        <x:v>Return null with NO_RUNTIME_CURVE.</x:v>
      </x:c>
      <x:c r="K25" s="75" t="str">
        <x:v>Return zero or a candidate fragility value as DR.</x:v>
      </x:c>
      <x:c r="L25" s="75" t="str">
        <x:v>No economic damage curve passed the audit.</x:v>
      </x:c>
      <x:c r="M25" s="75" t="str">
        <x:v>Reviewed model v1.0 behavior change.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52" hidden="0" customWidth="1"/>
    <x:col min="4" max="4" width="15" hidden="0" customWidth="1"/>
    <x:col min="5" max="5" width="52" hidden="0" customWidth="1"/>
    <x:col min="6" max="6" width="28" hidden="0" customWidth="1"/>
    <x:col min="7" max="7" width="26" hidden="0" customWidth="1"/>
    <x:col min="8" max="8" width="22" hidden="0" customWidth="1"/>
    <x:col min="9" max="9" width="30" hidden="0" customWidth="1"/>
    <x:col min="10" max="10" width="22" hidden="0" customWidth="1"/>
    <x:col min="11" max="11" width="24" hidden="0" customWidth="1"/>
    <x:col min="12" max="12" width="58" hidden="0" customWidth="1"/>
    <x:col min="13" max="13" width="58" hidden="0" customWidth="1"/>
    <x:col min="14" max="14" width="58" hidden="0" customWidth="1"/>
    <x:col min="15" max="15" width="24" hidden="0" customWidth="1"/>
    <x:col min="16" max="16" width="22" hidden="0" customWidth="1"/>
    <x:col min="17" max="17" width="64" hidden="0" customWidth="1"/>
  </x:cols>
  <x:sheetData>
    <x:row r="1" ht="44" hidden="0" customHeight="1">
      <x:c r="A1" s="79" t="str">
        <x:v>source_id</x:v>
      </x:c>
      <x:c r="B1" s="79" t="str">
        <x:v>citation</x:v>
      </x:c>
      <x:c r="C1" s="79" t="str">
        <x:v>url</x:v>
      </x:c>
      <x:c r="D1" s="79" t="str">
        <x:v>accessed_on</x:v>
      </x:c>
      <x:c r="E1" s="79" t="str">
        <x:v>exact_locator</x:v>
      </x:c>
      <x:c r="F1" s="79" t="str">
        <x:v>source_type</x:v>
      </x:c>
      <x:c r="G1" s="79" t="str">
        <x:v>source_role</x:v>
      </x:c>
      <x:c r="H1" s="79" t="str">
        <x:v>pathway_ids</x:v>
      </x:c>
      <x:c r="I1" s="79" t="str">
        <x:v>evidence_tier</x:v>
      </x:c>
      <x:c r="J1" s="79" t="str">
        <x:v>target_asset_match</x:v>
      </x:c>
      <x:c r="K1" s="79" t="str">
        <x:v>target_failure_unit_match</x:v>
      </x:c>
      <x:c r="L1" s="79" t="str">
        <x:v>measured_or_modeled_endpoint</x:v>
      </x:c>
      <x:c r="M1" s="79" t="str">
        <x:v>permitted_inference</x:v>
      </x:c>
      <x:c r="N1" s="79" t="str">
        <x:v>prohibited_inference</x:v>
      </x:c>
      <x:c r="O1" s="79" t="str">
        <x:v>decision</x:v>
      </x:c>
      <x:c r="P1" s="79" t="str">
        <x:v>status</x:v>
      </x:c>
      <x:c r="Q1" s="79" t="str">
        <x:v>notes</x:v>
      </x:c>
    </x:row>
    <x:row r="2" ht="15" hidden="0" customHeight="1">
      <x:c r="A2" s="75" t="str">
        <x:v>TCWW-S001</x:v>
      </x:c>
      <x:c r="B2" s="75" t="str">
        <x:v>NOAA/National Hurricane Center, Glossary of NHC Terms, Maximum Sustained Surface Wind.</x:v>
      </x:c>
      <x:c r="C2" s="75" t="str">
        <x:v>https://www.nhc.noaa.gov/aboutgloss.shtml</x:v>
      </x:c>
      <x:c r="D2" s="75" t="str">
        <x:v>2026-07-28</x:v>
      </x:c>
      <x:c r="E2" s="75" t="str">
        <x:v>entry: Maximum Sustained Surface Wind</x:v>
      </x:c>
      <x:c r="F2" s="75" t="str">
        <x:v>government glossary</x:v>
      </x:c>
      <x:c r="G2" s="75" t="str">
        <x:v>axis_bridge</x:v>
      </x:c>
      <x:c r="H2" s="75" t="str">
        <x:v>tropical_cyclone_wind</x:v>
      </x:c>
      <x:c r="I2" s="75" t="str">
        <x:v>T2_public_lab_standard_or_physics</x:v>
      </x:c>
      <x:c r="J2" s="75" t="str">
        <x:v>none</x:v>
      </x:c>
      <x:c r="K2" s="75" t="str">
        <x:v>none</x:v>
      </x:c>
      <x:c r="L2" s="75" t="str">
        <x:v>highest one-minute average wind at 10 m unobstructed exposure</x:v>
      </x:c>
      <x:c r="M2" s="75" t="str">
        <x:v>Define NHC source-native storm intensity and reject category as turbine demand.</x:v>
      </x:c>
      <x:c r="N2" s="75" t="str">
        <x:v>Convert to hub/rotor demand or damage without a named bridge.</x:v>
      </x:c>
      <x:c r="O2" s="75" t="str">
        <x:v>adopt</x:v>
      </x:c>
      <x:c r="P2" s="75" t="str">
        <x:v>reviewed</x:v>
      </x:c>
      <x:c r="Q2" s="75" t="str">
        <x:v>Hazard definition only.</x:v>
      </x:c>
    </x:row>
    <x:row r="3" ht="21.600000381469727" hidden="0" customHeight="1">
      <x:c r="A3" s="75" t="str">
        <x:v>TCWW-S002</x:v>
      </x:c>
      <x:c r="B3" s="75" t="str">
        <x:v>International Electrotechnical Commission, IEC 61400-1:2019+AMD1:2025 CSV, Wind energy generation systems - Part 1: Design requirements.</x:v>
      </x:c>
      <x:c r="C3" s="75" t="str">
        <x:v>https://webstore.iec.ch/en/publication/26423</x:v>
      </x:c>
      <x:c r="D3" s="75" t="str">
        <x:v>2026-07-28</x:v>
      </x:c>
      <x:c r="E3" s="75" t="str">
        <x:v>official product page; significant technical changes</x:v>
      </x:c>
      <x:c r="F3" s="75" t="str">
        <x:v>standard</x:v>
      </x:c>
      <x:c r="G3" s="75" t="str">
        <x:v>selector_archetype</x:v>
      </x:c>
      <x:c r="H3" s="75" t="str">
        <x:v>tropical_cyclone_wind</x:v>
      </x:c>
      <x:c r="I3" s="75" t="str">
        <x:v>T2_public_lab_standard_or_physics</x:v>
      </x:c>
      <x:c r="J3" s="75" t="str">
        <x:v>direct</x:v>
      </x:c>
      <x:c r="K3" s="75" t="str">
        <x:v>partial</x:v>
      </x:c>
      <x:c r="L3" s="75" t="str">
        <x:v>design-requirement scope and extension of turbine classes for tropical-cyclone/high-turbulence environments</x:v>
      </x:c>
      <x:c r="M3" s="75" t="str">
        <x:v>Record design-standard lineage as a selector and confirm TC-specific design treatment.</x:v>
      </x:c>
      <x:c r="N3" s="75" t="str">
        <x:v>Treat a design value as a failure median or cite inaccessible clauses/tables as curve parameters.</x:v>
      </x:c>
      <x:c r="O3" s="75" t="str">
        <x:v>adopt_with_limits</x:v>
      </x:c>
      <x:c r="P3" s="75" t="str">
        <x:v>reviewed</x:v>
      </x:c>
      <x:c r="Q3" s="75" t="str">
        <x:v>Official page supports scope; licensed normative text is not embedded.</x:v>
      </x:c>
    </x:row>
    <x:row r="4" ht="21.600000381469727" hidden="0" customHeight="1">
      <x:c r="A4" s="75" t="str">
        <x:v>TCWW-S003</x:v>
      </x:c>
      <x:c r="B4" s="75" t="str">
        <x:v>Rose, S.; Jaramillo, P.; Small, M. J.; Grossmann, I.; Apt, J. Quantifying the hurricane risk to offshore wind turbines. PNAS 109(9), 3247-3252 (2012). DOI 10.1073/pnas.1111769109.</x:v>
      </x:c>
      <x:c r="C4" s="75" t="str">
        <x:v>https://pmc.ncbi.nlm.nih.gov/articles/PMC3295275/</x:v>
      </x:c>
      <x:c r="D4" s="75" t="str">
        <x:v>2026-07-28</x:v>
      </x:c>
      <x:c r="E4" s="75" t="str">
        <x:v>Methods: turbine damage; Eq. 5; Table 1</x:v>
      </x:c>
      <x:c r="F4" s="75" t="str">
        <x:v>peer-reviewed paper</x:v>
      </x:c>
      <x:c r="G4" s="75" t="str">
        <x:v>validation_only</x:v>
      </x:c>
      <x:c r="H4" s="75" t="str">
        <x:v>tropical_cyclone_wind</x:v>
      </x:c>
      <x:c r="I4" s="75" t="str">
        <x:v>T3_engineering_proxy_or_adjacent_empirical</x:v>
      </x:c>
      <x:c r="J4" s="75" t="str">
        <x:v>adjacent</x:v>
      </x:c>
      <x:c r="K4" s="75" t="str">
        <x:v>direct</x:v>
      </x:c>
      <x:c r="L4" s="75" t="str">
        <x:v>modeled binary tower-buckling probability for the NREL 5-MW reference turbine versus 10-minute hub-height wind in knots under aligned active-yaw and perpendicular non-yaw states</x:v>
      </x:c>
      <x:c r="M4" s="75" t="str">
        <x:v>Reproduce native tower-buckling functions and demonstrate yaw-state materiality.</x:v>
      </x:c>
      <x:c r="N4" s="75" t="str">
        <x:v>Convert to surface mph with an undocumented factor; calibrate blades/nacelle/foundation; call probability economic DR; transfer offshore/reference-turbine response to generic onshore fleet.</x:v>
      </x:c>
      <x:c r="O4" s="75" t="str">
        <x:v>defer_candidate_validation</x:v>
      </x:c>
      <x:c r="P4" s="75" t="str">
        <x:v>reviewed</x:v>
      </x:c>
      <x:c r="Q4" s="75" t="str">
        <x:v>Article explicitly models tower buckling only and uses a rigid onshore-version foundation without waves for structural analysis.</x:v>
      </x:c>
    </x:row>
    <x:row r="5" ht="21.600000381469727" hidden="0" customHeight="1">
      <x:c r="A5" s="75" t="str">
        <x:v>TCWW-S004</x:v>
      </x:c>
      <x:c r="B5" s="75" t="str">
        <x:v>Rose, S. et al. Correction: Quantifying the hurricane risk to offshore wind turbines. PNAS 109(34), 13814 (2012). DOI 10.1073/pnas.1211974109.</x:v>
      </x:c>
      <x:c r="C5" s="75" t="str">
        <x:v>https://pmc.ncbi.nlm.nih.gov/articles/PMC3421214/</x:v>
      </x:c>
      <x:c r="D5" s="75" t="str">
        <x:v>2026-07-28</x:v>
      </x:c>
      <x:c r="E5" s="75" t="str">
        <x:v>correction notice: equations 6 and 8</x:v>
      </x:c>
      <x:c r="F5" s="75" t="str">
        <x:v>peer-reviewed correction</x:v>
      </x:c>
      <x:c r="G5" s="75" t="str">
        <x:v>validation_only</x:v>
      </x:c>
      <x:c r="H5" s="75" t="str">
        <x:v>tropical_cyclone_wind</x:v>
      </x:c>
      <x:c r="I5" s="75" t="str">
        <x:v>T2_public_lab_standard_or_physics</x:v>
      </x:c>
      <x:c r="J5" s="75" t="str">
        <x:v>adjacent</x:v>
      </x:c>
      <x:c r="K5" s="75" t="str">
        <x:v>partial</x:v>
      </x:c>
      <x:c r="L5" s="75" t="str">
        <x:v>formal correction to risk equations 6 and 8</x:v>
      </x:c>
      <x:c r="M5" s="75" t="str">
        <x:v>Preserve citation identity and scope of correction.</x:v>
      </x:c>
      <x:c r="N5" s="75" t="str">
        <x:v>Claim that the correction changes Eq. 5 or Table 1 without evidence.</x:v>
      </x:c>
      <x:c r="O5" s="75" t="str">
        <x:v>adopt</x:v>
      </x:c>
      <x:c r="P5" s="75" t="str">
        <x:v>reviewed</x:v>
      </x:c>
      <x:c r="Q5" s="75" t="str">
        <x:v>Correction does not repair the economic endpoint gap.</x:v>
      </x:c>
    </x:row>
    <x:row r="6" ht="32.400001525878906" hidden="0" customHeight="1">
      <x:c r="A6" s="75" t="str">
        <x:v>TCWW-S005</x:v>
      </x:c>
      <x:c r="B6" s="75" t="str">
        <x:v>Jaimes, M. A.; Garcia-Soto, A. D.; Martin del Campo, J. O.; Pozos-Estrada, A. Probabilistic risk assessment on wind turbine towers subjected to cyclone-induced wind loads. Wind Energy 23(3), 528-546 (2020). DOI 10.1002/we.2436.</x:v>
      </x:c>
      <x:c r="C6" s="75" t="str">
        <x:v>https://doi.org/10.1002/we.2436</x:v>
      </x:c>
      <x:c r="D6" s="75" t="str">
        <x:v>2026-07-28</x:v>
      </x:c>
      <x:c r="E6" s="75" t="str">
        <x:v>sections 2.1, 2.3.1, and 3.3.1-3.3.5; Tables 2-3; Figures 5-6; Eqs. 1 and 11-13</x:v>
      </x:c>
      <x:c r="F6" s="75" t="str">
        <x:v>peer-reviewed paper</x:v>
      </x:c>
      <x:c r="G6" s="75" t="str">
        <x:v>curve_fit_shape</x:v>
      </x:c>
      <x:c r="H6" s="75" t="str">
        <x:v>tropical_cyclone_wind</x:v>
      </x:c>
      <x:c r="I6" s="75" t="str">
        <x:v>T3_engineering_proxy_or_adjacent_empirical</x:v>
      </x:c>
      <x:c r="J6" s="75" t="str">
        <x:v>partial</x:v>
      </x:c>
      <x:c r="K6" s="75" t="str">
        <x:v>direct</x:v>
      </x:c>
      <x:c r="L6" s="75" t="str">
        <x:v>modeled DS1/DS2/DS3 tower fragilities for three generic fixed-base land-based turbine towers on a 3-second gust at 10 m axis; assumed economic vulnerability mapping</x:v>
      </x:c>
      <x:c r="M6" s="75" t="str">
        <x:v>Retain exact DS3 parameters as narrow archetype-specific tower-collapse candidates within 108-252 km/h; retain simulation/state metadata.</x:v>
      </x:c>
      <x:c r="N6" s="75" t="str">
        <x:v>Treat assumed vulnerability curves as claims-calibrated; transfer to modern greater-than-3.3-MW turbines; infer blades/nacelle/foundation or all-severity equipment DR.</x:v>
      </x:c>
      <x:c r="O6" s="75" t="str">
        <x:v>defer_candidate_only</x:v>
      </x:c>
      <x:c r="P6" s="75" t="str">
        <x:v>reviewed</x:v>
      </x:c>
      <x:c r="Q6" s="75" t="str">
        <x:v>Table 2 gives 44 m for the 1-MW hub while Figure 5 caption says 40 m; use Table 2 and flag discrepancy.</x:v>
      </x:c>
    </x:row>
    <x:row r="7" ht="21.600000381469727" hidden="0" customHeight="1">
      <x:c r="A7" s="75" t="str">
        <x:v>TCWW-S006</x:v>
      </x:c>
      <x:c r="B7" s="75" t="str">
        <x:v>Electric Power Research Institute. Tropical Cyclone and Tornado Risks to Wind Turbines. Report 3002004460 (2014).</x:v>
      </x:c>
      <x:c r="C7" s="75" t="str">
        <x:v>https://restservice.epri.com/publicdownload/000000003002004460/0/Product</x:v>
      </x:c>
      <x:c r="D7" s="75" t="str">
        <x:v>2026-07-28</x:v>
      </x:c>
      <x:c r="E7" s="75" t="str">
        <x:v>pp. 3-8 to 3-9; pp. 4-1 to 4-2; pp. 6-1 to 6-2</x:v>
      </x:c>
      <x:c r="F7" s="75" t="str">
        <x:v>industry technical report</x:v>
      </x:c>
      <x:c r="G7" s="75" t="str">
        <x:v>mechanism_only</x:v>
      </x:c>
      <x:c r="H7" s="75" t="str">
        <x:v>tropical_cyclone_wind</x:v>
      </x:c>
      <x:c r="I7" s="75" t="str">
        <x:v>T3_engineering_proxy_or_adjacent_empirical</x:v>
      </x:c>
      <x:c r="J7" s="75" t="str">
        <x:v>partial</x:v>
      </x:c>
      <x:c r="K7" s="75" t="str">
        <x:v>partial</x:v>
      </x:c>
      <x:c r="L7" s="75" t="str">
        <x:v>review of sparse modern-turbine loss record; gust-versus-duration/component distinction; yaw/grid-loss and damage-function gaps</x:v>
      </x:c>
      <x:c r="M7" s="75" t="str">
        <x:v>Support fail-closed decision and field/conditioner inventory.</x:v>
      </x:c>
      <x:c r="N7" s="75" t="str">
        <x:v>Use review statements or historical summaries as numerical calibration.</x:v>
      </x:c>
      <x:c r="O7" s="75" t="str">
        <x:v>adopt_with_limits</x:v>
      </x:c>
      <x:c r="P7" s="75" t="str">
        <x:v>reviewed</x:v>
      </x:c>
      <x:c r="Q7" s="75" t="str">
        <x:v>The report itself says modern utility-turbine TC records are too limited for a claims-based damage function.</x:v>
      </x:c>
    </x:row>
    <x:row r="8" ht="21.600000381469727" hidden="0" customHeight="1">
      <x:c r="A8" s="75" t="str">
        <x:v>TCWW-S007</x:v>
      </x:c>
      <x:c r="B8" s="75" t="str">
        <x:v>Kapoor, A. et al. Hurricane eyewall winds and structural response of wind turbines. Wind Energy Science 5, 89-104 (2020). DOI 10.5194/wes-5-89-2020.</x:v>
      </x:c>
      <x:c r="C8" s="75" t="str">
        <x:v>https://www.nrel.gov/docs/fy20osti/76101.pdf</x:v>
      </x:c>
      <x:c r="D8" s="75" t="str">
        <x:v>2026-07-28</x:v>
      </x:c>
      <x:c r="E8" s="75" t="str">
        <x:v>sections 2-4; Table 7; Conclusions</x:v>
      </x:c>
      <x:c r="F8" s="75" t="str">
        <x:v>peer-reviewed modeling paper</x:v>
      </x:c>
      <x:c r="G8" s="75" t="str">
        <x:v>mechanism_only</x:v>
      </x:c>
      <x:c r="H8" s="75" t="str">
        <x:v>tropical_cyclone_wind</x:v>
      </x:c>
      <x:c r="I8" s="75" t="str">
        <x:v>T2_public_lab_standard_or_physics</x:v>
      </x:c>
      <x:c r="J8" s="75" t="str">
        <x:v>adjacent</x:v>
      </x:c>
      <x:c r="K8" s="75" t="str">
        <x:v>partial</x:v>
      </x:c>
      <x:c r="L8" s="75" t="str">
        <x:v>modeled DTU 10-MW turbine loads under idealized Category-5 eyewall fields including veer and rapid direction change</x:v>
      </x:c>
      <x:c r="M8" s="75" t="str">
        <x:v>Treat veer/direction/yaw history as load-bearing bridge or conditioner fields.</x:v>
      </x:c>
      <x:c r="N8" s="75" t="str">
        <x:v>Convert load amplification to DR; apply offshore wind-field results as onshore fragility; use one storm as general distribution.</x:v>
      </x:c>
      <x:c r="O8" s="75" t="str">
        <x:v>adopt_with_limits</x:v>
      </x:c>
      <x:c r="P8" s="75" t="str">
        <x:v>reviewed</x:v>
      </x:c>
      <x:c r="Q8" s="75" t="str">
        <x:v>The study isolates atmospheric effects using an onshore turbine version but an offshore hurricane field and no waves.</x:v>
      </x:c>
    </x:row>
    <x:row r="9" ht="21.600000381469727" hidden="0" customHeight="1">
      <x:c r="A9" s="75" t="str">
        <x:v>TCWW-S008</x:v>
      </x:c>
      <x:c r="B9" s="75" t="str">
        <x:v>Chen, X.; Xu, J. Z. Structural failure analysis of wind turbines impacted by super typhoon Usagi. Engineering Failure Analysis 60, 391-404 (2016). DOI 10.1016/j.engfailanal.2015.11.028.</x:v>
      </x:c>
      <x:c r="C9" s="75" t="str">
        <x:v>https://www.sciencedirect.com/science/article/pii/S1350630715301552</x:v>
      </x:c>
      <x:c r="D9" s="75" t="str">
        <x:v>2026-07-28</x:v>
      </x:c>
      <x:c r="E9" s="75" t="str">
        <x:v>Wind farm damage overview; Design wind speed; Conclusions</x:v>
      </x:c>
      <x:c r="F9" s="75" t="str">
        <x:v>peer-reviewed field and structural case study</x:v>
      </x:c>
      <x:c r="G9" s="75" t="str">
        <x:v>case_study_severity</x:v>
      </x:c>
      <x:c r="H9" s="75" t="str">
        <x:v>tropical_cyclone_wind</x:v>
      </x:c>
      <x:c r="I9" s="75" t="str">
        <x:v>T3_engineering_proxy_or_adjacent_empirical</x:v>
      </x:c>
      <x:c r="J9" s="75" t="str">
        <x:v>direct</x:v>
      </x:c>
      <x:c r="K9" s="75" t="str">
        <x:v>partial</x:v>
      </x:c>
      <x:c r="L9" s="75" t="str">
        <x:v>field-observed tower collapse and blade fracture in one 25-turbine coastal farm plus structural analysis of stop position and direction change</x:v>
      </x:c>
      <x:c r="M9" s="75" t="str">
        <x:v>Confirm terminal-state dependence and importance of emergency-stop/control configuration.</x:v>
      </x:c>
      <x:c r="N9" s="75" t="str">
        <x:v>Fit a population fragility or economic DR without turbine-local denominators and matched unaffected-unit covariates.</x:v>
      </x:c>
      <x:c r="O9" s="75" t="str">
        <x:v>adopt_with_limits</x:v>
      </x:c>
      <x:c r="P9" s="75" t="str">
        <x:v>reviewed</x:v>
      </x:c>
      <x:c r="Q9" s="75" t="str">
        <x:v>Raw one-event field/case evidence, not a claims- or field-calibrated curve. Eight towers collapsed and eleven additional blades failed.</x:v>
      </x:c>
    </x:row>
    <x:row r="10" ht="21.600000381469727" hidden="0" customHeight="1">
      <x:c r="A10" s="75" t="str">
        <x:v>TCWW-S009</x:v>
      </x:c>
      <x:c r="B10" s="75" t="str">
        <x:v>Chou, J.-S.; Tu, W.-T. Failure analysis and risk management of a collapsed large wind turbine tower. Engineering Failure Analysis 18(1), 295-313 (2011). DOI 10.1016/j.engfailanal.2010.09.008.</x:v>
      </x:c>
      <x:c r="C10" s="75" t="str">
        <x:v>https://www.sciencedirect.com/science/article/pii/S1350630710001603</x:v>
      </x:c>
      <x:c r="D10" s="75" t="str">
        <x:v>2026-07-28</x:v>
      </x:c>
      <x:c r="E10" s="75" t="str">
        <x:v>abstract; post-disaster inspection and failure analysis</x:v>
      </x:c>
      <x:c r="F10" s="75" t="str">
        <x:v>peer-reviewed forensic case study</x:v>
      </x:c>
      <x:c r="G10" s="75" t="str">
        <x:v>case_study_severity</x:v>
      </x:c>
      <x:c r="H10" s="75" t="str">
        <x:v>tropical_cyclone_wind</x:v>
      </x:c>
      <x:c r="I10" s="75" t="str">
        <x:v>T3_engineering_proxy_or_adjacent_empirical</x:v>
      </x:c>
      <x:c r="J10" s="75" t="str">
        <x:v>direct</x:v>
      </x:c>
      <x:c r="K10" s="75" t="str">
        <x:v>direct</x:v>
      </x:c>
      <x:c r="L10" s="75" t="str">
        <x:v>post-disaster investigation of one Jangmi tower collapse</x:v>
      </x:c>
      <x:c r="M10" s="75" t="str">
        <x:v>Confirm that construction/bolt quality and tower-specific details can be load-bearing selectors.</x:v>
      </x:c>
      <x:c r="N10" s="75" t="str">
        <x:v>Derive a generic threshold, probability, or value consequence from one failed turbine.</x:v>
      </x:c>
      <x:c r="O10" s="75" t="str">
        <x:v>adopt_with_limits</x:v>
      </x:c>
      <x:c r="P10" s="75" t="str">
        <x:v>reviewed</x:v>
      </x:c>
      <x:c r="Q10" s="75" t="str">
        <x:v>Raw single-case field evidence, not a field-calibrated curve.</x:v>
      </x:c>
    </x:row>
    <x:row r="11" ht="21.600000381469727" hidden="0" customHeight="1">
      <x:c r="A11" s="75" t="str">
        <x:v>TCWW-S010</x:v>
      </x:c>
      <x:c r="B11" s="75" t="str">
        <x:v>Stehly, T.; Duffy, P.; Mulas Hernando, D. Cost of Wind Energy Review: 2024 Edition. NREL/TP-5000-91775.</x:v>
      </x:c>
      <x:c r="C11" s="75" t="str">
        <x:v>https://www.nrel.gov/docs/fy25osti/91775.pdf</x:v>
      </x:c>
      <x:c r="D11" s="75" t="str">
        <x:v>2026-07-28</x:v>
      </x:c>
      <x:c r="E11" s="75" t="str">
        <x:v>land-based reference plant capital-cost breakdown and appendix</x:v>
      </x:c>
      <x:c r="F11" s="75" t="str">
        <x:v>government technical report</x:v>
      </x:c>
      <x:c r="G11" s="75" t="str">
        <x:v>exposure_or_value</x:v>
      </x:c>
      <x:c r="H11" s="75" t="str">
        <x:v>all_shared</x:v>
      </x:c>
      <x:c r="I11" s="75" t="str">
        <x:v>T2_public_lab_standard_or_physics</x:v>
      </x:c>
      <x:c r="J11" s="75" t="str">
        <x:v>direct</x:v>
      </x:c>
      <x:c r="K11" s="75" t="str">
        <x:v>direct</x:v>
      </x:c>
      <x:c r="L11" s="75" t="str">
        <x:v>2023-USD component, balance-of-system, support, and soft-cost reference ledger</x:v>
      </x:c>
      <x:c r="M11" s="75" t="str">
        <x:v>Reuse row-level reference values and reconcile denominators.</x:v>
      </x:c>
      <x:c r="N11" s="75" t="str">
        <x:v>Infer damage probability, repair disposition, support allocation, or a site/OEM replacement schedule.</x:v>
      </x:c>
      <x:c r="O11" s="75" t="str">
        <x:v>adopt_with_limits</x:v>
      </x:c>
      <x:c r="P11" s="75" t="str">
        <x:v>reviewed</x:v>
      </x:c>
      <x:c r="Q11" s="75" t="str">
        <x:v>Reference value archetype only.</x:v>
      </x:c>
    </x:row>
    <x:row r="12" ht="21.600000381469727" hidden="0" customHeight="1">
      <x:c r="A12" s="75" t="str">
        <x:v>TCWW-S011</x:v>
      </x:c>
      <x:c r="B12" s="75" t="str">
        <x:v>National Renewable Energy Laboratory. Hurricane Resilient Wind Plant Concept Study Final Report. NREL/TP-5000-66869 (2016).</x:v>
      </x:c>
      <x:c r="C12" s="75" t="str">
        <x:v>https://www.nrel.gov/docs/fy17osti/66869.pdf</x:v>
      </x:c>
      <x:c r="D12" s="75" t="str">
        <x:v>2026-07-28</x:v>
      </x:c>
      <x:c r="E12" s="75" t="str">
        <x:v>Chapter 1 and hurricane design/load-control sections</x:v>
      </x:c>
      <x:c r="F12" s="75" t="str">
        <x:v>government technical report</x:v>
      </x:c>
      <x:c r="G12" s="75" t="str">
        <x:v>mechanism_only</x:v>
      </x:c>
      <x:c r="H12" s="75" t="str">
        <x:v>tropical_cyclone_wind</x:v>
      </x:c>
      <x:c r="I12" s="75" t="str">
        <x:v>T3_engineering_proxy_or_adjacent_empirical</x:v>
      </x:c>
      <x:c r="J12" s="75" t="str">
        <x:v>adjacent</x:v>
      </x:c>
      <x:c r="K12" s="75" t="str">
        <x:v>partial</x:v>
      </x:c>
      <x:c r="L12" s="75" t="str">
        <x:v>offshore 10-MW hurricane-resilient concept and control/load design considerations</x:v>
      </x:c>
      <x:c r="M12" s="75" t="str">
        <x:v>Support neighboring offshore boundary and mechanism inventory.</x:v>
      </x:c>
      <x:c r="N12" s="75" t="str">
        <x:v>Transfer offshore concept capacity or mitigation coefficients to generic onshore turbines.</x:v>
      </x:c>
      <x:c r="O12" s="75" t="str">
        <x:v>defer_adjacent</x:v>
      </x:c>
      <x:c r="P12" s="75" t="str">
        <x:v>reviewed</x:v>
      </x:c>
      <x:c r="Q12" s="75" t="str">
        <x:v>Corrects the legacy/current source-register misidentification of NREL/TP-5000-88195.</x:v>
      </x:c>
    </x:row>
    <x:row r="13" ht="21.600000381469727" hidden="0" customHeight="1">
      <x:c r="A13" s="75" t="str">
        <x:v>TCWW-S012</x:v>
      </x:c>
      <x:c r="B13" s="75" t="str">
        <x:v>Mudd, L. A.; Vickery, P. J. Gulf of Mexico Offshore Wind Energy Hurricane Risk Assessment. NREL/SR-5000-88211 (2023).</x:v>
      </x:c>
      <x:c r="C13" s="75" t="str">
        <x:v>https://www.nrel.gov/docs/fy24osti/88211.pdf</x:v>
      </x:c>
      <x:c r="D13" s="75" t="str">
        <x:v>2026-07-28</x:v>
      </x:c>
      <x:c r="E13" s="75" t="str">
        <x:v>Executive Summary; duration-and-height conversion methodology; design-limit comparisons</x:v>
      </x:c>
      <x:c r="F13" s="75" t="str">
        <x:v>government subcontract report</x:v>
      </x:c>
      <x:c r="G13" s="75" t="str">
        <x:v>axis_bridge</x:v>
      </x:c>
      <x:c r="H13" s="75" t="str">
        <x:v>tropical_cyclone_wind</x:v>
      </x:c>
      <x:c r="I13" s="75" t="str">
        <x:v>T2_public_lab_standard_or_physics</x:v>
      </x:c>
      <x:c r="J13" s="75" t="str">
        <x:v>adjacent</x:v>
      </x:c>
      <x:c r="K13" s="75" t="str">
        <x:v>none</x:v>
      </x:c>
      <x:c r="L13" s="75" t="str">
        <x:v>hurricane wind-hazard duration/height conversions and IEC comparison for Gulf offshore design</x:v>
      </x:c>
      <x:c r="M13" s="75" t="str">
        <x:v>Demonstrate that duration and reference height require an explicit method and uncertainty.</x:v>
      </x:c>
      <x:c r="N13" s="75" t="str">
        <x:v>Use an offshore design-hazard converter as a universal onshore damage bridge or curve.</x:v>
      </x:c>
      <x:c r="O13" s="75" t="str">
        <x:v>adopt_with_limits</x:v>
      </x:c>
      <x:c r="P13" s="75" t="str">
        <x:v>reviewed</x:v>
      </x:c>
      <x:c r="Q13" s="75" t="str">
        <x:v>Hazard/bridge source, not vulnerability calibration.</x:v>
      </x:c>
    </x:row>
    <x:row r="14" ht="32.400001525878906" hidden="0" customHeight="1">
      <x:c r="A14" s="75" t="str">
        <x:v>TCWW-S013</x:v>
      </x:c>
      <x:c r="B14" s="75" t="str">
        <x:v>Martin del Campo, J. O.; Pozos-Estrada, A.; Pozos-Estrada, O. Development of fragility curves of land-based wind turbines with tuned mass dampers under cyclone and seismic loading. Wind Energy 24(7), 737-753 (2021). DOI 10.1002/we.2600.</x:v>
      </x:c>
      <x:c r="C14" s="75" t="str">
        <x:v>https://onlinelibrary.wiley.com/doi/10.1002/we.2600</x:v>
      </x:c>
      <x:c r="D14" s="75" t="str">
        <x:v>2026-07-28</x:v>
      </x:c>
      <x:c r="E14" s="75" t="str">
        <x:v>model description; cyclone fragility comparisons; conclusions</x:v>
      </x:c>
      <x:c r="F14" s="75" t="str">
        <x:v>peer-reviewed modeling paper</x:v>
      </x:c>
      <x:c r="G14" s="75" t="str">
        <x:v>validation_only</x:v>
      </x:c>
      <x:c r="H14" s="75" t="str">
        <x:v>tropical_cyclone_wind</x:v>
      </x:c>
      <x:c r="I14" s="75" t="str">
        <x:v>T3_engineering_proxy_or_adjacent_empirical</x:v>
      </x:c>
      <x:c r="J14" s="75" t="str">
        <x:v>partial</x:v>
      </x:c>
      <x:c r="K14" s="75" t="str">
        <x:v>direct</x:v>
      </x:c>
      <x:c r="L14" s="75" t="str">
        <x:v>modeled land-based turbine-tower fragility with and without tuned mass dampers</x:v>
      </x:c>
      <x:c r="M14" s="75" t="str">
        <x:v>Validate that tower archetype and damping design can change fragility.</x:v>
      </x:c>
      <x:c r="N14" s="75" t="str">
        <x:v>Adopt a universal TMD credit or economic DR without exact matching and loss evidence.</x:v>
      </x:c>
      <x:c r="O14" s="75" t="str">
        <x:v>defer_candidate_validation</x:v>
      </x:c>
      <x:c r="P14" s="75" t="str">
        <x:v>reviewed</x:v>
      </x:c>
      <x:c r="Q14" s="75" t="str">
        <x:v>Related to the Jaimes model family; not independent field calibration.</x:v>
      </x:c>
    </x:row>
    <x:row r="15" ht="43.20000076293945" hidden="0" customHeight="1">
      <x:c r="A15" s="75" t="str">
        <x:v>LEG-TCWW-001</x:v>
      </x:c>
      <x:c r="B15" s="75" t="str">
        <x:v>InfraSure legacy HURRICANE x WIND deep-research memo, March 12 2026.</x:v>
      </x:c>
      <x:c r="C15" s="75" t="str">
        <x:v>infrasure-damage-curves/research/HURRICANE_x_WIND.md</x:v>
      </x:c>
      <x:c r="D15" s="75" t="str">
        <x:v>2026-07-28</x:v>
      </x:c>
      <x:c r="E15" s="75" t="str">
        <x:v>full memo; especially sections 1-7 and Appendix B</x:v>
      </x:c>
      <x:c r="F15" s="75" t="str">
        <x:v>legacy research memo</x:v>
      </x:c>
      <x:c r="G15" s="75" t="str">
        <x:v>rejected</x:v>
      </x:c>
      <x:c r="H15" s="75" t="str">
        <x:v>tropical_cyclone_wind</x:v>
      </x:c>
      <x:c r="I15" s="75" t="str">
        <x:v>T4_placeholder_or_expert_judgment</x:v>
      </x:c>
      <x:c r="J15" s="75" t="str">
        <x:v>partial</x:v>
      </x:c>
      <x:c r="K15" s="75" t="str">
        <x:v>partial</x:v>
      </x:c>
      <x:c r="L15" s="75" t="str">
        <x:v>seven proposed ordinary-logistic component damage curves and mixed source summaries</x:v>
      </x:c>
      <x:c r="M15" s="75" t="str">
        <x:v>Use as source-discovery and numerical-reproduction input only.</x:v>
      </x:c>
      <x:c r="N15" s="75" t="str">
        <x:v>Adopt any ordinate, parameter, threshold, conversion, confidence label, or farm-loss inference.</x:v>
      </x:c>
      <x:c r="O15" s="75" t="str">
        <x:v>reject_runtime_retain_audit</x:v>
      </x:c>
      <x:c r="P15" s="75" t="str">
        <x:v>reviewed</x:v>
      </x:c>
      <x:c r="Q15" s="75" t="str">
        <x:v>Pinned origin: repository infrasure-damage-curves commit 12653b2c3d5a013c9524228243ea666c35bb3814; file blob d94162e593acc33dde914d9ebedb6256e4772dae. Contains conversion, formula/table, aggregation, endpoint, and citation-identity defects.</x:v>
      </x:c>
    </x:row>
    <x:row r="16" ht="32.400001525878906" hidden="0" customHeight="1">
      <x:c r="A16" s="75" t="str">
        <x:v>LEG-TCWW-002</x:v>
      </x:c>
      <x:c r="B16" s="75" t="str">
        <x:v>Hazard Modeling hurricane/wind-farm M3 placeholder implementation.</x:v>
      </x:c>
      <x:c r="C16" s="75" t="str">
        <x:v>Hazard_modeling/Notebooks/hurricane/wind_farm/m3_damage/01_damage.py</x:v>
      </x:c>
      <x:c r="D16" s="75" t="str">
        <x:v>2026-07-28</x:v>
      </x:c>
      <x:c r="E16" s="75" t="str">
        <x:v>lines 15-33 and 75-110; emit section</x:v>
      </x:c>
      <x:c r="F16" s="75" t="str">
        <x:v>consumer code</x:v>
      </x:c>
      <x:c r="G16" s="75" t="str">
        <x:v>rejected</x:v>
      </x:c>
      <x:c r="H16" s="75" t="str">
        <x:v>tropical_cyclone_wind</x:v>
      </x:c>
      <x:c r="I16" s="75" t="str">
        <x:v>T4_placeholder_or_expert_judgment</x:v>
      </x:c>
      <x:c r="J16" s="75" t="str">
        <x:v>partial</x:v>
      </x:c>
      <x:c r="K16" s="75" t="str">
        <x:v>none</x:v>
      </x:c>
      <x:c r="L16" s="75" t="str">
        <x:v>copied convective logistics on hardcoded full-TIV shares with a 0.65 asymptote</x:v>
      </x:c>
      <x:c r="M16" s="75" t="str">
        <x:v>Freeze as regression and migration fixture.</x:v>
      </x:c>
      <x:c r="N16" s="75" t="str">
        <x:v>Treat as scientific calibration, governed Damage artifact, or acceptable current curve.</x:v>
      </x:c>
      <x:c r="O16" s="75" t="str">
        <x:v>reject_runtime_retain_audit</x:v>
      </x:c>
      <x:c r="P16" s="75" t="str">
        <x:v>reviewed</x:v>
      </x:c>
      <x:c r="Q16" s="75" t="str">
        <x:v>Pinned origin: repository Hazard_modeling commit 63a01ca190d14fc87ecf9879abcfb7dad21625be; file blob 5f673dc941290ca4d1607f59f73a803103855441. Tower/foundation/civil zeros mean withheld evidence was converted into zero damage.</x:v>
      </x:c>
    </x:row>
    <x:row r="17" ht="64.80000305175781" hidden="0" customHeight="1">
      <x:c r="A17" s="75" t="str">
        <x:v>GOVERNANCE_CONTRACT</x:v>
      </x:c>
      <x:c r="B17" s="75" t="str">
        <x:v>Damage Modeling repository governance: global method standards, contracts, and damage-curve skill controls.</x:v>
      </x:c>
      <x:c r="C17" s="75" t="str">
        <x:v>docs/method/standards/00_index.md</x:v>
      </x:c>
      <x:c r="D17" s="75" t="str">
        <x:v>2026-07-28</x:v>
      </x:c>
      <x:c r="E17" s="75" t="str">
        <x:v>docs/method/standards/02_cell_package_standard.md; docs/contracts/standards/20_machine_readable_artifact_standard.md; docs/contracts/standards/21_capability_and_cap_binding_standard.md; docs/extra/damage_curve_skill/00_governance/CHANGE_CLASSIFIER.md; 02_design_guides/EVIDENCE_PRESSURE_TEST_AND_FAIL_CLOSED_CHECKLIST.md; 04_validation_qc/VALIDATION_QC_GUIDE.md</x:v>
      </x:c>
      <x:c r="F17" s="75" t="str">
        <x:v>internal governance control</x:v>
      </x:c>
      <x:c r="G17" s="75" t="str">
        <x:v>governance_rule</x:v>
      </x:c>
      <x:c r="H17" s="75" t="str">
        <x:v>all_shared</x:v>
      </x:c>
      <x:c r="I17" s="75" t="str">
        <x:v>T4_placeholder_or_expert_judgment</x:v>
      </x:c>
      <x:c r="J17" s="75" t="str">
        <x:v>direct</x:v>
      </x:c>
      <x:c r="K17" s="75" t="str">
        <x:v>direct</x:v>
      </x:c>
      <x:c r="L17" s="75" t="str">
        <x:v>change classification, provenance, versioning, fail-closed, pathway and consumer-contract rules</x:v>
      </x:c>
      <x:c r="M17" s="75" t="str">
        <x:v>Control package structure, source resolution, withholding, event identity, and release gates.</x:v>
      </x:c>
      <x:c r="N17" s="75" t="str">
        <x:v>Serve as scientific calibration or claims evidence.</x:v>
      </x:c>
      <x:c r="O17" s="75" t="str">
        <x:v>adopt</x:v>
      </x:c>
      <x:c r="P17" s="75" t="str">
        <x:v>reviewed</x:v>
      </x:c>
      <x:c r="Q17" s="75" t="str">
        <x:v>Stable internal source ID for governance decisions; exact rule locations remain in each claim locator.</x:v>
      </x:c>
    </x:row>
    <x:row r="18" ht="21.600000381469727" hidden="0" customHeight="1">
      <x:c r="A18" s="75" t="str">
        <x:v>HAZARD_CONSUMER_AUDIT</x:v>
      </x:c>
      <x:c r="B18" s="75" t="str">
        <x:v>Hazard Modeling convective-wind versions and hurricane/wind-farm consumer review.</x:v>
      </x:c>
      <x:c r="C18" s="75" t="str">
        <x:v>Hazard_modeling/docs/hazards/convective_wind/versions.md</x:v>
      </x:c>
      <x:c r="D18" s="75" t="str">
        <x:v>2026-07-28</x:v>
      </x:c>
      <x:c r="E18" s="75" t="str">
        <x:v>lines 35-39; plus Notebooks/hurricane/wind_farm/m3_damage/01_damage.py lines 15-33 and 75-110</x:v>
      </x:c>
      <x:c r="F18" s="75" t="str">
        <x:v>consumer boundary audit</x:v>
      </x:c>
      <x:c r="G18" s="75" t="str">
        <x:v>governance_rule</x:v>
      </x:c>
      <x:c r="H18" s="75" t="str">
        <x:v>tropical_cyclone_wind</x:v>
      </x:c>
      <x:c r="I18" s="75" t="str">
        <x:v>T4_placeholder_or_expert_judgment</x:v>
      </x:c>
      <x:c r="J18" s="75" t="str">
        <x:v>direct</x:v>
      </x:c>
      <x:c r="K18" s="75" t="str">
        <x:v>partial</x:v>
      </x:c>
      <x:c r="L18" s="75" t="str">
        <x:v>coastal ASCE surface overlap and legacy hurricane placeholder behavior</x:v>
      </x:c>
      <x:c r="M18" s="75" t="str">
        <x:v>Define consumer overlap and migration guardrails.</x:v>
      </x:c>
      <x:c r="N18" s="75" t="str">
        <x:v>Calibrate a vulnerability curve or infer an event-loss partition without consumer redesign.</x:v>
      </x:c>
      <x:c r="O18" s="75" t="str">
        <x:v>adopt_with_limits</x:v>
      </x:c>
      <x:c r="P18" s="75" t="str">
        <x:v>reviewed</x:v>
      </x:c>
      <x:c r="Q18" s="75" t="str">
        <x:v>Local consumer evidence at Hazard commit 63a01ca190d14fc87ecf9879abcfb7dad21625be; not a Damage runtime source.</x:v>
      </x:c>
    </x:row>
    <x:row r="19" ht="21.600000381469727" hidden="0" customHeight="1">
      <x:c r="A19" s="75" t="str">
        <x:v>BOUNDED_SEARCH_LOG</x:v>
      </x:c>
      <x:c r="B19" s="75" t="str">
        <x:v>Bounded evidence search log for tropical_cyclone_wind_wind model v0.1/docs r1.</x:v>
      </x:c>
      <x:c r="C19" s="75" t="str">
        <x:v>docs/cells/tropical_cyclone_wind_wind/proposed/BOUNDED_EVIDENCE_SEARCH_LOG_tropical_cyclone_wind_wind__model_v0_1__docs_r1.md</x:v>
      </x:c>
      <x:c r="D19" s="75" t="str">
        <x:v>2026-07-28</x:v>
      </x:c>
      <x:c r="E19" s="75" t="str">
        <x:v>search surfaces, query families, endpoint tests, cutoff, exclusions, limitations and update triggers</x:v>
      </x:c>
      <x:c r="F19" s="75" t="str">
        <x:v>governed search record</x:v>
      </x:c>
      <x:c r="G19" s="75" t="str">
        <x:v>negative_evidence_boundary</x:v>
      </x:c>
      <x:c r="H19" s="75" t="str">
        <x:v>tropical_cyclone_wind</x:v>
      </x:c>
      <x:c r="I19" s="75" t="str">
        <x:v>T3_engineering_proxy_or_adjacent_empirical</x:v>
      </x:c>
      <x:c r="J19" s="75" t="str">
        <x:v>direct</x:v>
      </x:c>
      <x:c r="K19" s="75" t="str">
        <x:v>direct</x:v>
      </x:c>
      <x:c r="L19" s="75" t="str">
        <x:v>scoped result that no public matched demand-to-disposition-to-cost chain was located within the recorded search</x:v>
      </x:c>
      <x:c r="M19" s="75" t="str">
        <x:v>Support the bounded NO_RUNTIME_CURVE decision and define refresh triggers.</x:v>
      </x:c>
      <x:c r="N19" s="75" t="str">
        <x:v>Claim universal absence across private, non-English, unindexed, or later evidence.</x:v>
      </x:c>
      <x:c r="O19" s="75" t="str">
        <x:v>adopt_with_limits</x:v>
      </x:c>
      <x:c r="P19" s="75" t="str">
        <x:v>reviewed</x:v>
      </x:c>
      <x:c r="Q19" s="75" t="str">
        <x:v>Negative evidence is explicitly bounded, not universal.</x:v>
      </x:c>
    </x:row>
    <x:row r="20" ht="21.600000381469727" hidden="0" customHeight="1">
      <x:c r="A20" s="75" t="str">
        <x:v>NREL_CWER_2024</x:v>
      </x:c>
      <x:c r="B20" s="75" t="str">
        <x:v>Alias for TCWW-S010: Stehly, T.; Duffy, P.; Mulas Hernando, D. Cost of Wind Energy Review: 2024 Edition. NREL/TP-5000-91775.</x:v>
      </x:c>
      <x:c r="C20" s="75" t="str">
        <x:v>https://www.nrel.gov/docs/fy25osti/91775.pdf</x:v>
      </x:c>
      <x:c r="D20" s="75" t="str">
        <x:v>2026-07-28</x:v>
      </x:c>
      <x:c r="E20" s="75" t="str">
        <x:v>land-based reference plant capital-cost breakdown and appendix; Wind_Map rows 2:19</x:v>
      </x:c>
      <x:c r="F20" s="75" t="str">
        <x:v>registered source alias</x:v>
      </x:c>
      <x:c r="G20" s="75" t="str">
        <x:v>exposure_or_value</x:v>
      </x:c>
      <x:c r="H20" s="75" t="str">
        <x:v>all_shared</x:v>
      </x:c>
      <x:c r="I20" s="75" t="str">
        <x:v>T2_public_lab_standard_or_physics</x:v>
      </x:c>
      <x:c r="J20" s="75" t="str">
        <x:v>direct</x:v>
      </x:c>
      <x:c r="K20" s="75" t="str">
        <x:v>direct</x:v>
      </x:c>
      <x:c r="L20" s="75" t="str">
        <x:v>row-level value-source alias used by VALUE_CROSSWALK</x:v>
      </x:c>
      <x:c r="M20" s="75" t="str">
        <x:v>Resolve value rows to TCWW-S010 and preserve the workbook's value_source_id convention.</x:v>
      </x:c>
      <x:c r="N20" s="75" t="str">
        <x:v>Infer vulnerability or site/OEM replacement value.</x:v>
      </x:c>
      <x:c r="O20" s="75" t="str">
        <x:v>adopt_with_limits</x:v>
      </x:c>
      <x:c r="P20" s="75" t="str">
        <x:v>reviewed</x:v>
      </x:c>
      <x:c r="Q20" s="75" t="str">
        <x:v>Alias only; canonical evidence record is TCWW-S010.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26" hidden="0" customWidth="1"/>
    <x:col min="5" max="5" width="24" hidden="0" customWidth="1"/>
    <x:col min="6" max="6" width="30" hidden="0" customWidth="1"/>
    <x:col min="7" max="7" width="30" hidden="0" customWidth="1"/>
    <x:col min="8" max="8" width="58" hidden="0" customWidth="1"/>
    <x:col min="9" max="9" width="26" hidden="0" customWidth="1"/>
    <x:col min="10" max="10" width="48" hidden="0" customWidth="1"/>
  </x:cols>
  <x:sheetData>
    <x:row r="1" ht="44" hidden="0" customHeight="1">
      <x:c r="A1" s="79" t="str">
        <x:v>parameter</x:v>
      </x:c>
      <x:c r="B1" s="79" t="str">
        <x:v>pathway_id</x:v>
      </x:c>
      <x:c r="C1" s="79" t="str">
        <x:v>curve_id</x:v>
      </x:c>
      <x:c r="D1" s="79" t="str">
        <x:v>value</x:v>
      </x:c>
      <x:c r="E1" s="79" t="str">
        <x:v>param_role</x:v>
      </x:c>
      <x:c r="F1" s="79" t="str">
        <x:v>tier</x:v>
      </x:c>
      <x:c r="G1" s="79" t="str">
        <x:v>source_ids</x:v>
      </x:c>
      <x:c r="H1" s="79" t="str">
        <x:v>reasoning</x:v>
      </x:c>
      <x:c r="I1" s="79" t="str">
        <x:v>status</x:v>
      </x:c>
      <x:c r="J1" s="79" t="str">
        <x:v>update_trigger</x:v>
      </x:c>
    </x:row>
    <x:row r="2" ht="15" hidden="0" customHeight="1">
      <x:c r="A2" s="75" t="str">
        <x:v>runtime_curve_count</x:v>
      </x:c>
      <x:c r="B2" s="75" t="str">
        <x:v>tropical_cyclone_wind</x:v>
      </x:c>
      <x:c r="C2" s="75" t="str">
        <x:v>none</x:v>
      </x:c>
      <x:c r="D2" s="75" t="str">
        <x:v>0</x:v>
      </x:c>
      <x:c r="E2" s="75" t="str">
        <x:v>capability</x:v>
      </x:c>
      <x:c r="F2" s="75" t="str">
        <x:v>T4_placeholder_or_expert_judgment</x:v>
      </x:c>
      <x:c r="G2" s="75" t="str">
        <x:v>GOVERNANCE_CONTRACT</x:v>
      </x:c>
      <x:c r="H2" s="75" t="str">
        <x:v>No economic DR record passed the seven-step audit.</x:v>
      </x:c>
      <x:c r="I2" s="75" t="str">
        <x:v>adopt</x:v>
      </x:c>
      <x:c r="J2" s="75" t="str">
        <x:v>Reviewed model v1.0 release.</x:v>
      </x:c>
    </x:row>
    <x:row r="3" ht="15" hidden="0" customHeight="1">
      <x:c r="A3" s="75" t="str">
        <x:v>nhc_source_averaging_period_s</x:v>
      </x:c>
      <x:c r="B3" s="75" t="str">
        <x:v>tropical_cyclone_wind</x:v>
      </x:c>
      <x:c r="C3" s="75" t="str">
        <x:v>none</x:v>
      </x:c>
      <x:c r="D3" s="75" t="str">
        <x:v>60</x:v>
      </x:c>
      <x:c r="E3" s="75" t="str">
        <x:v>source_axis</x:v>
      </x:c>
      <x:c r="F3" s="75" t="str">
        <x:v>T2_public_lab_standard_or_physics</x:v>
      </x:c>
      <x:c r="G3" s="75" t="str">
        <x:v>TCWW-S001</x:v>
      </x:c>
      <x:c r="H3" s="75" t="str">
        <x:v>Official maximum-sustained-wind definition.</x:v>
      </x:c>
      <x:c r="I3" s="75" t="str">
        <x:v>adopt</x:v>
      </x:c>
      <x:c r="J3" s="75" t="str">
        <x:v>NHC definition changes.</x:v>
      </x:c>
    </x:row>
    <x:row r="4" ht="15" hidden="0" customHeight="1">
      <x:c r="A4" s="75" t="str">
        <x:v>nhc_source_height_m</x:v>
      </x:c>
      <x:c r="B4" s="75" t="str">
        <x:v>tropical_cyclone_wind</x:v>
      </x:c>
      <x:c r="C4" s="75" t="str">
        <x:v>none</x:v>
      </x:c>
      <x:c r="D4" s="75" t="str">
        <x:v>10</x:v>
      </x:c>
      <x:c r="E4" s="75" t="str">
        <x:v>source_axis</x:v>
      </x:c>
      <x:c r="F4" s="75" t="str">
        <x:v>T2_public_lab_standard_or_physics</x:v>
      </x:c>
      <x:c r="G4" s="75" t="str">
        <x:v>TCWW-S001</x:v>
      </x:c>
      <x:c r="H4" s="75" t="str">
        <x:v>Official maximum-sustained-wind definition.</x:v>
      </x:c>
      <x:c r="I4" s="75" t="str">
        <x:v>adopt</x:v>
      </x:c>
      <x:c r="J4" s="75" t="str">
        <x:v>NHC definition changes.</x:v>
      </x:c>
    </x:row>
    <x:row r="5" ht="21.600000381469727" hidden="0" customHeight="1">
      <x:c r="A5" s="75" t="str">
        <x:v>runtime_axis</x:v>
      </x:c>
      <x:c r="B5" s="75" t="str">
        <x:v>tropical_cyclone_wind</x:v>
      </x:c>
      <x:c r="C5" s="75" t="str">
        <x:v>none</x:v>
      </x:c>
      <x:c r="D5" s="75" t="str">
        <x:v>WITHHELD_PENDING_QUALIFIED_TC_BRIDGE</x:v>
      </x:c>
      <x:c r="E5" s="75" t="str">
        <x:v>axis</x:v>
      </x:c>
      <x:c r="F5" s="75" t="str">
        <x:v>T3_engineering_proxy_or_adjacent_empirical</x:v>
      </x:c>
      <x:c r="G5" s="75" t="str">
        <x:v>TCWW-S003;TCWW-S005;TCWW-S007;TCWW-S012</x:v>
      </x:c>
      <x:c r="H5" s="75" t="str">
        <x:v>Incompatible source-native axes and material duration/direction effects.</x:v>
      </x:c>
      <x:c r="I5" s="75" t="str">
        <x:v>withhold</x:v>
      </x:c>
      <x:c r="J5" s="75" t="str">
        <x:v>One target curve and bridge pass validation.</x:v>
      </x:c>
    </x:row>
    <x:row r="6" ht="15" hidden="0" customHeight="1">
      <x:c r="A6" s="75" t="str">
        <x:v>jaimes_valid_range_kmh</x:v>
      </x:c>
      <x:c r="B6" s="75" t="str">
        <x:v>tropical_cyclone_wind</x:v>
      </x:c>
      <x:c r="C6" s="75" t="str">
        <x:v>JAIMES_DS3_CANDIDATE_ONLY</x:v>
      </x:c>
      <x:c r="D6" s="75" t="str">
        <x:v>[108,252]</x:v>
      </x:c>
      <x:c r="E6" s="75" t="str">
        <x:v>source_range</x:v>
      </x:c>
      <x:c r="F6" s="75" t="str">
        <x:v>T3_engineering_proxy_or_adjacent_empirical</x:v>
      </x:c>
      <x:c r="G6" s="75" t="str">
        <x:v>TCWW-S005</x:v>
      </x:c>
      <x:c r="H6" s="75" t="str">
        <x:v>Twenty simulated intensity levels span 30-70 m/s at 10 m.</x:v>
      </x:c>
      <x:c r="I6" s="75" t="str">
        <x:v>audit_only</x:v>
      </x:c>
      <x:c r="J6" s="75" t="str">
        <x:v>Source revision or independent validation.</x:v>
      </x:c>
    </x:row>
    <x:row r="7" ht="15" hidden="0" customHeight="1">
      <x:c r="A7" s="75" t="str">
        <x:v>jaimes_1mw_ds3_mu_ln_kmh</x:v>
      </x:c>
      <x:c r="B7" s="75" t="str">
        <x:v>tropical_cyclone_wind</x:v>
      </x:c>
      <x:c r="C7" s="75" t="str">
        <x:v>JAIMES_DS3_CANDIDATE_ONLY</x:v>
      </x:c>
      <x:c r="D7" s="75" t="str">
        <x:v>5.3165</x:v>
      </x:c>
      <x:c r="E7" s="75" t="str">
        <x:v>fragility_location</x:v>
      </x:c>
      <x:c r="F7" s="75" t="str">
        <x:v>T3_engineering_proxy_or_adjacent_empirical</x:v>
      </x:c>
      <x:c r="G7" s="75" t="str">
        <x:v>TCWW-S005</x:v>
      </x:c>
      <x:c r="H7" s="75" t="str">
        <x:v>Table 3; exact 1-MW/44-m model only.</x:v>
      </x:c>
      <x:c r="I7" s="75" t="str">
        <x:v>defer_candidate_only</x:v>
      </x:c>
      <x:c r="J7" s="75" t="str">
        <x:v>Exact-archetype verification plus economic bridge.</x:v>
      </x:c>
    </x:row>
    <x:row r="8" ht="15" hidden="0" customHeight="1">
      <x:c r="A8" s="75" t="str">
        <x:v>jaimes_1mw_ds3_sigma_ln_kmh</x:v>
      </x:c>
      <x:c r="B8" s="75" t="str">
        <x:v>tropical_cyclone_wind</x:v>
      </x:c>
      <x:c r="C8" s="75" t="str">
        <x:v>JAIMES_DS3_CANDIDATE_ONLY</x:v>
      </x:c>
      <x:c r="D8" s="75" t="str">
        <x:v>0.0485</x:v>
      </x:c>
      <x:c r="E8" s="75" t="str">
        <x:v>fragility_dispersion</x:v>
      </x:c>
      <x:c r="F8" s="75" t="str">
        <x:v>T3_engineering_proxy_or_adjacent_empirical</x:v>
      </x:c>
      <x:c r="G8" s="75" t="str">
        <x:v>TCWW-S005</x:v>
      </x:c>
      <x:c r="H8" s="75" t="str">
        <x:v>Table 3 model-response fit; not total epistemic spread.</x:v>
      </x:c>
      <x:c r="I8" s="75" t="str">
        <x:v>defer_candidate_only</x:v>
      </x:c>
      <x:c r="J8" s="75" t="str">
        <x:v>Population validation and model-form uncertainty.</x:v>
      </x:c>
    </x:row>
    <x:row r="9" ht="15" hidden="0" customHeight="1">
      <x:c r="A9" s="75" t="str">
        <x:v>jaimes_2p5mw_ds3_mu_ln_kmh</x:v>
      </x:c>
      <x:c r="B9" s="75" t="str">
        <x:v>tropical_cyclone_wind</x:v>
      </x:c>
      <x:c r="C9" s="75" t="str">
        <x:v>JAIMES_DS3_CANDIDATE_ONLY</x:v>
      </x:c>
      <x:c r="D9" s="75" t="str">
        <x:v>5.2276</x:v>
      </x:c>
      <x:c r="E9" s="75" t="str">
        <x:v>fragility_location</x:v>
      </x:c>
      <x:c r="F9" s="75" t="str">
        <x:v>T3_engineering_proxy_or_adjacent_empirical</x:v>
      </x:c>
      <x:c r="G9" s="75" t="str">
        <x:v>TCWW-S005</x:v>
      </x:c>
      <x:c r="H9" s="75" t="str">
        <x:v>Table 3; exact 2.5-MW/80-m model only.</x:v>
      </x:c>
      <x:c r="I9" s="75" t="str">
        <x:v>defer_candidate_only</x:v>
      </x:c>
      <x:c r="J9" s="75" t="str">
        <x:v>Exact-archetype verification plus economic bridge.</x:v>
      </x:c>
    </x:row>
    <x:row r="10" ht="15" hidden="0" customHeight="1">
      <x:c r="A10" s="75" t="str">
        <x:v>jaimes_2p5mw_ds3_sigma_ln_kmh</x:v>
      </x:c>
      <x:c r="B10" s="75" t="str">
        <x:v>tropical_cyclone_wind</x:v>
      </x:c>
      <x:c r="C10" s="75" t="str">
        <x:v>JAIMES_DS3_CANDIDATE_ONLY</x:v>
      </x:c>
      <x:c r="D10" s="75" t="str">
        <x:v>0.0516</x:v>
      </x:c>
      <x:c r="E10" s="75" t="str">
        <x:v>fragility_dispersion</x:v>
      </x:c>
      <x:c r="F10" s="75" t="str">
        <x:v>T3_engineering_proxy_or_adjacent_empirical</x:v>
      </x:c>
      <x:c r="G10" s="75" t="str">
        <x:v>TCWW-S005</x:v>
      </x:c>
      <x:c r="H10" s="75" t="str">
        <x:v>Table 3 model-response fit; not total epistemic spread.</x:v>
      </x:c>
      <x:c r="I10" s="75" t="str">
        <x:v>defer_candidate_only</x:v>
      </x:c>
      <x:c r="J10" s="75" t="str">
        <x:v>Population validation and model-form uncertainty.</x:v>
      </x:c>
    </x:row>
    <x:row r="11" ht="15" hidden="0" customHeight="1">
      <x:c r="A11" s="75" t="str">
        <x:v>jaimes_3p3mw_ds3_mu_ln_kmh</x:v>
      </x:c>
      <x:c r="B11" s="75" t="str">
        <x:v>tropical_cyclone_wind</x:v>
      </x:c>
      <x:c r="C11" s="75" t="str">
        <x:v>JAIMES_DS3_CANDIDATE_ONLY</x:v>
      </x:c>
      <x:c r="D11" s="75" t="str">
        <x:v>5.1642</x:v>
      </x:c>
      <x:c r="E11" s="75" t="str">
        <x:v>fragility_location</x:v>
      </x:c>
      <x:c r="F11" s="75" t="str">
        <x:v>T3_engineering_proxy_or_adjacent_empirical</x:v>
      </x:c>
      <x:c r="G11" s="75" t="str">
        <x:v>TCWW-S005</x:v>
      </x:c>
      <x:c r="H11" s="75" t="str">
        <x:v>Table 3; exact 3.3-MW/100-m model only.</x:v>
      </x:c>
      <x:c r="I11" s="75" t="str">
        <x:v>defer_candidate_only</x:v>
      </x:c>
      <x:c r="J11" s="75" t="str">
        <x:v>Exact-archetype verification plus economic bridge.</x:v>
      </x:c>
    </x:row>
    <x:row r="12" ht="15" hidden="0" customHeight="1">
      <x:c r="A12" s="75" t="str">
        <x:v>jaimes_3p3mw_ds3_sigma_ln_kmh</x:v>
      </x:c>
      <x:c r="B12" s="75" t="str">
        <x:v>tropical_cyclone_wind</x:v>
      </x:c>
      <x:c r="C12" s="75" t="str">
        <x:v>JAIMES_DS3_CANDIDATE_ONLY</x:v>
      </x:c>
      <x:c r="D12" s="75" t="str">
        <x:v>0.0567</x:v>
      </x:c>
      <x:c r="E12" s="75" t="str">
        <x:v>fragility_dispersion</x:v>
      </x:c>
      <x:c r="F12" s="75" t="str">
        <x:v>T3_engineering_proxy_or_adjacent_empirical</x:v>
      </x:c>
      <x:c r="G12" s="75" t="str">
        <x:v>TCWW-S005</x:v>
      </x:c>
      <x:c r="H12" s="75" t="str">
        <x:v>Table 3 model-response fit; not total epistemic spread.</x:v>
      </x:c>
      <x:c r="I12" s="75" t="str">
        <x:v>defer_candidate_only</x:v>
      </x:c>
      <x:c r="J12" s="75" t="str">
        <x:v>Population validation and model-form uncertainty.</x:v>
      </x:c>
    </x:row>
    <x:row r="13" ht="15" hidden="0" customHeight="1">
      <x:c r="A13" s="75" t="str">
        <x:v>rose_active_yaw_alpha_knots</x:v>
      </x:c>
      <x:c r="B13" s="75" t="str">
        <x:v>tropical_cyclone_wind</x:v>
      </x:c>
      <x:c r="C13" s="75" t="str">
        <x:v>ROSE_TOWER_BUCKLING_VALIDATION_ONLY</x:v>
      </x:c>
      <x:c r="D13" s="75" t="str">
        <x:v>174</x:v>
      </x:c>
      <x:c r="E13" s="75" t="str">
        <x:v>fragility_location</x:v>
      </x:c>
      <x:c r="F13" s="75" t="str">
        <x:v>T3_engineering_proxy_or_adjacent_empirical</x:v>
      </x:c>
      <x:c r="G13" s="75" t="str">
        <x:v>TCWW-S003</x:v>
      </x:c>
      <x:c r="H13" s="75" t="str">
        <x:v>Table 1 aligned active-yaw NREL 5-MW case.</x:v>
      </x:c>
      <x:c r="I13" s="75" t="str">
        <x:v>audit_only</x:v>
      </x:c>
      <x:c r="J13" s="75" t="str">
        <x:v>Qualified onshore control-state validation.</x:v>
      </x:c>
    </x:row>
    <x:row r="14" ht="15" hidden="0" customHeight="1">
      <x:c r="A14" s="75" t="str">
        <x:v>rose_active_yaw_beta</x:v>
      </x:c>
      <x:c r="B14" s="75" t="str">
        <x:v>tropical_cyclone_wind</x:v>
      </x:c>
      <x:c r="C14" s="75" t="str">
        <x:v>ROSE_TOWER_BUCKLING_VALIDATION_ONLY</x:v>
      </x:c>
      <x:c r="D14" s="75" t="str">
        <x:v>19.3</x:v>
      </x:c>
      <x:c r="E14" s="75" t="str">
        <x:v>fragility_shape</x:v>
      </x:c>
      <x:c r="F14" s="75" t="str">
        <x:v>T3_engineering_proxy_or_adjacent_empirical</x:v>
      </x:c>
      <x:c r="G14" s="75" t="str">
        <x:v>TCWW-S003</x:v>
      </x:c>
      <x:c r="H14" s="75" t="str">
        <x:v>Table 1 native log-logistic exponent.</x:v>
      </x:c>
      <x:c r="I14" s="75" t="str">
        <x:v>audit_only</x:v>
      </x:c>
      <x:c r="J14" s="75" t="str">
        <x:v>Qualified onshore control-state validation.</x:v>
      </x:c>
    </x:row>
    <x:row r="15" ht="15" hidden="0" customHeight="1">
      <x:c r="A15" s="75" t="str">
        <x:v>rose_perpendicular_non_yaw_alpha_knots</x:v>
      </x:c>
      <x:c r="B15" s="75" t="str">
        <x:v>tropical_cyclone_wind</x:v>
      </x:c>
      <x:c r="C15" s="75" t="str">
        <x:v>ROSE_TOWER_BUCKLING_VALIDATION_ONLY</x:v>
      </x:c>
      <x:c r="D15" s="75" t="str">
        <x:v>140</x:v>
      </x:c>
      <x:c r="E15" s="75" t="str">
        <x:v>fragility_location</x:v>
      </x:c>
      <x:c r="F15" s="75" t="str">
        <x:v>T3_engineering_proxy_or_adjacent_empirical</x:v>
      </x:c>
      <x:c r="G15" s="75" t="str">
        <x:v>TCWW-S003</x:v>
      </x:c>
      <x:c r="H15" s="75" t="str">
        <x:v>Table 1 perpendicular non-yaw NREL 5-MW case.</x:v>
      </x:c>
      <x:c r="I15" s="75" t="str">
        <x:v>audit_only</x:v>
      </x:c>
      <x:c r="J15" s="75" t="str">
        <x:v>Qualified onshore control-state validation.</x:v>
      </x:c>
    </x:row>
    <x:row r="16" ht="15" hidden="0" customHeight="1">
      <x:c r="A16" s="75" t="str">
        <x:v>rose_perpendicular_non_yaw_beta</x:v>
      </x:c>
      <x:c r="B16" s="75" t="str">
        <x:v>tropical_cyclone_wind</x:v>
      </x:c>
      <x:c r="C16" s="75" t="str">
        <x:v>ROSE_TOWER_BUCKLING_VALIDATION_ONLY</x:v>
      </x:c>
      <x:c r="D16" s="75" t="str">
        <x:v>18.6</x:v>
      </x:c>
      <x:c r="E16" s="75" t="str">
        <x:v>fragility_shape</x:v>
      </x:c>
      <x:c r="F16" s="75" t="str">
        <x:v>T3_engineering_proxy_or_adjacent_empirical</x:v>
      </x:c>
      <x:c r="G16" s="75" t="str">
        <x:v>TCWW-S003</x:v>
      </x:c>
      <x:c r="H16" s="75" t="str">
        <x:v>Table 1 native log-logistic exponent.</x:v>
      </x:c>
      <x:c r="I16" s="75" t="str">
        <x:v>audit_only</x:v>
      </x:c>
      <x:c r="J16" s="75" t="str">
        <x:v>Qualified onshore control-state validation.</x:v>
      </x:c>
    </x:row>
    <x:row r="17" ht="15" hidden="0" customHeight="1">
      <x:c r="A17" s="75" t="str">
        <x:v>reference_equipment_value_usd_per_kw</x:v>
      </x:c>
      <x:c r="B17" s="75" t="str">
        <x:v>tropical_cyclone_wind</x:v>
      </x:c>
      <x:c r="C17" s="75" t="str">
        <x:v>none</x:v>
      </x:c>
      <x:c r="D17" s="75" t="str">
        <x:v>1090</x:v>
      </x:c>
      <x:c r="E17" s="75" t="str">
        <x:v>value_denominator</x:v>
      </x:c>
      <x:c r="F17" s="75" t="str">
        <x:v>T2_public_lab_standard_or_physics</x:v>
      </x:c>
      <x:c r="G17" s="75" t="str">
        <x:v>TCWW-S010</x:v>
      </x:c>
      <x:c r="H17" s="75" t="str">
        <x:v>CWER 2024 reference rows 2-9.</x:v>
      </x:c>
      <x:c r="I17" s="75" t="str">
        <x:v>adopt_with_limits</x:v>
      </x:c>
      <x:c r="J17" s="75" t="str">
        <x:v>New value vintage or site appraisal.</x:v>
      </x:c>
    </x:row>
    <x:row r="18" ht="15" hidden="0" customHeight="1">
      <x:c r="A18" s="75" t="str">
        <x:v>reference_physical_value_usd_per_kw</x:v>
      </x:c>
      <x:c r="B18" s="75" t="str">
        <x:v>tropical_cyclone_wind</x:v>
      </x:c>
      <x:c r="C18" s="75" t="str">
        <x:v>none</x:v>
      </x:c>
      <x:c r="D18" s="75" t="str">
        <x:v>1623</x:v>
      </x:c>
      <x:c r="E18" s="75" t="str">
        <x:v>reporting_denominator</x:v>
      </x:c>
      <x:c r="F18" s="75" t="str">
        <x:v>T2_public_lab_standard_or_physics</x:v>
      </x:c>
      <x:c r="G18" s="75" t="str">
        <x:v>TCWW-S010</x:v>
      </x:c>
      <x:c r="H18" s="75" t="str">
        <x:v>Equipment plus withheld other direct plus support.</x:v>
      </x:c>
      <x:c r="I18" s="75" t="str">
        <x:v>adopt_with_limits</x:v>
      </x:c>
      <x:c r="J18" s="75" t="str">
        <x:v>Value boundary changes.</x:v>
      </x:c>
    </x:row>
    <x:row r="19" ht="15" hidden="0" customHeight="1">
      <x:c r="A19" s="75" t="str">
        <x:v>reference_installed_value_usd_per_kw</x:v>
      </x:c>
      <x:c r="B19" s="75" t="str">
        <x:v>tropical_cyclone_wind</x:v>
      </x:c>
      <x:c r="C19" s="75" t="str">
        <x:v>none</x:v>
      </x:c>
      <x:c r="D19" s="75" t="str">
        <x:v>1968</x:v>
      </x:c>
      <x:c r="E19" s="75" t="str">
        <x:v>reporting_denominator</x:v>
      </x:c>
      <x:c r="F19" s="75" t="str">
        <x:v>T2_public_lab_standard_or_physics</x:v>
      </x:c>
      <x:c r="G19" s="75" t="str">
        <x:v>TCWW-S010</x:v>
      </x:c>
      <x:c r="H19" s="75" t="str">
        <x:v>Physical plus excluded soft/sunk reference rows.</x:v>
      </x:c>
      <x:c r="I19" s="75" t="str">
        <x:v>adopt_with_limits</x:v>
      </x:c>
      <x:c r="J19" s="75" t="str">
        <x:v>Value boundary changes.</x:v>
      </x:c>
    </x:row>
    <x:row r="20" ht="15" hidden="0" customHeight="1">
      <x:c r="A20" s="75" t="str">
        <x:v>unknown_conditioner_credit</x:v>
      </x:c>
      <x:c r="B20" s="75" t="str">
        <x:v>tropical_cyclone_wind</x:v>
      </x:c>
      <x:c r="C20" s="75" t="str">
        <x:v>none</x:v>
      </x:c>
      <x:c r="D20" s="75" t="str">
        <x:v>NO_CREDIT</x:v>
      </x:c>
      <x:c r="E20" s="75" t="str">
        <x:v>governance_rule</x:v>
      </x:c>
      <x:c r="F20" s="75" t="str">
        <x:v>T4_placeholder_or_expert_judgment</x:v>
      </x:c>
      <x:c r="G20" s="75" t="str">
        <x:v>GOVERNANCE_CONTRACT</x:v>
      </x:c>
      <x:c r="H20" s="75" t="str">
        <x:v>Unknown protective state cannot be silently favorable.</x:v>
      </x:c>
      <x:c r="I20" s="75" t="str">
        <x:v>adopt</x:v>
      </x:c>
      <x:c r="J20" s="75" t="str">
        <x:v>Validated default-state model.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25" hidden="0" customWidth="1"/>
    <x:col min="5" max="5" width="50" hidden="0" customWidth="1"/>
  </x:cols>
  <x:sheetData>
    <x:row r="1" ht="21.600000381469727" hidden="0" customHeight="1">
      <x:c r="A1" s="3" t="str">
        <x:v>Workbook QA checks</x:v>
      </x:c>
      <x:c r="B1" s="3"/>
      <x:c r="C1" s="3"/>
      <x:c r="D1" s="3"/>
      <x:c r="E1" s="3"/>
    </x:row>
    <x:row r="2" ht="15" hidden="0" customHeight="1">
      <x:c r="A2" s="7" t="str">
        <x:v>Formula-driven assertions. External validator also checks JSON/schema, IDs, links, formula errors, rendering, and XLSX integrity.</x:v>
      </x:c>
      <x:c r="B2" s="7"/>
      <x:c r="C2" s="7"/>
      <x:c r="D2" s="7"/>
      <x:c r="E2" s="7"/>
    </x:row>
    <x:row r="3"/>
    <x:row r="4" ht="15" hidden="0" customHeight="1">
      <x:c r="A4" s="13" t="str">
        <x:v>Check</x:v>
      </x:c>
      <x:c r="B4" s="13" t="str">
        <x:v>Status formula</x:v>
      </x:c>
      <x:c r="C4" s="13" t="str">
        <x:v>Expected/threshold</x:v>
      </x:c>
      <x:c r="D4" s="13" t="str">
        <x:v>Scope</x:v>
      </x:c>
      <x:c r="E4" s="13" t="str">
        <x:v>Why it matters</x:v>
      </x:c>
    </x:row>
    <x:row r="5" ht="15" hidden="0" customHeight="1">
      <x:c r="A5" s="20" t="str">
        <x:v>Physical reference reconciles</x:v>
      </x:c>
      <x:c r="B5" s="20" t="str">
        <x:f>IF('Asset_Value'!B15=C5,"PASS","FAIL")</x:f>
        <x:v>PASS</x:v>
      </x:c>
      <x:c r="C5" s="20" t="n">
        <x:v>1623</x:v>
      </x:c>
      <x:c r="D5" s="20" t="str">
        <x:v>Asset_Value</x:v>
      </x:c>
      <x:c r="E5" s="20" t="str">
        <x:v>1090 + 239 + 294 = 1623</x:v>
      </x:c>
    </x:row>
    <x:row r="6" ht="15" hidden="0" customHeight="1">
      <x:c r="A6" s="20" t="str">
        <x:v>Installed reference reconciles</x:v>
      </x:c>
      <x:c r="B6" s="20" t="str">
        <x:f>IF('Asset_Value'!B16=C6,"PASS","FAIL")</x:f>
        <x:v>PASS</x:v>
      </x:c>
      <x:c r="C6" s="20" t="n">
        <x:v>1968</x:v>
      </x:c>
      <x:c r="D6" s="20" t="str">
        <x:v>Asset_Value</x:v>
      </x:c>
      <x:c r="E6" s="20" t="str">
        <x:v>1623 + 345 = 1968</x:v>
      </x:c>
    </x:row>
    <x:row r="7" ht="15" hidden="0" customHeight="1">
      <x:c r="A7" s="20" t="str">
        <x:v>Equipment physical share precise</x:v>
      </x:c>
      <x:c r="B7" s="20" t="str">
        <x:f>IF(ABS('Asset_Value'!B17-C7)&lt;0.000000001,"PASS","FAIL")</x:f>
        <x:v>PASS</x:v>
      </x:c>
      <x:c r="C7" s="68" t="n">
        <x:v>0.671595810228</x:v>
      </x:c>
      <x:c r="D7" s="20" t="str">
        <x:v>Asset_Value</x:v>
      </x:c>
      <x:c r="E7" s="20" t="str">
        <x:v>Denominator conversion, not DR cap</x:v>
      </x:c>
    </x:row>
    <x:row r="8" ht="15" hidden="0" customHeight="1">
      <x:c r="A8" s="20" t="str">
        <x:v>Runtime curve count is zero</x:v>
      </x:c>
      <x:c r="B8" s="20" t="str">
        <x:f>IF('README'!B10=C8,"PASS","FAIL")</x:f>
        <x:v>PASS</x:v>
      </x:c>
      <x:c r="C8" s="20" t="n">
        <x:v>0</x:v>
      </x:c>
      <x:c r="D8" s="20" t="str">
        <x:v>README</x:v>
      </x:c>
      <x:c r="E8" s="20" t="str">
        <x:v>Fail-closed scaffold invariant</x:v>
      </x:c>
    </x:row>
    <x:row r="9" ht="15" hidden="0" customHeight="1">
      <x:c r="A9" s="20" t="str">
        <x:v>Candidate runtime flags all false</x:v>
      </x:c>
      <x:c r="B9" s="20" t="str">
        <x:f>IF(COUNTIF('Candidate_Fragility'!L6:L8,TRUE)+COUNTIF('Candidate_Fragility'!J14:J15,TRUE)=C9,"PASS","FAIL")</x:f>
        <x:v>PASS</x:v>
      </x:c>
      <x:c r="C9" s="20" t="n">
        <x:v>0</x:v>
      </x:c>
      <x:c r="D9" s="20" t="str">
        <x:v>Candidate_Fragility</x:v>
      </x:c>
      <x:c r="E9" s="20" t="str">
        <x:v>Audit numbers cannot leak into runtime</x:v>
      </x:c>
    </x:row>
    <x:row r="10" ht="15" hidden="0" customHeight="1">
      <x:c r="A10" s="20" t="str">
        <x:v>Candidate probabilities bounded</x:v>
      </x:c>
      <x:c r="B10" s="20" t="str">
        <x:f>IF(AND(MIN('Candidate_Fragility'!H6:K8)&gt;=0,MAX('Candidate_Fragility'!H6:K8)&lt;=1,MIN('Candidate_Fragility'!D14:I15)&gt;=0,MAX('Candidate_Fragility'!D14:I15)&lt;=1)=C10,"PASS","FAIL")</x:f>
        <x:v>PASS</x:v>
      </x:c>
      <x:c r="C10" s="21" t="b">
        <x:v>1</x:v>
      </x:c>
      <x:c r="D10" s="20" t="str">
        <x:v>Candidate_Fragility</x:v>
      </x:c>
      <x:c r="E10" s="20" t="str">
        <x:v>Formula reproduction sanity only</x:v>
      </x:c>
    </x:row>
    <x:row r="11" ht="15" hidden="0" customHeight="1">
      <x:c r="A11" s="20" t="str">
        <x:v>Legacy checks rejected</x:v>
      </x:c>
      <x:c r="B11" s="20" t="str">
        <x:f>IF(COUNTIF('Legacy_Audit'!I5:I7,"reject")=C11,"PASS","FAIL")</x:f>
        <x:v>PASS</x:v>
      </x:c>
      <x:c r="C11" s="20" t="n">
        <x:v>3</x:v>
      </x:c>
      <x:c r="D11" s="20" t="str">
        <x:v>Legacy_Audit</x:v>
      </x:c>
      <x:c r="E11" s="20" t="str">
        <x:v>No rejected value becomes a KAT</x:v>
      </x:c>
    </x:row>
    <x:row r="12" ht="15" hidden="0" customHeight="1">
      <x:c r="A12" s="20" t="str">
        <x:v>Source register populated</x:v>
      </x:c>
      <x:c r="B12" s="20" t="str">
        <x:f>IF(COUNTA('Source_Register'!A2:A100)&gt;=C12,"PASS","FAIL")</x:f>
        <x:v>PASS</x:v>
      </x:c>
      <x:c r="C12" s="20" t="n">
        <x:v>15</x:v>
      </x:c>
      <x:c r="D12" s="20" t="str">
        <x:v>Source_Register</x:v>
      </x:c>
      <x:c r="E12" s="20" t="str">
        <x:v>Minimum registered-source count</x:v>
      </x:c>
    </x:row>
    <x:row r="13" ht="15" hidden="0" customHeight="1">
      <x:c r="A13" s="20" t="str">
        <x:v>Claim register populated</x:v>
      </x:c>
      <x:c r="B13" s="20" t="str">
        <x:f>IF(COUNTA('Claim_Register'!A2:A100)&gt;=C13,"PASS","FAIL")</x:f>
        <x:v>PASS</x:v>
      </x:c>
      <x:c r="C13" s="20" t="n">
        <x:v>20</x:v>
      </x:c>
      <x:c r="D13" s="20" t="str">
        <x:v>Claim_Register</x:v>
      </x:c>
      <x:c r="E13" s="20" t="str">
        <x:v>Minimum recorded-claim count</x:v>
      </x:c>
    </x:row>
    <x:row r="14" ht="15" hidden="0" customHeight="1">
      <x:c r="A14" s="20" t="str">
        <x:v>Parameter tier table populated</x:v>
      </x:c>
      <x:c r="B14" s="20" t="str">
        <x:f>IF(COUNTA('Parameter_Tiers'!A2:A100)&gt;=C14,"PASS","FAIL")</x:f>
        <x:v>PASS</x:v>
      </x:c>
      <x:c r="C14" s="20" t="n">
        <x:v>15</x:v>
      </x:c>
      <x:c r="D14" s="20" t="str">
        <x:v>Parameter_Tiers</x:v>
      </x:c>
      <x:c r="E14" s="20" t="str">
        <x:v>Minimum tiered-parameter count</x:v>
      </x:c>
    </x:row>
    <x:row r="15" ht="15" hidden="0" customHeight="1">
      <x:c r="A15" s="20" t="str">
        <x:v>Runtime reason exact</x:v>
      </x:c>
      <x:c r="B15" s="20" t="str">
        <x:f>IF('README'!B12=C15,"PASS","FAIL")</x:f>
        <x:v>PASS</x:v>
      </x:c>
      <x:c r="C15" s="20" t="str">
        <x:v>NO_RUNTIME_CURVE</x:v>
      </x:c>
      <x:c r="D15" s="20" t="str">
        <x:v>README</x:v>
      </x:c>
      <x:c r="E15" s="20" t="str">
        <x:v>Null is not zero</x:v>
      </x:c>
    </x:row>
  </x:sheetData>
  <x:mergeCells>
    <x:mergeCell ref="A1:E1"/>
    <x:mergeCell ref="A2:E2"/>
  </x:mergeCells>
  <x:conditionalFormatting sqref="B5:B15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