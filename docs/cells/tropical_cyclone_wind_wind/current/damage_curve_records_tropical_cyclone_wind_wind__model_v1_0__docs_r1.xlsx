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7c00bfaa1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9cef19862c4936"/>
    <x:sheet xmlns:r="http://schemas.openxmlformats.org/officeDocument/2006/relationships" name="Scope_Coverage" sheetId="2" r:id="Rf5fa1d2934964ac6"/>
    <x:sheet xmlns:r="http://schemas.openxmlformats.org/officeDocument/2006/relationships" name="Inputs" sheetId="3" r:id="R6d271b3614ed4999"/>
    <x:sheet xmlns:r="http://schemas.openxmlformats.org/officeDocument/2006/relationships" name="Jaimes_Curves" sheetId="4" r:id="R61d7bf8d04964ed0"/>
    <x:sheet xmlns:r="http://schemas.openxmlformats.org/officeDocument/2006/relationships" name="Failure_Units" sheetId="5" r:id="R03f6dd9d94884320"/>
    <x:sheet xmlns:r="http://schemas.openxmlformats.org/officeDocument/2006/relationships" name="Value_Crosswalk" sheetId="6" r:id="R5f78969afb48468b"/>
    <x:sheet xmlns:r="http://schemas.openxmlformats.org/officeDocument/2006/relationships" name="Old_vs_New" sheetId="7" r:id="Re3de31173cd6478a"/>
    <x:sheet xmlns:r="http://schemas.openxmlformats.org/officeDocument/2006/relationships" name="KATs" sheetId="8" r:id="R5848215fa25440f3"/>
    <x:sheet xmlns:r="http://schemas.openxmlformats.org/officeDocument/2006/relationships" name="Source_Register" sheetId="9" r:id="R2c09c459a56b4089"/>
    <x:sheet xmlns:r="http://schemas.openxmlformats.org/officeDocument/2006/relationships" name="Claim_Register" sheetId="10" r:id="Ree7bc804c4774dc3"/>
    <x:sheet xmlns:r="http://schemas.openxmlformats.org/officeDocument/2006/relationships" name="Parameter_Tiers" sheetId="11" r:id="R4509508b226b4692"/>
    <x:sheet xmlns:r="http://schemas.openxmlformats.org/officeDocument/2006/relationships" name="QA" sheetId="12" r:id="Rabb645545e8a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00000"/>
    <x:numFmt numFmtId="202" formatCode="#,##0.00"/>
    <x:numFmt numFmtId="203" formatCode="0.000000000000"/>
  </x:numFmts>
  <x:fonts count="6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5B6678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  <x:font>
      <x:b/>
      <x:sz val="11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3"/>
      </x:patternFill>
    </x:fill>
    <x:fill>
      <x:patternFill patternType="solid">
        <x:fgColor rgb="FFD9F0EC"/>
      </x:patternFill>
    </x:fill>
  </x:fills>
  <x:borders count="13">
    <x:border/>
    <x:border>
      <x:left style="thin">
        <x:color rgb="FFCCD4DF"/>
      </x:left>
      <x:right style="thin">
        <x:color rgb="FFCCD4DF"/>
      </x:right>
      <x:top style="thin">
        <x:color rgb="FFCCD4DF"/>
      </x:top>
      <x:bottom style="thin">
        <x:color rgb="FFCCD4DF"/>
      </x:bottom>
    </x:border>
    <x:border>
      <x:left style="medium">
        <x:color rgb="FFCCD4DF"/>
      </x:left>
      <x:top style="medium">
        <x:color rgb="FFCCD4DF"/>
      </x:top>
    </x:border>
    <x:border>
      <x:top style="medium">
        <x:color rgb="FFCCD4DF"/>
      </x:top>
    </x:border>
    <x:border>
      <x:right style="medium">
        <x:color rgb="FFCCD4DF"/>
      </x:right>
      <x:top style="medium">
        <x:color rgb="FFCCD4DF"/>
      </x:top>
    </x:border>
    <x:border>
      <x:left style="medium">
        <x:color rgb="FFCCD4DF"/>
      </x:left>
    </x:border>
    <x:border>
      <x:right style="medium">
        <x:color rgb="FFCCD4DF"/>
      </x:right>
    </x:border>
    <x:border>
      <x:left style="medium">
        <x:color rgb="FFCCD4DF"/>
      </x:left>
      <x:bottom style="medium">
        <x:color rgb="FFCCD4DF"/>
      </x:bottom>
    </x:border>
    <x:border>
      <x:bottom style="medium">
        <x:color rgb="FFCCD4DF"/>
      </x:bottom>
    </x:border>
    <x:border>
      <x:right style="medium">
        <x:color rgb="FFCCD4DF"/>
      </x:right>
      <x:bottom style="medium">
        <x:color rgb="FFCCD4DF"/>
      </x:bottom>
    </x:border>
    <x:border>
      <x:left style="medium">
        <x:color rgb="FFCCD4DF"/>
      </x:left>
      <x:top style="medium">
        <x:color rgb="FFCCD4DF"/>
      </x:top>
      <x:bottom style="medium">
        <x:color rgb="FFCCD4DF"/>
      </x:bottom>
    </x:border>
    <x:border>
      <x:top style="medium">
        <x:color rgb="FFCCD4DF"/>
      </x:top>
      <x:bottom style="medium">
        <x:color rgb="FFCCD4DF"/>
      </x:bottom>
    </x:border>
    <x:border>
      <x:right style="medium">
        <x:color rgb="FFCCD4DF"/>
      </x:right>
      <x:top style="medium">
        <x:color rgb="FFCCD4DF"/>
      </x:top>
      <x:bottom style="medium">
        <x:color rgb="FFCCD4DF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b/>
        <x:color rgb="FF92400E"/>
      </x:font>
      <x:fill>
        <x:patternFill patternType="solid">
          <x:bgColor rgb="FFFCE8C3"/>
        </x:patternFill>
      </x:fill>
    </x:dxf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color rgb="FF5B6678"/>
      </x:font>
      <x:fill>
        <x:patternFill patternType="solid">
          <x:bgColor rgb="FFEEF1F5"/>
        </x:patternFill>
      </x:fill>
    </x:dxf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b/>
        <x:color rgb="FF991B1B"/>
      </x:font>
      <x:fill>
        <x:patternFill patternType="solid">
          <x:bgColor rgb="FFFCE0E0"/>
        </x:patternFill>
      </x:fill>
    </x:dxf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b/>
        <x:color rgb="FF991B1B"/>
      </x:font>
      <x:fill>
        <x:patternFill patternType="solid">
          <x:bgColor rgb="FFFC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255a6997b416f" /><Relationship Type="http://schemas.openxmlformats.org/officeDocument/2006/relationships/theme" Target="/xl/theme/theme1.xml" Id="R4326125591834272" /><Relationship Type="http://schemas.microsoft.com/office/2022/11/relationships/FeaturePropertyBag" Target="/xl/featurePropertyBag/featurePropertyBag.xml" Id="R535b5c156d5c429f" /><Relationship Type="http://schemas.openxmlformats.org/officeDocument/2006/relationships/sharedStrings" Target="/xl/sharedStrings.xml" Id="R4efbffb7f3f34c27" /><Relationship Type="http://schemas.openxmlformats.org/officeDocument/2006/relationships/worksheet" Target="/xl/worksheets/sheet1.xml" Id="Raa9cef19862c4936" /><Relationship Type="http://schemas.openxmlformats.org/officeDocument/2006/relationships/worksheet" Target="/xl/worksheets/sheet2.xml" Id="Rf5fa1d2934964ac6" /><Relationship Type="http://schemas.openxmlformats.org/officeDocument/2006/relationships/worksheet" Target="/xl/worksheets/sheet3.xml" Id="R6d271b3614ed4999" /><Relationship Type="http://schemas.openxmlformats.org/officeDocument/2006/relationships/worksheet" Target="/xl/worksheets/sheet4.xml" Id="R61d7bf8d04964ed0" /><Relationship Type="http://schemas.openxmlformats.org/officeDocument/2006/relationships/worksheet" Target="/xl/worksheets/sheet5.xml" Id="R03f6dd9d94884320" /><Relationship Type="http://schemas.openxmlformats.org/officeDocument/2006/relationships/worksheet" Target="/xl/worksheets/sheet6.xml" Id="R5f78969afb48468b" /><Relationship Type="http://schemas.openxmlformats.org/officeDocument/2006/relationships/worksheet" Target="/xl/worksheets/sheet7.xml" Id="Re3de31173cd6478a" /><Relationship Type="http://schemas.openxmlformats.org/officeDocument/2006/relationships/worksheet" Target="/xl/worksheets/sheet8.xml" Id="R5848215fa25440f3" /><Relationship Type="http://schemas.openxmlformats.org/officeDocument/2006/relationships/worksheet" Target="/xl/worksheets/sheet9.xml" Id="R2c09c459a56b4089" /><Relationship Type="http://schemas.openxmlformats.org/officeDocument/2006/relationships/worksheet" Target="/xl/worksheets/sheet10.xml" Id="Ree7bc804c4774dc3" /><Relationship Type="http://schemas.openxmlformats.org/officeDocument/2006/relationships/worksheet" Target="/xl/worksheets/sheet11.xml" Id="R4509508b226b4692" /><Relationship Type="http://schemas.openxmlformats.org/officeDocument/2006/relationships/worksheet" Target="/xl/worksheets/sheet12.xml" Id="Rabb645545e8a41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051d0e250b4b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source-native DR by 3-second gust at 10 m</a:t>
            </a:r>
          </a:p>
        </c:rich>
      </c:tx>
    </c:title>
    <c:plotArea>
      <c:lineChart>
        <c:grouping val="standard"/>
        <c:ser>
          <c:idx val="0"/>
          <c:order val="0"/>
          <c:tx>
            <c:v>1 MW / 44 m DR</c:v>
          </c:tx>
          <c:marker>
            <c:symbol val="none"/>
          </c:marker>
          <c:cat>
            <c:strRef>
              <c:f>'Jaimes_Curves'!$A$5:$A$22</c:f>
              <c:strCache>
                <c:ptCount val="0"/>
              </c:strCache>
            </c:strRef>
          </c:cat>
          <c:val>
            <c:numRef>
              <c:f>'Jaimes_Curves'!$B$5:$B$22</c:f>
              <c:numCache>
                <c:formatCode>0.000000000</c:formatCode>
                <c:ptCount val="0"/>
              </c:numCache>
            </c:numRef>
          </c:val>
        </c:ser>
        <c:ser>
          <c:idx val="1"/>
          <c:order val="1"/>
          <c:tx>
            <c:v>2.5 MW / 80 m DR</c:v>
          </c:tx>
          <c:marker>
            <c:symbol val="none"/>
          </c:marker>
          <c:cat>
            <c:strRef>
              <c:f>'Jaimes_Curves'!$A$5:$A$22</c:f>
              <c:strCache>
                <c:ptCount val="0"/>
              </c:strCache>
            </c:strRef>
          </c:cat>
          <c:val>
            <c:numRef>
              <c:f>'Jaimes_Curves'!$C$5:$C$22</c:f>
              <c:numCache>
                <c:formatCode>0.000000000</c:formatCode>
                <c:ptCount val="0"/>
              </c:numCache>
            </c:numRef>
          </c:val>
        </c:ser>
        <c:ser>
          <c:idx val="2"/>
          <c:order val="2"/>
          <c:tx>
            <c:v>3.3 MW / 100 m DR</c:v>
          </c:tx>
          <c:marker>
            <c:symbol val="none"/>
          </c:marker>
          <c:cat>
            <c:strRef>
              <c:f>'Jaimes_Curves'!$A$5:$A$22</c:f>
              <c:strCache>
                <c:ptCount val="0"/>
              </c:strCache>
            </c:strRef>
          </c:cat>
          <c:val>
            <c:numRef>
              <c:f>'Jaimes_Curves'!$D$5:$D$22</c:f>
              <c:numCache>
                <c:formatCode>0.000000000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051d0e250b4bb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e679a7fe8b84c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4" max="4" width="10" hidden="0" customWidth="1"/>
    <x:col min="5" max="5" width="24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.600000381469727" hidden="0" customHeight="1">
      <x:c r="A1" s="3" t="str">
        <x:v>Tropical-cyclone wind × onshore wind — governed v1 workbook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Model v1.0/docs r1 • noncanonical release candidate • three exact Jaimes source archetypes • partial failure-unit coverage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Identity</x:v>
      </x:c>
      <x:c r="B4" s="13" t="str">
        <x:v>Value</x:v>
      </x:c>
      <x:c r="D4" s="13" t="str">
        <x:v>Order</x:v>
      </x:c>
      <x:c r="E4" s="13" t="str">
        <x:v>Sheet</x:v>
      </x:c>
      <x:c r="F4" s="13" t="str">
        <x:v>Purpose</x:v>
      </x:c>
    </x:row>
    <x:row r="5" ht="15" hidden="0" customHeight="1">
      <x:c r="A5" s="20" t="str">
        <x:v>Cell ID</x:v>
      </x:c>
      <x:c r="B5" s="20" t="str">
        <x:v>tropical_cyclone_wind_wind</x:v>
      </x:c>
      <x:c r="D5" s="20" t="n">
        <x:v>1</x:v>
      </x:c>
      <x:c r="E5" s="20" t="str">
        <x:v>README</x:v>
      </x:c>
      <x:c r="F5" s="20" t="str">
        <x:v>Identity, status, and map</x:v>
      </x:c>
    </x:row>
    <x:row r="6" ht="15" hidden="0" customHeight="1">
      <x:c r="A6" s="20" t="str">
        <x:v>Damage code ID</x:v>
      </x:c>
      <x:c r="B6" s="20" t="str">
        <x:v>TROPICAL_CYCLONE_WIND_WIND_JAIMES_SCREENING_V1</x:v>
      </x:c>
      <x:c r="D6" s="20" t="n">
        <x:v>2</x:v>
      </x:c>
      <x:c r="E6" s="20" t="str">
        <x:v>Scope_Coverage</x:v>
      </x:c>
      <x:c r="F6" s="20" t="str">
        <x:v>Included pathway and explicit exclusions</x:v>
      </x:c>
    </x:row>
    <x:row r="7" ht="21.600000381469727" hidden="0" customHeight="1">
      <x:c r="A7" s="20" t="str">
        <x:v>Semantic model</x:v>
      </x:c>
      <x:c r="B7" s="20" t="str">
        <x:v>model v1.0</x:v>
      </x:c>
      <x:c r="D7" s="20" t="n">
        <x:v>3</x:v>
      </x:c>
      <x:c r="E7" s="20" t="str">
        <x:v>Inputs</x:v>
      </x:c>
      <x:c r="F7" s="20" t="str">
        <x:v>Source-native selectors and curve parameters</x:v>
      </x:c>
    </x:row>
    <x:row r="8" ht="15" hidden="0" customHeight="1">
      <x:c r="A8" s="20" t="str">
        <x:v>Documentation</x:v>
      </x:c>
      <x:c r="B8" s="20" t="str">
        <x:v>docs r1</x:v>
      </x:c>
      <x:c r="D8" s="20" t="n">
        <x:v>4</x:v>
      </x:c>
      <x:c r="E8" s="20" t="str">
        <x:v>Jaimes_Curves</x:v>
      </x:c>
      <x:c r="F8" s="20" t="str">
        <x:v>Formula-driven curve audit and chart</x:v>
      </x:c>
    </x:row>
    <x:row r="9" ht="21.600000381469727" hidden="0" customHeight="1">
      <x:c r="A9" s="20" t="str">
        <x:v>Lifecycle</x:v>
      </x:c>
      <x:c r="B9" s="20" t="str">
        <x:v>release_candidate / proposed</x:v>
      </x:c>
      <x:c r="D9" s="20" t="n">
        <x:v>5</x:v>
      </x:c>
      <x:c r="E9" s="20" t="str">
        <x:v>Failure_Units</x:v>
      </x:c>
      <x:c r="F9" s="20" t="str">
        <x:v>Supported atom and all withheld plant units</x:v>
      </x:c>
    </x:row>
    <x:row r="10" ht="21.600000381469727" hidden="0" customHeight="1">
      <x:c r="A10" s="20" t="str">
        <x:v>Runtime curve count</x:v>
      </x:c>
      <x:c r="B10" s="20" t="n">
        <x:v>3</x:v>
      </x:c>
      <x:c r="D10" s="20" t="n">
        <x:v>6</x:v>
      </x:c>
      <x:c r="E10" s="20" t="str">
        <x:v>Value_Crosswalk</x:v>
      </x:c>
      <x:c r="F10" s="20" t="str">
        <x:v>Source denominator quarantine and non-mappings</x:v>
      </x:c>
    </x:row>
    <x:row r="11" ht="21.600000381469727" hidden="0" customHeight="1">
      <x:c r="A11" s="20" t="str">
        <x:v>Canonical runtime artifact</x:v>
      </x:c>
      <x:c r="B11" s="21" t="b">
        <x:v>0</x:v>
      </x:c>
      <x:c r="D11" s="20" t="n">
        <x:v>7</x:v>
      </x:c>
      <x:c r="E11" s="20" t="str">
        <x:v>Old_vs_New</x:v>
      </x:c>
      <x:c r="F11" s="20" t="str">
        <x:v>Migration comparison without false equivalence</x:v>
      </x:c>
    </x:row>
    <x:row r="12" ht="15" hidden="0" customHeight="1">
      <x:c r="A12" s="20" t="str">
        <x:v>Model grade</x:v>
      </x:c>
      <x:c r="B12" s="20" t="str">
        <x:v>screening_source_derived_engineering_proxy</x:v>
      </x:c>
      <x:c r="D12" s="20" t="n">
        <x:v>8</x:v>
      </x:c>
      <x:c r="E12" s="20" t="str">
        <x:v>KATs</x:v>
      </x:c>
      <x:c r="F12" s="20" t="str">
        <x:v>Formula-known-answer reproduction</x:v>
      </x:c>
    </x:row>
    <x:row r="13" ht="21.600000381469727" hidden="0" customHeight="1">
      <x:c r="A13" s="20" t="str">
        <x:v>Supported atom</x:v>
      </x:c>
      <x:c r="B13" s="20" t="str">
        <x:v>WT_JAIMES_TURBINE_TOWER_EXPOSURE_UNIT</x:v>
      </x:c>
      <x:c r="D13" s="20" t="n">
        <x:v>9</x:v>
      </x:c>
      <x:c r="E13" s="20" t="str">
        <x:v>Source_Register</x:v>
      </x:c>
      <x:c r="F13" s="20" t="str">
        <x:v>Evidence, locators, and permitted inference</x:v>
      </x:c>
    </x:row>
    <x:row r="14" ht="15" hidden="0" customHeight="1">
      <x:c r="A14" s="20" t="str">
        <x:v>Whole-farm/scenario loss</x:v>
      </x:c>
      <x:c r="B14" s="20" t="str">
        <x:v>WITHHELD</x:v>
      </x:c>
      <x:c r="D14" s="20" t="n">
        <x:v>10</x:v>
      </x:c>
      <x:c r="E14" s="20" t="str">
        <x:v>Claim_Register</x:v>
      </x:c>
      <x:c r="F14" s="20" t="str">
        <x:v>Governed claims and prohibitions</x:v>
      </x:c>
    </x:row>
    <x:row r="15" ht="15" hidden="0" customHeight="1">
      <x:c r="A15" s="20" t="str">
        <x:v>Consumer action</x:v>
      </x:c>
      <x:c r="B15" s="20" t="str">
        <x:v>Do not cut over until every promotion gate passes</x:v>
      </x:c>
      <x:c r="D15" s="20" t="n">
        <x:v>11</x:v>
      </x:c>
      <x:c r="E15" s="20" t="str">
        <x:v>Parameter_Tiers</x:v>
      </x:c>
      <x:c r="F15" s="20" t="str">
        <x:v>Parameter tiers and update triggers</x:v>
      </x:c>
    </x:row>
    <x:row r="16" ht="15" hidden="0" customHeight="1">
      <x:c r="D16" s="20" t="n">
        <x:v>12</x:v>
      </x:c>
      <x:c r="E16" s="20" t="str">
        <x:v>QA</x:v>
      </x:c>
      <x:c r="F16" s="20" t="str">
        <x:v>Formula-driven workbook assertions</x:v>
      </x:c>
    </x:row>
    <x:row r="17"/>
    <x:row r="18">
      <x:c r="A18" s="41" t="str">
        <x:v>Release boundary: scalar DR is conditional on an exact Jaimes archetype, exact source-model assumption set, and native 3-second gust at 10 m. Dollar loss, whole-turbine loss, whole-plant loss, EAL/PML/VaR/TVaR, and every uncovered failure unit remain null/withheld—not zero.</x:v>
      </x:c>
      <x:c r="B18" s="42"/>
      <x:c r="C18" s="42"/>
      <x:c r="D18" s="42"/>
      <x:c r="E18" s="42"/>
      <x:c r="F18" s="42"/>
      <x:c r="G18" s="42"/>
      <x:c r="H18" s="43"/>
    </x:row>
    <x:row r="19">
      <x:c r="A19" s="44"/>
      <x:c r="B19" s="45"/>
      <x:c r="C19" s="45"/>
      <x:c r="D19" s="45"/>
      <x:c r="E19" s="45"/>
      <x:c r="F19" s="45"/>
      <x:c r="G19" s="45"/>
      <x:c r="H19" s="46"/>
    </x:row>
    <x:row r="20">
      <x:c r="A20" s="47"/>
      <x:c r="B20" s="48"/>
      <x:c r="C20" s="48"/>
      <x:c r="D20" s="48"/>
      <x:c r="E20" s="48"/>
      <x:c r="F20" s="48"/>
      <x:c r="G20" s="48"/>
      <x:c r="H20" s="49"/>
    </x:row>
  </x:sheetData>
  <x:mergeCells>
    <x:mergeCell ref="A1:H1"/>
    <x:mergeCell ref="A2:H2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21.600000381469727" hidden="0" customHeight="1">
      <x:c r="A1" s="3" t="str">
        <x:v>Scope and coverage boundary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Direct TC aerodynamic loading only; pathway identity and value grain are part of the contract.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3" t="str">
        <x:v>Dimension</x:v>
      </x:c>
      <x:c r="B4" s="13" t="str">
        <x:v>Included/supported</x:v>
      </x:c>
      <x:c r="C4" s="13" t="str">
        <x:v>Excluded/withheld</x:v>
      </x:c>
      <x:c r="D4" s="13" t="str">
        <x:v>Runtime behavior</x:v>
      </x:c>
      <x:c r="E4" s="13" t="str">
        <x:v>Why</x:v>
      </x:c>
      <x:c r="F4" s="13" t="str">
        <x:v>Promotion dependency</x:v>
      </x:c>
      <x:c r="G4" s="13" t="str">
        <x:v>Source/contract</x:v>
      </x:c>
    </x:row>
    <x:row r="5" ht="43.20000076293945" hidden="0" customHeight="1">
      <x:c r="A5" s="20" t="str">
        <x:v>Hazard pathway</x:v>
      </x:c>
      <x:c r="B5" s="20" t="str">
        <x:v>tropical_cyclone_wind direct aerodynamic loading</x:v>
      </x:c>
      <x:c r="C5" s="20" t="str">
        <x:v>TC-spawned tornado; windborne debris impact; wind-driven rain ingress; storm surge; pluvial flood; scour or saturated-soil failure; lightning or fire; offshore wave and support loading; business interruption or curtailment</x:v>
      </x:c>
      <x:c r="D5" s="20" t="str">
        <x:v>Exact pathway only</x:v>
      </x:c>
      <x:c r="E5" s="20" t="str">
        <x:v>Avoid compound-event and tornado substitution</x:v>
      </x:c>
      <x:c r="F5" s="20" t="str">
        <x:v>Hazard pathway router</x:v>
      </x:c>
      <x:c r="G5" s="20" t="str">
        <x:v>Bundle v3 draft</x:v>
      </x:c>
    </x:row>
    <x:row r="6" ht="21.600000381469727" hidden="0" customHeight="1">
      <x:c r="A6" s="20" t="str">
        <x:v>Axis</x:v>
      </x:c>
      <x:c r="B6" s="20" t="str">
        <x:v>3-second peak gust at 10 m, km/h</x:v>
      </x:c>
      <x:c r="C6" s="20" t="str">
        <x:v>NHC 1-minute sustained, category, hub wind, terrain/height/time proxies</x:v>
      </x:c>
      <x:c r="D6" s="20" t="str">
        <x:v>Reject without named bridge</x:v>
      </x:c>
      <x:c r="E6" s="20" t="str">
        <x:v>Axes are not interchangeable</x:v>
      </x:c>
      <x:c r="F6" s="20" t="str">
        <x:v>Validated Hazard axis adapter</x:v>
      </x:c>
      <x:c r="G6" s="20" t="str">
        <x:v>Jaimes 2020; NHC glossary</x:v>
      </x:c>
    </x:row>
    <x:row r="7" ht="15" hidden="0" customHeight="1">
      <x:c r="A7" s="20" t="str">
        <x:v>Range</x:v>
      </x:c>
      <x:c r="B7" s="20" t="str">
        <x:v>V&lt;=90 source-assumed zero; 108–252 evaluated</x:v>
      </x:c>
      <x:c r="C7" s="20" t="str">
        <x:v>90&lt;V&lt;108 and V&gt;252</x:v>
      </x:c>
      <x:c r="D7" s="20" t="str">
        <x:v>Withhold outside governed branches</x:v>
      </x:c>
      <x:c r="E7" s="20" t="str">
        <x:v>Simulation range starts at 108 km/h</x:v>
      </x:c>
      <x:c r="F7" s="20" t="str">
        <x:v>Independent reproduction</x:v>
      </x:c>
      <x:c r="G7" s="20" t="str">
        <x:v>Jaimes 2020</x:v>
      </x:c>
    </x:row>
    <x:row r="8" ht="15" hidden="0" customHeight="1">
      <x:c r="A8" s="20" t="str">
        <x:v>Asset selector</x:v>
      </x:c>
      <x:c r="B8" s="20" t="str">
        <x:v>Three exact generic source archetypes</x:v>
      </x:c>
      <x:c r="C8" s="20" t="str">
        <x:v>Nearest, interpolation, modern-fleet transfer</x:v>
      </x:c>
      <x:c r="D8" s="20" t="str">
        <x:v>Exact selector match</x:v>
      </x:c>
      <x:c r="E8" s="20" t="str">
        <x:v>No transfer evidence</x:v>
      </x:c>
      <x:c r="F8" s="20" t="str">
        <x:v>Engineering applicability review</x:v>
      </x:c>
      <x:c r="G8" s="20" t="str">
        <x:v>Artifact selector contract</x:v>
      </x:c>
    </x:row>
    <x:row r="9" ht="21.600000381469727" hidden="0" customHeight="1">
      <x:c r="A9" s="20" t="str">
        <x:v>Failure unit</x:v>
      </x:c>
      <x:c r="B9" s="20" t="str">
        <x:v>Jaimes turbine/tower exposure record</x:v>
      </x:c>
      <x:c r="C9" s="20" t="str">
        <x:v>Standard turbine assembly and all BOS/civil/support units</x:v>
      </x:c>
      <x:c r="D9" s="20" t="str">
        <x:v>Conditional scalar DR only</x:v>
      </x:c>
      <x:c r="E9" s="20" t="str">
        <x:v>Source denominator and component coverage are unresolved</x:v>
      </x:c>
      <x:c r="F9" s="20" t="str">
        <x:v>Value and engineering review</x:v>
      </x:c>
      <x:c r="G9" s="20" t="str">
        <x:v>Cell package</x:v>
      </x:c>
    </x:row>
    <x:row r="10" ht="21.600000381469727" hidden="0" customHeight="1">
      <x:c r="A10" s="20" t="str">
        <x:v>Value</x:v>
      </x:c>
      <x:c r="B10" s="20" t="str">
        <x:v>Paper-native Ct(h) audit proxy</x:v>
      </x:c>
      <x:c r="C10" s="20" t="str">
        <x:v>CWER tower/equipment, physical plant, installed CAPEX, TIV</x:v>
      </x:c>
      <x:c r="D10" s="20" t="str">
        <x:v>No dollar loss emitted</x:v>
      </x:c>
      <x:c r="E10" s="20" t="str">
        <x:v>No approved denominator crosswalk</x:v>
      </x:c>
      <x:c r="F10" s="20" t="str">
        <x:v>Valuation approval</x:v>
      </x:c>
      <x:c r="G10" s="20" t="str">
        <x:v>Value crosswalk</x:v>
      </x:c>
    </x:row>
    <x:row r="11" ht="15" hidden="0" customHeight="1">
      <x:c r="A11" s="20" t="str">
        <x:v>Portfolio metrics</x:v>
      </x:c>
      <x:c r="B11" s="20" t="str">
        <x:v>None</x:v>
      </x:c>
      <x:c r="C11" s="20" t="str">
        <x:v>Scenario loss, EAL, PML, VaR, TVaR</x:v>
      </x:c>
      <x:c r="D11" s="20" t="str">
        <x:v>Withhold</x:v>
      </x:c>
      <x:c r="E11" s="20" t="str">
        <x:v>Partial cell coverage</x:v>
      </x:c>
      <x:c r="F11" s="20" t="str">
        <x:v>Broader failure-unit coverage plus consumer QA</x:v>
      </x:c>
      <x:c r="G11" s="20" t="str">
        <x:v>Capability contract</x:v>
      </x:c>
    </x:row>
    <x:row r="12"/>
    <x:row r="13"/>
    <x:row r="14">
      <x:c r="A14" s="69" t="str">
        <x:v>GSU rule: WT_GSU_SUBSTATION is a single facility-level exposure and is never multiplied by turbine count. The asset identity can be shared across solar and wind, but a flood-GSU curve or solar-GSU curve cannot be reused as tropical-cyclone wind response without pathway-matched evidence.</x:v>
      </x:c>
      <x:c r="B14" s="70"/>
      <x:c r="C14" s="70"/>
      <x:c r="D14" s="70"/>
      <x:c r="E14" s="70"/>
      <x:c r="F14" s="70"/>
      <x:c r="G14" s="71"/>
    </x:row>
    <x:row r="15">
      <x:c r="A15" s="72"/>
      <x:c r="B15" s="73"/>
      <x:c r="C15" s="73"/>
      <x:c r="D15" s="73"/>
      <x:c r="E15" s="73"/>
      <x:c r="F15" s="73"/>
      <x:c r="G15" s="74"/>
    </x:row>
    <x:row r="16">
      <x:c r="A16" s="75"/>
      <x:c r="B16" s="76"/>
      <x:c r="C16" s="76"/>
      <x:c r="D16" s="76"/>
      <x:c r="E16" s="76"/>
      <x:c r="F16" s="76"/>
      <x:c r="G16" s="77"/>
    </x:row>
  </x:sheetData>
  <x:mergeCells>
    <x:mergeCell ref="A1:G1"/>
    <x:mergeCell ref="A2:G2"/>
    <x:mergeCell ref="A14:G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58" hidden="0" customWidth="1"/>
  </x:cols>
  <x:sheetData>
    <x:row r="1" ht="21.600000381469727" hidden="0" customHeight="1">
      <x:c r="A1" s="3" t="str">
        <x:v>Source-native curve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7" t="str">
        <x:v>Editable yellow parameter cells reproduce the published fitted expected-damage equation; exact selectors are mandatory.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15" hidden="0" customHeight="1">
      <x:c r="A4" s="13" t="str">
        <x:v>Curve ID</x:v>
      </x:c>
      <x:c r="B4" s="13" t="str">
        <x:v>Archetype ID</x:v>
      </x:c>
      <x:c r="C4" s="13" t="str">
        <x:v>Rated MW</x:v>
      </x:c>
      <x:c r="D4" s="13" t="str">
        <x:v>Hub m</x:v>
      </x:c>
      <x:c r="E4" s="13" t="str">
        <x:v>Rotor m</x:v>
      </x:c>
      <x:c r="F4" s="13" t="str">
        <x:v>V_zero km/h</x:v>
      </x:c>
      <x:c r="G4" s="13" t="str">
        <x:v>delta_V50 km/h</x:v>
      </x:c>
      <x:c r="H4" s="13" t="str">
        <x:v>rho</x:v>
      </x:c>
      <x:c r="I4" s="13" t="str">
        <x:v>Absolute D50 km/h</x:v>
      </x:c>
      <x:c r="J4" s="13" t="str">
        <x:v>Core low km/h</x:v>
      </x:c>
      <x:c r="K4" s="13" t="str">
        <x:v>Core high km/h</x:v>
      </x:c>
      <x:c r="L4" s="13" t="str">
        <x:v>max_dr</x:v>
      </x:c>
      <x:c r="M4" s="13" t="str">
        <x:v>Source limitation flag</x:v>
      </x:c>
    </x:row>
    <x:row r="5" ht="15" hidden="0" customHeight="1">
      <x:c r="A5" s="20" t="str">
        <x:v>TCWW_JAIMES_1MW_44M_SCREENING</x:v>
      </x:c>
      <x:c r="B5" s="20" t="str">
        <x:v>TCWW_JAIMES_GENERIC_1MW_HH44_V1</x:v>
      </x:c>
      <x:c r="C5" s="79" t="n">
        <x:v>1</x:v>
      </x:c>
      <x:c r="D5" s="79" t="n">
        <x:v>44</x:v>
      </x:c>
      <x:c r="E5" s="79" t="n">
        <x:v>50</x:v>
      </x:c>
      <x:c r="F5" s="80" t="n">
        <x:v>90</x:v>
      </x:c>
      <x:c r="G5" s="80" t="n">
        <x:v>106.77</x:v>
      </x:c>
      <x:c r="H5" s="80" t="n">
        <x:v>8.94</x:v>
      </x:c>
      <x:c r="I5" s="80" t="n">
        <x:v>196.77</x:v>
      </x:c>
      <x:c r="J5" s="80" t="n">
        <x:v>108</x:v>
      </x:c>
      <x:c r="K5" s="80" t="n">
        <x:v>252</x:v>
      </x:c>
      <x:c r="L5" s="80" t="n">
        <x:v>1</x:v>
      </x:c>
      <x:c r="M5" s="20" t="str">
        <x:v>SOURCE_1MW_HUB_HEIGHT_TABLE_44M_FIGURE_CAPTION_40M</x:v>
      </x:c>
    </x:row>
    <x:row r="6" ht="15" hidden="0" customHeight="1">
      <x:c r="A6" s="20" t="str">
        <x:v>TCWW_JAIMES_2P5MW_80M_SCREENING</x:v>
      </x:c>
      <x:c r="B6" s="20" t="str">
        <x:v>TCWW_JAIMES_GENERIC_2P5MW_HH80_V1</x:v>
      </x:c>
      <x:c r="C6" s="79" t="n">
        <x:v>2.5</x:v>
      </x:c>
      <x:c r="D6" s="79" t="n">
        <x:v>80</x:v>
      </x:c>
      <x:c r="E6" s="79" t="n">
        <x:v>90</x:v>
      </x:c>
      <x:c r="F6" s="80" t="n">
        <x:v>90</x:v>
      </x:c>
      <x:c r="G6" s="80" t="n">
        <x:v>82.52</x:v>
      </x:c>
      <x:c r="H6" s="80" t="n">
        <x:v>4.54</x:v>
      </x:c>
      <x:c r="I6" s="80" t="n">
        <x:v>172.52</x:v>
      </x:c>
      <x:c r="J6" s="80" t="n">
        <x:v>108</x:v>
      </x:c>
      <x:c r="K6" s="80" t="n">
        <x:v>252</x:v>
      </x:c>
      <x:c r="L6" s="80" t="n">
        <x:v>1</x:v>
      </x:c>
      <x:c r="M6" s="20" t="str"/>
    </x:row>
    <x:row r="7" ht="15" hidden="0" customHeight="1">
      <x:c r="A7" s="20" t="str">
        <x:v>TCWW_JAIMES_3P3MW_100M_SCREENING</x:v>
      </x:c>
      <x:c r="B7" s="20" t="str">
        <x:v>TCWW_JAIMES_GENERIC_3P3MW_HH100_V1</x:v>
      </x:c>
      <x:c r="C7" s="79" t="n">
        <x:v>3.3</x:v>
      </x:c>
      <x:c r="D7" s="79" t="n">
        <x:v>100</x:v>
      </x:c>
      <x:c r="E7" s="79" t="n">
        <x:v>114</x:v>
      </x:c>
      <x:c r="F7" s="80" t="n">
        <x:v>90</x:v>
      </x:c>
      <x:c r="G7" s="80" t="n">
        <x:v>73.3</x:v>
      </x:c>
      <x:c r="H7" s="80" t="n">
        <x:v>4.99</x:v>
      </x:c>
      <x:c r="I7" s="80" t="n">
        <x:v>163.3</x:v>
      </x:c>
      <x:c r="J7" s="80" t="n">
        <x:v>108</x:v>
      </x:c>
      <x:c r="K7" s="80" t="n">
        <x:v>252</x:v>
      </x:c>
      <x:c r="L7" s="80" t="n">
        <x:v>1</x:v>
      </x:c>
      <x:c r="M7" s="20" t="str"/>
    </x:row>
    <x:row r="8"/>
    <x:row r="9"/>
    <x:row r="10"/>
    <x:row r="11" ht="15" hidden="0" customHeight="1">
      <x:c r="A11" s="84" t="str">
        <x:v>Contract input</x:v>
      </x:c>
      <x:c r="B11" s="84" t="str">
        <x:v>Required value</x:v>
      </x:c>
      <x:c r="C11" s="84" t="str">
        <x:v>Default</x:v>
      </x:c>
      <x:c r="D11" s="84" t="str">
        <x:v>Failure behavior</x:v>
      </x:c>
      <x:c r="E11" s="84" t="str">
        <x:v>Notes</x:v>
      </x:c>
    </x:row>
    <x:row r="12" ht="21.600000381469727" hidden="0" customHeight="1">
      <x:c r="A12" s="20" t="str">
        <x:v>pathway_id</x:v>
      </x:c>
      <x:c r="B12" s="20" t="str">
        <x:v>tropical_cyclone_wind</x:v>
      </x:c>
      <x:c r="C12" s="20" t="str">
        <x:v>none</x:v>
      </x:c>
      <x:c r="D12" s="20" t="str">
        <x:v>reject</x:v>
      </x:c>
      <x:c r="E12" s="20" t="str">
        <x:v>No convective-wind or tornado fallback</x:v>
      </x:c>
    </x:row>
    <x:row r="13" ht="21.600000381469727" hidden="0" customHeight="1">
      <x:c r="A13" s="20" t="str">
        <x:v>failure_unit_id</x:v>
      </x:c>
      <x:c r="B13" s="20" t="str">
        <x:v>WT_JAIMES_TURBINE_TOWER_EXPOSURE_UNIT</x:v>
      </x:c>
      <x:c r="C13" s="20" t="str">
        <x:v>none</x:v>
      </x:c>
      <x:c r="D13" s="20" t="str">
        <x:v>withhold other units</x:v>
      </x:c>
      <x:c r="E13" s="20" t="str">
        <x:v>Source-native quarantined atom</x:v>
      </x:c>
    </x:row>
    <x:row r="14" ht="21.600000381469727" hidden="0" customHeight="1">
      <x:c r="A14" s="20" t="str">
        <x:v>source_model_assumption_set_id</x:v>
      </x:c>
      <x:c r="B14" s="20" t="str">
        <x:v>JAIMES_2020_GENERIC_FIXED_BASE_STEEL_PARKED_ROTOR_AS_DOCUMENTED</x:v>
      </x:c>
      <x:c r="C14" s="20" t="str">
        <x:v>none</x:v>
      </x:c>
      <x:c r="D14" s="20" t="str">
        <x:v>reject</x:v>
      </x:c>
      <x:c r="E14" s="20" t="str">
        <x:v>Acknowledgement, not protection credit</x:v>
      </x:c>
    </x:row>
    <x:row r="15" ht="21.600000381469727" hidden="0" customHeight="1">
      <x:c r="A15" s="20" t="str">
        <x:v>actual_operating_control_state</x:v>
      </x:c>
      <x:c r="B15" s="20" t="str">
        <x:v>consistent / inconsistent / unknown</x:v>
      </x:c>
      <x:c r="C15" s="20" t="str">
        <x:v>unknown</x:v>
      </x:c>
      <x:c r="D15" s="20" t="str">
        <x:v>inconsistent withholds; unknown flags</x:v>
      </x:c>
      <x:c r="E15" s="20" t="str">
        <x:v>No numeric modifier</x:v>
      </x:c>
    </x:row>
    <x:row r="16" ht="32.400001525878906" hidden="0" customHeight="1">
      <x:c r="A16" s="20" t="str">
        <x:v>artifact hazard_axis_id</x:v>
      </x:c>
      <x:c r="B16" s="20" t="str">
        <x:v>TC_PEAK_GUST_3S_10M_KMH_JAIMES</x:v>
      </x:c>
      <x:c r="C16" s="20" t="str">
        <x:v>artifact-pinned</x:v>
      </x:c>
      <x:c r="D16" s="20" t="str">
        <x:v>consumer pin mismatch rejects</x:v>
      </x:c>
      <x:c r="E16" s="20" t="str">
        <x:v>Verified against the artifact; not a duplicate request field</x:v>
      </x:c>
    </x:row>
    <x:row r="17" ht="32.400001525878906" hidden="0" customHeight="1">
      <x:c r="A17" s="20" t="str">
        <x:v>tc_peak_gust_3s_10m_kmh</x:v>
      </x:c>
      <x:c r="B17" s="20" t="str">
        <x:v>finite numeric</x:v>
      </x:c>
      <x:c r="C17" s="20" t="str">
        <x:v>none</x:v>
      </x:c>
      <x:c r="D17" s="20" t="str">
        <x:v>range policy</x:v>
      </x:c>
      <x:c r="E17" s="20" t="str">
        <x:v>No implicit unit, height, duration, or category bridge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5" hidden="0" customWidth="1"/>
    <x:col min="6" max="6" width="48" hidden="0" customWidth="1"/>
  </x:cols>
  <x:sheetData>
    <x:row r="1" ht="21.600000381469727" hidden="0" customHeight="1">
      <x:c r="A1" s="3" t="str">
        <x:v>Jaimes source-family expected damage curves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7" t="str">
        <x:v>Formula audit: DR=0 for V&lt;=90; otherwise 1−EXP[−LN(2)×((V−90)/delta)^rho]. Runtime support still follows the range/status column.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/>
    <x:row r="4" ht="15" hidden="0" customHeight="1">
      <x:c r="A4" s="13" t="str">
        <x:v>Wind km/h</x:v>
      </x:c>
      <x:c r="B4" s="13" t="str">
        <x:v>1 MW / 44 m DR</x:v>
      </x:c>
      <x:c r="C4" s="13" t="str">
        <x:v>2.5 MW / 80 m DR</x:v>
      </x:c>
      <x:c r="D4" s="13" t="str">
        <x:v>3.3 MW / 100 m DR</x:v>
      </x:c>
      <x:c r="E4" s="13" t="str">
        <x:v>Runtime domain</x:v>
      </x:c>
      <x:c r="F4" s="13" t="str">
        <x:v>Interpretation</x:v>
      </x:c>
    </x:row>
    <x:row r="5" ht="15" hidden="0" customHeight="1">
      <x:c r="A5" s="79" t="n">
        <x:v>0</x:v>
      </x:c>
      <x:c r="B5" s="85" t="n">
        <x:f>IF($A5&lt;='Inputs'!$F$5,0,'Inputs'!$L$5*(1-EXP(-LN(2)*POWER(($A5-'Inputs'!$F$5)/'Inputs'!$G$5,'Inputs'!$H$5))))</x:f>
        <x:v>0</x:v>
      </x:c>
      <x:c r="C5" s="85" t="n">
        <x:f>IF($A5&lt;='Inputs'!$F$6,0,'Inputs'!$L$6*(1-EXP(-LN(2)*POWER(($A5-'Inputs'!$F$6)/'Inputs'!$G$6,'Inputs'!$H$6))))</x:f>
        <x:v>0</x:v>
      </x:c>
      <x:c r="D5" s="85" t="n">
        <x:f>IF($A5&lt;='Inputs'!$F$7,0,'Inputs'!$L$7*(1-EXP(-LN(2)*POWER(($A5-'Inputs'!$F$7)/'Inputs'!$G$7,'Inputs'!$H$7))))</x:f>
        <x:v>0</x:v>
      </x:c>
      <x:c r="E5" s="20" t="str">
        <x:f>IF(A5&lt;0,"REJECT",IF(A5&lt;=90,"SUPPORTED_SOURCE_ZERO",IF(A5&lt;108,"WITHHOLD_GAP",IF(A5&lt;=252,"SUPPORTED_CORE","WITHHOLD_HIGH"))))</x:f>
        <x:v>SUPPORTED_SOURCE_ZERO</x:v>
      </x:c>
      <x:c r="F5" s="20" t="str">
        <x:f>IF(E5="SUPPORTED_CORE","Runtime scalar DR may be evaluated",IF(E5="SUPPORTED_SOURCE_ZERO","Zero only with non-empirical threshold flag","Formula shown for audit only; runtime DR is null"))</x:f>
        <x:v>Zero only with non-empirical threshold flag</x:v>
      </x:c>
    </x:row>
    <x:row r="6" ht="15" hidden="0" customHeight="1">
      <x:c r="A6" s="79" t="n">
        <x:v>60</x:v>
      </x:c>
      <x:c r="B6" s="85" t="n">
        <x:f>IF($A6&lt;='Inputs'!$F$5,0,'Inputs'!$L$5*(1-EXP(-LN(2)*POWER(($A6-'Inputs'!$F$5)/'Inputs'!$G$5,'Inputs'!$H$5))))</x:f>
        <x:v>0</x:v>
      </x:c>
      <x:c r="C6" s="85" t="n">
        <x:f>IF($A6&lt;='Inputs'!$F$6,0,'Inputs'!$L$6*(1-EXP(-LN(2)*POWER(($A6-'Inputs'!$F$6)/'Inputs'!$G$6,'Inputs'!$H$6))))</x:f>
        <x:v>0</x:v>
      </x:c>
      <x:c r="D6" s="85" t="n">
        <x:f>IF($A6&lt;='Inputs'!$F$7,0,'Inputs'!$L$7*(1-EXP(-LN(2)*POWER(($A6-'Inputs'!$F$7)/'Inputs'!$G$7,'Inputs'!$H$7))))</x:f>
        <x:v>0</x:v>
      </x:c>
      <x:c r="E6" s="20" t="str">
        <x:f>IF(A6&lt;0,"REJECT",IF(A6&lt;=90,"SUPPORTED_SOURCE_ZERO",IF(A6&lt;108,"WITHHOLD_GAP",IF(A6&lt;=252,"SUPPORTED_CORE","WITHHOLD_HIGH"))))</x:f>
        <x:v>SUPPORTED_SOURCE_ZERO</x:v>
      </x:c>
      <x:c r="F6" s="20" t="str">
        <x:f>IF(E6="SUPPORTED_CORE","Runtime scalar DR may be evaluated",IF(E6="SUPPORTED_SOURCE_ZERO","Zero only with non-empirical threshold flag","Formula shown for audit only; runtime DR is null"))</x:f>
        <x:v>Zero only with non-empirical threshold flag</x:v>
      </x:c>
    </x:row>
    <x:row r="7" ht="15" hidden="0" customHeight="1">
      <x:c r="A7" s="79" t="n">
        <x:v>90</x:v>
      </x:c>
      <x:c r="B7" s="85" t="n">
        <x:f>IF($A7&lt;='Inputs'!$F$5,0,'Inputs'!$L$5*(1-EXP(-LN(2)*POWER(($A7-'Inputs'!$F$5)/'Inputs'!$G$5,'Inputs'!$H$5))))</x:f>
        <x:v>0</x:v>
      </x:c>
      <x:c r="C7" s="85" t="n">
        <x:f>IF($A7&lt;='Inputs'!$F$6,0,'Inputs'!$L$6*(1-EXP(-LN(2)*POWER(($A7-'Inputs'!$F$6)/'Inputs'!$G$6,'Inputs'!$H$6))))</x:f>
        <x:v>0</x:v>
      </x:c>
      <x:c r="D7" s="85" t="n">
        <x:f>IF($A7&lt;='Inputs'!$F$7,0,'Inputs'!$L$7*(1-EXP(-LN(2)*POWER(($A7-'Inputs'!$F$7)/'Inputs'!$G$7,'Inputs'!$H$7))))</x:f>
        <x:v>0</x:v>
      </x:c>
      <x:c r="E7" s="20" t="str">
        <x:f>IF(A7&lt;0,"REJECT",IF(A7&lt;=90,"SUPPORTED_SOURCE_ZERO",IF(A7&lt;108,"WITHHOLD_GAP",IF(A7&lt;=252,"SUPPORTED_CORE","WITHHOLD_HIGH"))))</x:f>
        <x:v>SUPPORTED_SOURCE_ZERO</x:v>
      </x:c>
      <x:c r="F7" s="20" t="str">
        <x:f>IF(E7="SUPPORTED_CORE","Runtime scalar DR may be evaluated",IF(E7="SUPPORTED_SOURCE_ZERO","Zero only with non-empirical threshold flag","Formula shown for audit only; runtime DR is null"))</x:f>
        <x:v>Zero only with non-empirical threshold flag</x:v>
      </x:c>
    </x:row>
    <x:row r="8" ht="15" hidden="0" customHeight="1">
      <x:c r="A8" s="79" t="n">
        <x:v>100</x:v>
      </x:c>
      <x:c r="B8" s="85" t="n">
        <x:f>IF($A8&lt;='Inputs'!$F$5,0,'Inputs'!$L$5*(1-EXP(-LN(2)*POWER(($A8-'Inputs'!$F$5)/'Inputs'!$G$5,'Inputs'!$H$5))))</x:f>
        <x:v>4.430872335703384e-10</x:v>
      </x:c>
      <x:c r="C8" s="85" t="n">
        <x:f>IF($A8&lt;='Inputs'!$F$6,0,'Inputs'!$L$6*(1-EXP(-LN(2)*POWER(($A8-'Inputs'!$F$6)/'Inputs'!$G$6,'Inputs'!$H$6))))</x:f>
        <x:v>0.0000478229343806591</x:v>
      </x:c>
      <x:c r="D8" s="85" t="n">
        <x:f>IF($A8&lt;='Inputs'!$F$7,0,'Inputs'!$L$7*(1-EXP(-LN(2)*POWER(($A8-'Inputs'!$F$7)/'Inputs'!$G$7,'Inputs'!$H$7))))</x:f>
        <x:v>0.000033415608293840826</x:v>
      </x:c>
      <x:c r="E8" s="20" t="str">
        <x:f>IF(A8&lt;0,"REJECT",IF(A8&lt;=90,"SUPPORTED_SOURCE_ZERO",IF(A8&lt;108,"WITHHOLD_GAP",IF(A8&lt;=252,"SUPPORTED_CORE","WITHHOLD_HIGH"))))</x:f>
        <x:v>WITHHOLD_GAP</x:v>
      </x:c>
      <x:c r="F8" s="20" t="str">
        <x:f>IF(E8="SUPPORTED_CORE","Runtime scalar DR may be evaluated",IF(E8="SUPPORTED_SOURCE_ZERO","Zero only with non-empirical threshold flag","Formula shown for audit only; runtime DR is null"))</x:f>
        <x:v>Formula shown for audit only; runtime DR is null</x:v>
      </x:c>
    </x:row>
    <x:row r="9" ht="15" hidden="0" customHeight="1">
      <x:c r="A9" s="79" t="n">
        <x:v>108</x:v>
      </x:c>
      <x:c r="B9" s="85" t="n">
        <x:f>IF($A9&lt;='Inputs'!$F$5,0,'Inputs'!$L$5*(1-EXP(-LN(2)*POWER(($A9-'Inputs'!$F$5)/'Inputs'!$G$5,'Inputs'!$H$5))))</x:f>
        <x:v>8.484483482451566e-8</x:v>
      </x:c>
      <x:c r="C9" s="85" t="n">
        <x:f>IF($A9&lt;='Inputs'!$F$6,0,'Inputs'!$L$6*(1-EXP(-LN(2)*POWER(($A9-'Inputs'!$F$6)/'Inputs'!$G$6,'Inputs'!$H$6))))</x:f>
        <x:v>0.0006893409004211648</x:v>
      </x:c>
      <x:c r="D9" s="85" t="n">
        <x:f>IF($A9&lt;='Inputs'!$F$7,0,'Inputs'!$L$7*(1-EXP(-LN(2)*POWER(($A9-'Inputs'!$F$7)/'Inputs'!$G$7,'Inputs'!$H$7))))</x:f>
        <x:v>0.0006275236923301009</x:v>
      </x:c>
      <x:c r="E9" s="20" t="str">
        <x:f>IF(A9&lt;0,"REJECT",IF(A9&lt;=90,"SUPPORTED_SOURCE_ZERO",IF(A9&lt;108,"WITHHOLD_GAP",IF(A9&lt;=252,"SUPPORTED_CORE","WITHHOLD_HIGH"))))</x:f>
        <x:v>SUPPORTED_CORE</x:v>
      </x:c>
      <x:c r="F9" s="20" t="str">
        <x:f>IF(E9="SUPPORTED_CORE","Runtime scalar DR may be evaluated",IF(E9="SUPPORTED_SOURCE_ZERO","Zero only with non-empirical threshold flag","Formula shown for audit only; runtime DR is null"))</x:f>
        <x:v>Runtime scalar DR may be evaluated</x:v>
      </x:c>
    </x:row>
    <x:row r="10" ht="15" hidden="0" customHeight="1">
      <x:c r="A10" s="79" t="n">
        <x:v>120</x:v>
      </x:c>
      <x:c r="B10" s="85" t="n">
        <x:f>IF($A10&lt;='Inputs'!$F$5,0,'Inputs'!$L$5*(1-EXP(-LN(2)*POWER(($A10-'Inputs'!$F$5)/'Inputs'!$G$5,'Inputs'!$H$5))))</x:f>
        <x:v>0.000008164911378671924</x:v>
      </x:c>
      <x:c r="C10" s="85" t="n">
        <x:f>IF($A10&lt;='Inputs'!$F$6,0,'Inputs'!$L$6*(1-EXP(-LN(2)*POWER(($A10-'Inputs'!$F$6)/'Inputs'!$G$6,'Inputs'!$H$6))))</x:f>
        <x:v>0.006986434343658088</x:v>
      </x:c>
      <x:c r="D10" s="85" t="n">
        <x:f>IF($A10&lt;='Inputs'!$F$7,0,'Inputs'!$L$7*(1-EXP(-LN(2)*POWER(($A10-'Inputs'!$F$7)/'Inputs'!$G$7,'Inputs'!$H$7))))</x:f>
        <x:v>0.007999242407776386</x:v>
      </x:c>
      <x:c r="E10" s="20" t="str">
        <x:f>IF(A10&lt;0,"REJECT",IF(A10&lt;=90,"SUPPORTED_SOURCE_ZERO",IF(A10&lt;108,"WITHHOLD_GAP",IF(A10&lt;=252,"SUPPORTED_CORE","WITHHOLD_HIGH"))))</x:f>
        <x:v>SUPPORTED_CORE</x:v>
      </x:c>
      <x:c r="F10" s="20" t="str">
        <x:f>IF(E10="SUPPORTED_CORE","Runtime scalar DR may be evaluated",IF(E10="SUPPORTED_SOURCE_ZERO","Zero only with non-empirical threshold flag","Formula shown for audit only; runtime DR is null"))</x:f>
        <x:v>Runtime scalar DR may be evaluated</x:v>
      </x:c>
    </x:row>
    <x:row r="11" ht="15" hidden="0" customHeight="1">
      <x:c r="A11" s="79" t="n">
        <x:v>140</x:v>
      </x:c>
      <x:c r="B11" s="85" t="n">
        <x:f>IF($A11&lt;='Inputs'!$F$5,0,'Inputs'!$L$5*(1-EXP(-LN(2)*POWER(($A11-'Inputs'!$F$5)/'Inputs'!$G$5,'Inputs'!$H$5))))</x:f>
        <x:v>0.0007854353776268752</x:v>
      </x:c>
      <x:c r="C11" s="85" t="n">
        <x:f>IF($A11&lt;='Inputs'!$F$6,0,'Inputs'!$L$6*(1-EXP(-LN(2)*POWER(($A11-'Inputs'!$F$6)/'Inputs'!$G$6,'Inputs'!$H$6))))</x:f>
        <x:v>0.06879929855974154</x:v>
      </x:c>
      <x:c r="D11" s="85" t="n">
        <x:f>IF($A11&lt;='Inputs'!$F$7,0,'Inputs'!$L$7*(1-EXP(-LN(2)*POWER(($A11-'Inputs'!$F$7)/'Inputs'!$G$7,'Inputs'!$H$7))))</x:f>
        <x:v>0.09765496427392917</x:v>
      </x:c>
      <x:c r="E11" s="20" t="str">
        <x:f>IF(A11&lt;0,"REJECT",IF(A11&lt;=90,"SUPPORTED_SOURCE_ZERO",IF(A11&lt;108,"WITHHOLD_GAP",IF(A11&lt;=252,"SUPPORTED_CORE","WITHHOLD_HIGH"))))</x:f>
        <x:v>SUPPORTED_CORE</x:v>
      </x:c>
      <x:c r="F11" s="20" t="str">
        <x:f>IF(E11="SUPPORTED_CORE","Runtime scalar DR may be evaluated",IF(E11="SUPPORTED_SOURCE_ZERO","Zero only with non-empirical threshold flag","Formula shown for audit only; runtime DR is null"))</x:f>
        <x:v>Runtime scalar DR may be evaluated</x:v>
      </x:c>
    </x:row>
    <x:row r="12" ht="15" hidden="0" customHeight="1">
      <x:c r="A12" s="79" t="n">
        <x:v>150</x:v>
      </x:c>
      <x:c r="B12" s="85" t="n">
        <x:f>IF($A12&lt;='Inputs'!$F$5,0,'Inputs'!$L$5*(1-EXP(-LN(2)*POWER(($A12-'Inputs'!$F$5)/'Inputs'!$G$5,'Inputs'!$H$5))))</x:f>
        <x:v>0.004002127367618291</x:v>
      </x:c>
      <x:c r="C12" s="85" t="n">
        <x:f>IF($A12&lt;='Inputs'!$F$6,0,'Inputs'!$L$6*(1-EXP(-LN(2)*POWER(($A12-'Inputs'!$F$6)/'Inputs'!$G$6,'Inputs'!$H$6))))</x:f>
        <x:v>0.15049354987100594</x:v>
      </x:c>
      <x:c r="D12" s="85" t="n">
        <x:f>IF($A12&lt;='Inputs'!$F$7,0,'Inputs'!$L$7*(1-EXP(-LN(2)*POWER(($A12-'Inputs'!$F$7)/'Inputs'!$G$7,'Inputs'!$H$7))))</x:f>
        <x:v>0.22526155139966575</x:v>
      </x:c>
      <x:c r="E12" s="20" t="str">
        <x:f>IF(A12&lt;0,"REJECT",IF(A12&lt;=90,"SUPPORTED_SOURCE_ZERO",IF(A12&lt;108,"WITHHOLD_GAP",IF(A12&lt;=252,"SUPPORTED_CORE","WITHHOLD_HIGH"))))</x:f>
        <x:v>SUPPORTED_CORE</x:v>
      </x:c>
      <x:c r="F12" s="20" t="str">
        <x:f>IF(E12="SUPPORTED_CORE","Runtime scalar DR may be evaluated",IF(E12="SUPPORTED_SOURCE_ZERO","Zero only with non-empirical threshold flag","Formula shown for audit only; runtime DR is null"))</x:f>
        <x:v>Runtime scalar DR may be evaluated</x:v>
      </x:c>
    </x:row>
    <x:row r="13" ht="15" hidden="0" customHeight="1">
      <x:c r="A13" s="79" t="n">
        <x:v>160</x:v>
      </x:c>
      <x:c r="B13" s="85" t="n">
        <x:f>IF($A13&lt;='Inputs'!$F$5,0,'Inputs'!$L$5*(1-EXP(-LN(2)*POWER(($A13-'Inputs'!$F$5)/'Inputs'!$G$5,'Inputs'!$H$5))))</x:f>
        <x:v>0.015783943301410974</x:v>
      </x:c>
      <x:c r="C13" s="85" t="n">
        <x:f>IF($A13&lt;='Inputs'!$F$6,0,'Inputs'!$L$6*(1-EXP(-LN(2)*POWER(($A13-'Inputs'!$F$6)/'Inputs'!$G$6,'Inputs'!$H$6))))</x:f>
        <x:v>0.2799188381327462</x:v>
      </x:c>
      <x:c r="D13" s="85" t="n">
        <x:f>IF($A13&lt;='Inputs'!$F$7,0,'Inputs'!$L$7*(1-EXP(-LN(2)*POWER(($A13-'Inputs'!$F$7)/'Inputs'!$G$7,'Inputs'!$H$7))))</x:f>
        <x:v>0.4235129655179889</x:v>
      </x:c>
      <x:c r="E13" s="20" t="str">
        <x:f>IF(A13&lt;0,"REJECT",IF(A13&lt;=90,"SUPPORTED_SOURCE_ZERO",IF(A13&lt;108,"WITHHOLD_GAP",IF(A13&lt;=252,"SUPPORTED_CORE","WITHHOLD_HIGH"))))</x:f>
        <x:v>SUPPORTED_CORE</x:v>
      </x:c>
      <x:c r="F13" s="20" t="str">
        <x:f>IF(E13="SUPPORTED_CORE","Runtime scalar DR may be evaluated",IF(E13="SUPPORTED_SOURCE_ZERO","Zero only with non-empirical threshold flag","Formula shown for audit only; runtime DR is null"))</x:f>
        <x:v>Runtime scalar DR may be evaluated</x:v>
      </x:c>
    </x:row>
    <x:row r="14" ht="15" hidden="0" customHeight="1">
      <x:c r="A14" s="79" t="n">
        <x:v>163.3</x:v>
      </x:c>
      <x:c r="B14" s="85" t="n">
        <x:f>IF($A14&lt;='Inputs'!$F$5,0,'Inputs'!$L$5*(1-EXP(-LN(2)*POWER(($A14-'Inputs'!$F$5)/'Inputs'!$G$5,'Inputs'!$H$5))))</x:f>
        <x:v>0.023730887299197923</x:v>
      </x:c>
      <x:c r="C14" s="85" t="n">
        <x:f>IF($A14&lt;='Inputs'!$F$6,0,'Inputs'!$L$6*(1-EXP(-LN(2)*POWER(($A14-'Inputs'!$F$6)/'Inputs'!$G$6,'Inputs'!$H$6))))</x:f>
        <x:v>0.33287619201340823</x:v>
      </x:c>
      <x:c r="D14" s="85" t="n">
        <x:f>IF($A14&lt;='Inputs'!$F$7,0,'Inputs'!$L$7*(1-EXP(-LN(2)*POWER(($A14-'Inputs'!$F$7)/'Inputs'!$G$7,'Inputs'!$H$7))))</x:f>
        <x:v>0.5000000000000004</x:v>
      </x:c>
      <x:c r="E14" s="20" t="str">
        <x:f>IF(A14&lt;0,"REJECT",IF(A14&lt;=90,"SUPPORTED_SOURCE_ZERO",IF(A14&lt;108,"WITHHOLD_GAP",IF(A14&lt;=252,"SUPPORTED_CORE","WITHHOLD_HIGH"))))</x:f>
        <x:v>SUPPORTED_CORE</x:v>
      </x:c>
      <x:c r="F14" s="20" t="str">
        <x:f>IF(E14="SUPPORTED_CORE","Runtime scalar DR may be evaluated",IF(E14="SUPPORTED_SOURCE_ZERO","Zero only with non-empirical threshold flag","Formula shown for audit only; runtime DR is null"))</x:f>
        <x:v>Runtime scalar DR may be evaluated</x:v>
      </x:c>
    </x:row>
    <x:row r="15" ht="15" hidden="0" customHeight="1">
      <x:c r="A15" s="79" t="n">
        <x:v>172.52</x:v>
      </x:c>
      <x:c r="B15" s="85" t="n">
        <x:f>IF($A15&lt;='Inputs'!$F$5,0,'Inputs'!$L$5*(1-EXP(-LN(2)*POWER(($A15-'Inputs'!$F$5)/'Inputs'!$G$5,'Inputs'!$H$5))))</x:f>
        <x:v>0.06692282317595954</x:v>
      </x:c>
      <x:c r="C15" s="85" t="n">
        <x:f>IF($A15&lt;='Inputs'!$F$6,0,'Inputs'!$L$6*(1-EXP(-LN(2)*POWER(($A15-'Inputs'!$F$6)/'Inputs'!$G$6,'Inputs'!$H$6))))</x:f>
        <x:v>0.5000000000000004</x:v>
      </x:c>
      <x:c r="D15" s="85" t="n">
        <x:f>IF($A15&lt;='Inputs'!$F$7,0,'Inputs'!$L$7*(1-EXP(-LN(2)*POWER(($A15-'Inputs'!$F$7)/'Inputs'!$G$7,'Inputs'!$H$7))))</x:f>
        <x:v>0.7140534646321812</x:v>
      </x:c>
      <x:c r="E15" s="20" t="str">
        <x:f>IF(A15&lt;0,"REJECT",IF(A15&lt;=90,"SUPPORTED_SOURCE_ZERO",IF(A15&lt;108,"WITHHOLD_GAP",IF(A15&lt;=252,"SUPPORTED_CORE","WITHHOLD_HIGH"))))</x:f>
        <x:v>SUPPORTED_CORE</x:v>
      </x:c>
      <x:c r="F15" s="20" t="str">
        <x:f>IF(E15="SUPPORTED_CORE","Runtime scalar DR may be evaluated",IF(E15="SUPPORTED_SOURCE_ZERO","Zero only with non-empirical threshold flag","Formula shown for audit only; runtime DR is null"))</x:f>
        <x:v>Runtime scalar DR may be evaluated</x:v>
      </x:c>
    </x:row>
    <x:row r="16" ht="15" hidden="0" customHeight="1">
      <x:c r="A16" s="79" t="n">
        <x:v>180</x:v>
      </x:c>
      <x:c r="B16" s="85" t="n">
        <x:f>IF($A16&lt;='Inputs'!$F$5,0,'Inputs'!$L$5*(1-EXP(-LN(2)*POWER(($A16-'Inputs'!$F$5)/'Inputs'!$G$5,'Inputs'!$H$5))))</x:f>
        <x:v>0.13968672798459847</x:v>
      </x:c>
      <x:c r="C16" s="85" t="n">
        <x:f>IF($A16&lt;='Inputs'!$F$6,0,'Inputs'!$L$6*(1-EXP(-LN(2)*POWER(($A16-'Inputs'!$F$6)/'Inputs'!$G$6,'Inputs'!$H$6))))</x:f>
        <x:v>0.6422059000083215</x:v>
      </x:c>
      <x:c r="D16" s="85" t="n">
        <x:f>IF($A16&lt;='Inputs'!$F$7,0,'Inputs'!$L$7*(1-EXP(-LN(2)*POWER(($A16-'Inputs'!$F$7)/'Inputs'!$G$7,'Inputs'!$H$7))))</x:f>
        <x:v>0.8548965899961662</x:v>
      </x:c>
      <x:c r="E16" s="20" t="str">
        <x:f>IF(A16&lt;0,"REJECT",IF(A16&lt;=90,"SUPPORTED_SOURCE_ZERO",IF(A16&lt;108,"WITHHOLD_GAP",IF(A16&lt;=252,"SUPPORTED_CORE","WITHHOLD_HIGH"))))</x:f>
        <x:v>SUPPORTED_CORE</x:v>
      </x:c>
      <x:c r="F16" s="20" t="str">
        <x:f>IF(E16="SUPPORTED_CORE","Runtime scalar DR may be evaluated",IF(E16="SUPPORTED_SOURCE_ZERO","Zero only with non-empirical threshold flag","Formula shown for audit only; runtime DR is null"))</x:f>
        <x:v>Runtime scalar DR may be evaluated</x:v>
      </x:c>
    </x:row>
    <x:row r="17" ht="15" hidden="0" customHeight="1">
      <x:c r="A17" s="79" t="n">
        <x:v>196.77</x:v>
      </x:c>
      <x:c r="B17" s="85" t="n">
        <x:f>IF($A17&lt;='Inputs'!$F$5,0,'Inputs'!$L$5*(1-EXP(-LN(2)*POWER(($A17-'Inputs'!$F$5)/'Inputs'!$G$5,'Inputs'!$H$5))))</x:f>
        <x:v>0.5000000000000007</x:v>
      </x:c>
      <x:c r="C17" s="85" t="n">
        <x:f>IF($A17&lt;='Inputs'!$F$6,0,'Inputs'!$L$6*(1-EXP(-LN(2)*POWER(($A17-'Inputs'!$F$6)/'Inputs'!$G$6,'Inputs'!$H$6))))</x:f>
        <x:v>0.8927481600946945</x:v>
      </x:c>
      <x:c r="D17" s="85" t="n">
        <x:f>IF($A17&lt;='Inputs'!$F$7,0,'Inputs'!$L$7*(1-EXP(-LN(2)*POWER(($A17-'Inputs'!$F$7)/'Inputs'!$G$7,'Inputs'!$H$7))))</x:f>
        <x:v>0.9891990846234837</x:v>
      </x:c>
      <x:c r="E17" s="20" t="str">
        <x:f>IF(A17&lt;0,"REJECT",IF(A17&lt;=90,"SUPPORTED_SOURCE_ZERO",IF(A17&lt;108,"WITHHOLD_GAP",IF(A17&lt;=252,"SUPPORTED_CORE","WITHHOLD_HIGH"))))</x:f>
        <x:v>SUPPORTED_CORE</x:v>
      </x:c>
      <x:c r="F17" s="20" t="str">
        <x:f>IF(E17="SUPPORTED_CORE","Runtime scalar DR may be evaluated",IF(E17="SUPPORTED_SOURCE_ZERO","Zero only with non-empirical threshold flag","Formula shown for audit only; runtime DR is null"))</x:f>
        <x:v>Runtime scalar DR may be evaluated</x:v>
      </x:c>
    </x:row>
    <x:row r="18" ht="15" hidden="0" customHeight="1">
      <x:c r="A18" s="79" t="n">
        <x:v>200</x:v>
      </x:c>
      <x:c r="B18" s="85" t="n">
        <x:f>IF($A18&lt;='Inputs'!$F$5,0,'Inputs'!$L$5*(1-EXP(-LN(2)*POWER(($A18-'Inputs'!$F$5)/'Inputs'!$G$5,'Inputs'!$H$5))))</x:f>
        <x:v>0.595366445773527</x:v>
      </x:c>
      <x:c r="C18" s="85" t="n">
        <x:f>IF($A18&lt;='Inputs'!$F$6,0,'Inputs'!$L$6*(1-EXP(-LN(2)*POWER(($A18-'Inputs'!$F$6)/'Inputs'!$G$6,'Inputs'!$H$6))))</x:f>
        <x:v>0.9223893252796812</x:v>
      </x:c>
      <x:c r="D18" s="85" t="n">
        <x:f>IF($A18&lt;='Inputs'!$F$7,0,'Inputs'!$L$7*(1-EXP(-LN(2)*POWER(($A18-'Inputs'!$F$7)/'Inputs'!$G$7,'Inputs'!$H$7))))</x:f>
        <x:v>0.9947744450209641</x:v>
      </x:c>
      <x:c r="E18" s="20" t="str">
        <x:f>IF(A18&lt;0,"REJECT",IF(A18&lt;=90,"SUPPORTED_SOURCE_ZERO",IF(A18&lt;108,"WITHHOLD_GAP",IF(A18&lt;=252,"SUPPORTED_CORE","WITHHOLD_HIGH"))))</x:f>
        <x:v>SUPPORTED_CORE</x:v>
      </x:c>
      <x:c r="F18" s="20" t="str">
        <x:f>IF(E18="SUPPORTED_CORE","Runtime scalar DR may be evaluated",IF(E18="SUPPORTED_SOURCE_ZERO","Zero only with non-empirical threshold flag","Formula shown for audit only; runtime DR is null"))</x:f>
        <x:v>Runtime scalar DR may be evaluated</x:v>
      </x:c>
    </x:row>
    <x:row r="19" ht="15" hidden="0" customHeight="1">
      <x:c r="A19" s="79" t="n">
        <x:v>220</x:v>
      </x:c>
      <x:c r="B19" s="85" t="n">
        <x:f>IF($A19&lt;='Inputs'!$F$5,0,'Inputs'!$L$5*(1-EXP(-LN(2)*POWER(($A19-'Inputs'!$F$5)/'Inputs'!$G$5,'Inputs'!$H$5))))</x:f>
        <x:v>0.9821988948782603</x:v>
      </x:c>
      <x:c r="C19" s="85" t="n">
        <x:f>IF($A19&lt;='Inputs'!$F$6,0,'Inputs'!$L$6*(1-EXP(-LN(2)*POWER(($A19-'Inputs'!$F$6)/'Inputs'!$G$6,'Inputs'!$H$6))))</x:f>
        <x:v>0.9957334216400757</x:v>
      </x:c>
      <x:c r="D19" s="85" t="n">
        <x:f>IF($A19&lt;='Inputs'!$F$7,0,'Inputs'!$L$7*(1-EXP(-LN(2)*POWER(($A19-'Inputs'!$F$7)/'Inputs'!$G$7,'Inputs'!$H$7))))</x:f>
        <x:v>0.9999944014184746</x:v>
      </x:c>
      <x:c r="E19" s="20" t="str">
        <x:f>IF(A19&lt;0,"REJECT",IF(A19&lt;=90,"SUPPORTED_SOURCE_ZERO",IF(A19&lt;108,"WITHHOLD_GAP",IF(A19&lt;=252,"SUPPORTED_CORE","WITHHOLD_HIGH"))))</x:f>
        <x:v>SUPPORTED_CORE</x:v>
      </x:c>
      <x:c r="F19" s="20" t="str">
        <x:f>IF(E19="SUPPORTED_CORE","Runtime scalar DR may be evaluated",IF(E19="SUPPORTED_SOURCE_ZERO","Zero only with non-empirical threshold flag","Formula shown for audit only; runtime DR is null"))</x:f>
        <x:v>Runtime scalar DR may be evaluated</x:v>
      </x:c>
    </x:row>
    <x:row r="20" ht="15" hidden="0" customHeight="1">
      <x:c r="A20" s="79" t="n">
        <x:v>240</x:v>
      </x:c>
      <x:c r="B20" s="85" t="n">
        <x:f>IF($A20&lt;='Inputs'!$F$5,0,'Inputs'!$L$5*(1-EXP(-LN(2)*POWER(($A20-'Inputs'!$F$5)/'Inputs'!$G$5,'Inputs'!$H$5))))</x:f>
        <x:v>0.999999485060973</x:v>
      </x:c>
      <x:c r="C20" s="85" t="n">
        <x:f>IF($A20&lt;='Inputs'!$F$6,0,'Inputs'!$L$6*(1-EXP(-LN(2)*POWER(($A20-'Inputs'!$F$6)/'Inputs'!$G$6,'Inputs'!$H$6))))</x:f>
        <x:v>0.9999710410196352</x:v>
      </x:c>
      <x:c r="D20" s="85" t="n">
        <x:f>IF($A20&lt;='Inputs'!$F$7,0,'Inputs'!$L$7*(1-EXP(-LN(2)*POWER(($A20-'Inputs'!$F$7)/'Inputs'!$G$7,'Inputs'!$H$7))))</x:f>
        <x:v>0.9999999999812053</x:v>
      </x:c>
      <x:c r="E20" s="20" t="str">
        <x:f>IF(A20&lt;0,"REJECT",IF(A20&lt;=90,"SUPPORTED_SOURCE_ZERO",IF(A20&lt;108,"WITHHOLD_GAP",IF(A20&lt;=252,"SUPPORTED_CORE","WITHHOLD_HIGH"))))</x:f>
        <x:v>SUPPORTED_CORE</x:v>
      </x:c>
      <x:c r="F20" s="20" t="str">
        <x:f>IF(E20="SUPPORTED_CORE","Runtime scalar DR may be evaluated",IF(E20="SUPPORTED_SOURCE_ZERO","Zero only with non-empirical threshold flag","Formula shown for audit only; runtime DR is null"))</x:f>
        <x:v>Runtime scalar DR may be evaluated</x:v>
      </x:c>
    </x:row>
    <x:row r="21" ht="15" hidden="0" customHeight="1">
      <x:c r="A21" s="79" t="n">
        <x:v>252</x:v>
      </x:c>
      <x:c r="B21" s="85" t="n">
        <x:f>IF($A21&lt;='Inputs'!$F$5,0,'Inputs'!$L$5*(1-EXP(-LN(2)*POWER(($A21-'Inputs'!$F$5)/'Inputs'!$G$5,'Inputs'!$H$5))))</x:f>
        <x:v>0.9999999999996926</x:v>
      </x:c>
      <x:c r="C21" s="85" t="n">
        <x:f>IF($A21&lt;='Inputs'!$F$6,0,'Inputs'!$L$6*(1-EXP(-LN(2)*POWER(($A21-'Inputs'!$F$6)/'Inputs'!$G$6,'Inputs'!$H$6))))</x:f>
        <x:v>0.9999996337255346</x:v>
      </x:c>
      <x:c r="D21" s="85" t="n">
        <x:f>IF($A21&lt;='Inputs'!$F$7,0,'Inputs'!$L$7*(1-EXP(-LN(2)*POWER(($A21-'Inputs'!$F$7)/'Inputs'!$G$7,'Inputs'!$H$7))))</x:f>
        <x:v>0.9999999999999998</x:v>
      </x:c>
      <x:c r="E21" s="20" t="str">
        <x:f>IF(A21&lt;0,"REJECT",IF(A21&lt;=90,"SUPPORTED_SOURCE_ZERO",IF(A21&lt;108,"WITHHOLD_GAP",IF(A21&lt;=252,"SUPPORTED_CORE","WITHHOLD_HIGH"))))</x:f>
        <x:v>SUPPORTED_CORE</x:v>
      </x:c>
      <x:c r="F21" s="20" t="str">
        <x:f>IF(E21="SUPPORTED_CORE","Runtime scalar DR may be evaluated",IF(E21="SUPPORTED_SOURCE_ZERO","Zero only with non-empirical threshold flag","Formula shown for audit only; runtime DR is null"))</x:f>
        <x:v>Runtime scalar DR may be evaluated</x:v>
      </x:c>
    </x:row>
    <x:row r="22" ht="15" hidden="0" customHeight="1">
      <x:c r="A22" s="79" t="n">
        <x:v>260</x:v>
      </x:c>
      <x:c r="B22" s="85" t="n">
        <x:f>IF($A22&lt;='Inputs'!$F$5,0,'Inputs'!$L$5*(1-EXP(-LN(2)*POWER(($A22-'Inputs'!$F$5)/'Inputs'!$G$5,'Inputs'!$H$5))))</x:f>
        <x:v>1</x:v>
      </x:c>
      <x:c r="C22" s="85" t="n">
        <x:f>IF($A22&lt;='Inputs'!$F$6,0,'Inputs'!$L$6*(1-EXP(-LN(2)*POWER(($A22-'Inputs'!$F$6)/'Inputs'!$G$6,'Inputs'!$H$6))))</x:f>
        <x:v>0.9999999902427663</x:v>
      </x:c>
      <x:c r="D22" s="85" t="n">
        <x:f>IF($A22&lt;='Inputs'!$F$7,0,'Inputs'!$L$7*(1-EXP(-LN(2)*POWER(($A22-'Inputs'!$F$7)/'Inputs'!$G$7,'Inputs'!$H$7))))</x:f>
        <x:v>1</x:v>
      </x:c>
      <x:c r="E22" s="20" t="str">
        <x:f>IF(A22&lt;0,"REJECT",IF(A22&lt;=90,"SUPPORTED_SOURCE_ZERO",IF(A22&lt;108,"WITHHOLD_GAP",IF(A22&lt;=252,"SUPPORTED_CORE","WITHHOLD_HIGH"))))</x:f>
        <x:v>WITHHOLD_HIGH</x:v>
      </x:c>
      <x:c r="F22" s="20" t="str">
        <x:f>IF(E22="SUPPORTED_CORE","Runtime scalar DR may be evaluated",IF(E22="SUPPORTED_SOURCE_ZERO","Zero only with non-empirical threshold flag","Formula shown for audit only; runtime DR is null"))</x:f>
        <x:v>Formula shown for audit only; runtime DR is null</x:v>
      </x:c>
    </x:row>
  </x:sheetData>
  <x:mergeCells>
    <x:mergeCell ref="A1:P1"/>
    <x:mergeCell ref="A2:P2"/>
  </x:mergeCells>
  <x:conditionalFormatting sqref="E5:E22">
    <x:cfRule type="containsText" dxfId="0" priority="1" operator="containsText" text="SUPPORTED"/>
    <x:cfRule type="containsText" dxfId="1" priority="2" operator="containsText" text="WITHHOLD"/>
  </x:conditionalFormatting>
  <x:pageMargins left="0.7" right="0.7" top="0.75" bottom="0.75" header="0.3" footer="0.3"/>
  <x:drawing xmlns:r="http://schemas.openxmlformats.org/officeDocument/2006/relationships" r:id="Rce679a7fe8b84c0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0" hidden="0" customWidth="1"/>
    <x:col min="3" max="3" width="30" hidden="0" customWidth="1"/>
    <x:col min="4" max="4" width="26" hidden="0" customWidth="1"/>
    <x:col min="5" max="5" width="26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21.600000381469727" hidden="0" customHeight="1">
      <x:c r="A1" s="3" t="str">
        <x:v>Failure-unit coverage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Only one quarantined source-native atom has a conditional numeric screening curve. Every other row remains explicit null/withheld.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Failure unit</x:v>
      </x:c>
      <x:c r="B4" s="13" t="str">
        <x:v>Subsystem</x:v>
      </x:c>
      <x:c r="C4" s="13" t="str">
        <x:v>Component</x:v>
      </x:c>
      <x:c r="D4" s="13" t="str">
        <x:v>Treatment</x:v>
      </x:c>
      <x:c r="E4" s="13" t="str">
        <x:v>Coverage status</x:v>
      </x:c>
      <x:c r="F4" s="13" t="str">
        <x:v>Denominator</x:v>
      </x:c>
      <x:c r="G4" s="13" t="str">
        <x:v>Exposure grain</x:v>
      </x:c>
      <x:c r="H4" s="13" t="str">
        <x:v>Reason codes</x:v>
      </x:c>
    </x:row>
    <x:row r="5" ht="32.400001525878906" hidden="0" customHeight="1">
      <x:c r="A5" s="20" t="str">
        <x:v>WT_JAIMES_TURBINE_TOWER_EXPOSURE_UNIT</x:v>
      </x:c>
      <x:c r="B5" s="20" t="str">
        <x:v>REPEATED_TURBINE_SOURCE_NATIVE</x:v>
      </x:c>
      <x:c r="C5" s="20" t="str">
        <x:v>TOWER_TRIGGERED_SINGLE_TURBINE_RECORD_JAIMES</x:v>
      </x:c>
      <x:c r="D5" s="20" t="str">
        <x:v>primary_nonzero</x:v>
      </x:c>
      <x:c r="E5" s="20" t="str">
        <x:v>conditional_numeric_screening_curve</x:v>
      </x:c>
      <x:c r="F5" s="20" t="str">
        <x:v>Jaimes paper-defined per-turbine/turbine-tower replacement-cost proxy Ct(h); not CWER tower, standard turbine-equipment assembly, BOS, physical plant, or TIV</x:v>
      </x:c>
      <x:c r="G5" s="20" t="str">
        <x:v>one modeled turbine point</x:v>
      </x:c>
      <x:c r="H5" s="20" t="str"/>
    </x:row>
    <x:row r="6" ht="21.600000381469727" hidden="0" customHeight="1">
      <x:c r="A6" s="20" t="str">
        <x:v>WT_TURBINE_EQUIPMENT_ASSEMBLY</x:v>
      </x:c>
      <x:c r="B6" s="20" t="str">
        <x:v>REPEATED_TURBINE</x:v>
      </x:c>
      <x:c r="C6" s="20" t="str">
        <x:v>ROTOR_NACELLE_TOWER_DEPENDENCY_SAFE_ASSEMBLY</x:v>
      </x:c>
      <x:c r="D6" s="20" t="str">
        <x:v>withheld</x:v>
      </x:c>
      <x:c r="E6" s="20" t="str">
        <x:v>withheld_not_zero</x:v>
      </x:c>
      <x:c r="F6" s="20" t="str">
        <x:v>same-unit turbine-equipment replacement value</x:v>
      </x:c>
      <x:c r="G6" s="20" t="str">
        <x:v>as specified by standard unit</x:v>
      </x:c>
      <x:c r="H6" s="20" t="str">
        <x:v>SOURCE_NATIVE_ATOM_NOT_HARMONIZED_TO_STANDARD_EQUIPMENT_ASSEMBLY; OMITTED_NON_TOWER_FAILURE_MODES</x:v>
      </x:c>
    </x:row>
    <x:row r="7" ht="15" hidden="0" customHeight="1">
      <x:c r="A7" s="20" t="str">
        <x:v>WT_FOUNDATION</x:v>
      </x:c>
      <x:c r="B7" s="20" t="str">
        <x:v>FOUNDATION</x:v>
      </x:c>
      <x:c r="C7" s="20" t="str">
        <x:v>TURBINE_FOUNDATION_OR_BASE</x:v>
      </x:c>
      <x:c r="D7" s="20" t="str">
        <x:v>withheld</x:v>
      </x:c>
      <x:c r="E7" s="20" t="str">
        <x:v>withheld_not_zero</x:v>
      </x:c>
      <x:c r="F7" s="20" t="str">
        <x:v>same-unit foundation replacement value</x:v>
      </x:c>
      <x:c r="G7" s="20" t="str">
        <x:v>as specified by standard unit</x:v>
      </x:c>
      <x:c r="H7" s="20" t="str">
        <x:v>NO_RUNTIME_CURVE_FOR_PATHWAY_UNIT</x:v>
      </x:c>
    </x:row>
    <x:row r="8" ht="21.600000381469727" hidden="0" customHeight="1">
      <x:c r="A8" s="20" t="str">
        <x:v>WT_PAD_MOUNTED_ELECTRICAL</x:v>
      </x:c>
      <x:c r="B8" s="20" t="str">
        <x:v>PLANT_ELECTRICAL</x:v>
      </x:c>
      <x:c r="C8" s="20" t="str">
        <x:v>PAD_TRANSFORMER_AND_SWITCHGEAR</x:v>
      </x:c>
      <x:c r="D8" s="20" t="str">
        <x:v>withheld</x:v>
      </x:c>
      <x:c r="E8" s="20" t="str">
        <x:v>withheld_not_zero</x:v>
      </x:c>
      <x:c r="F8" s="20" t="str">
        <x:v>same-unit pad-electrical replacement value</x:v>
      </x:c>
      <x:c r="G8" s="20" t="str">
        <x:v>as specified by standard unit</x:v>
      </x:c>
      <x:c r="H8" s="20" t="str">
        <x:v>NO_RUNTIME_CURVE_FOR_PATHWAY_UNIT; ELECTRICAL_VALUE_SPLIT_REQUIRED</x:v>
      </x:c>
    </x:row>
    <x:row r="9" ht="21.600000381469727" hidden="0" customHeight="1">
      <x:c r="A9" s="20" t="str">
        <x:v>WT_COLLECTION_SYSTEM</x:v>
      </x:c>
      <x:c r="B9" s="20" t="str">
        <x:v>PLANT_ELECTRICAL</x:v>
      </x:c>
      <x:c r="C9" s="20" t="str">
        <x:v>COLLECTION_CABLE_AND_POLES</x:v>
      </x:c>
      <x:c r="D9" s="20" t="str">
        <x:v>withheld</x:v>
      </x:c>
      <x:c r="E9" s="20" t="str">
        <x:v>withheld_not_zero</x:v>
      </x:c>
      <x:c r="F9" s="20" t="str">
        <x:v>same-unit line/network replacement value</x:v>
      </x:c>
      <x:c r="G9" s="20" t="str">
        <x:v>as specified by standard unit</x:v>
      </x:c>
      <x:c r="H9" s="20" t="str">
        <x:v>NO_RUNTIME_CURVE_FOR_PATHWAY_UNIT; LINE_NETWORK_EXPOSURE_REQUIRED</x:v>
      </x:c>
    </x:row>
    <x:row r="10" ht="21.600000381469727" hidden="0" customHeight="1">
      <x:c r="A10" s="20" t="str">
        <x:v>WT_GSU_SUBSTATION</x:v>
      </x:c>
      <x:c r="B10" s="20" t="str">
        <x:v>SUBSTATION</x:v>
      </x:c>
      <x:c r="C10" s="20" t="str">
        <x:v>GSU_TRANSFORMER_SWITCHYARD_AND_CONTROL</x:v>
      </x:c>
      <x:c r="D10" s="20" t="str">
        <x:v>withheld</x:v>
      </x:c>
      <x:c r="E10" s="20" t="str">
        <x:v>withheld_not_zero</x:v>
      </x:c>
      <x:c r="F10" s="20" t="str">
        <x:v>same facility-level GSU/substation replacement value</x:v>
      </x:c>
      <x:c r="G10" s="20" t="str">
        <x:v>as specified by standard unit</x:v>
      </x:c>
      <x:c r="H10" s="20" t="str">
        <x:v>NO_RUNTIME_CURVE_FOR_PATHWAY_UNIT; FACILITY_LEVEL_EXPOSURE_REQUIRED</x:v>
      </x:c>
    </x:row>
    <x:row r="11" ht="21.600000381469727" hidden="0" customHeight="1">
      <x:c r="A11" s="20" t="str">
        <x:v>WT_CONTROL_BUILDING_AND_SCADA</x:v>
      </x:c>
      <x:c r="B11" s="20" t="str">
        <x:v>CONTROL</x:v>
      </x:c>
      <x:c r="C11" s="20" t="str">
        <x:v>CONTROL_BUILDING_SCADA_AND_COMMUNICATIONS</x:v>
      </x:c>
      <x:c r="D11" s="20" t="str">
        <x:v>withheld</x:v>
      </x:c>
      <x:c r="E11" s="20" t="str">
        <x:v>withheld_not_zero</x:v>
      </x:c>
      <x:c r="F11" s="20" t="str">
        <x:v>same-unit control and communications replacement value</x:v>
      </x:c>
      <x:c r="G11" s="20" t="str">
        <x:v>as specified by standard unit</x:v>
      </x:c>
      <x:c r="H11" s="20" t="str">
        <x:v>NO_RUNTIME_CURVE_FOR_PATHWAY_UNIT</x:v>
      </x:c>
    </x:row>
    <x:row r="12" ht="21.600000381469727" hidden="0" customHeight="1">
      <x:c r="A12" s="20" t="str">
        <x:v>WT_CIVIL_INFRA</x:v>
      </x:c>
      <x:c r="B12" s="20" t="str">
        <x:v>PLANT_CIVIL</x:v>
      </x:c>
      <x:c r="C12" s="20" t="str">
        <x:v>ACCESS_ROADS_CRANE_PADS_BUILDINGS_AND_FENCES</x:v>
      </x:c>
      <x:c r="D12" s="20" t="str">
        <x:v>withheld</x:v>
      </x:c>
      <x:c r="E12" s="20" t="str">
        <x:v>withheld_not_zero</x:v>
      </x:c>
      <x:c r="F12" s="20" t="str">
        <x:v>split direct civil replacement value</x:v>
      </x:c>
      <x:c r="G12" s="20" t="str">
        <x:v>as specified by standard unit</x:v>
      </x:c>
      <x:c r="H12" s="20" t="str">
        <x:v>NO_RUNTIME_CURVE_FOR_PATHWAY_UNIT; MIXED_CIVIL_BUCKET_REQUIRES_SPLIT</x:v>
      </x:c>
    </x:row>
    <x:row r="13" ht="21.600000381469727" hidden="0" customHeight="1">
      <x:c r="A13" s="20" t="str">
        <x:v>SUPPORT_FIELDWORK</x:v>
      </x:c>
      <x:c r="B13" s="20" t="str">
        <x:v>SUPPORT</x:v>
      </x:c>
      <x:c r="C13" s="20" t="str">
        <x:v>ASSEMBLY_INSTALLATION_AND_CRANE_SCOPE</x:v>
      </x:c>
      <x:c r="D13" s="20" t="str">
        <x:v>withheld</x:v>
      </x:c>
      <x:c r="E13" s="20" t="str">
        <x:v>withheld_not_zero</x:v>
      </x:c>
      <x:c r="F13" s="20" t="str">
        <x:v>post-damage repair work scope</x:v>
      </x:c>
      <x:c r="G13" s="20" t="str">
        <x:v>as specified by standard unit</x:v>
      </x:c>
      <x:c r="H13" s="20" t="str">
        <x:v>SUPPORT_COST_ALLOCATE_ONCE_AFTER_DISPOSITION; NO_INDEPENDENT_FRAGILITY</x:v>
      </x:c>
    </x:row>
    <x:row r="14" ht="21.600000381469727" hidden="0" customHeight="1">
      <x:c r="A14" s="20" t="str">
        <x:v>SUPPORT_TRANSPORT_LOGISTICS</x:v>
      </x:c>
      <x:c r="B14" s="20" t="str">
        <x:v>SUPPORT</x:v>
      </x:c>
      <x:c r="C14" s="20" t="str">
        <x:v>TRANSPORT_AND_REPLACEMENT_LOGISTICS</x:v>
      </x:c>
      <x:c r="D14" s="20" t="str">
        <x:v>withheld</x:v>
      </x:c>
      <x:c r="E14" s="20" t="str">
        <x:v>withheld_not_zero</x:v>
      </x:c>
      <x:c r="F14" s="20" t="str">
        <x:v>post-damage replacement logistics scope</x:v>
      </x:c>
      <x:c r="G14" s="20" t="str">
        <x:v>as specified by standard unit</x:v>
      </x:c>
      <x:c r="H14" s="20" t="str">
        <x:v>SUPPORT_COST_ALLOCATE_ONCE_AFTER_DISPOSITION; NO_INDEPENDENT_FRAGILITY</x:v>
      </x:c>
    </x:row>
  </x:sheetData>
  <x:mergeCells>
    <x:mergeCell ref="A1:H1"/>
    <x:mergeCell ref="A2:H2"/>
  </x:mergeCells>
  <x:conditionalFormatting sqref="E5:E14">
    <x:cfRule type="containsText" dxfId="2" priority="1" operator="containsText" text="conditional"/>
    <x:cfRule type="containsText" dxfId="3" priority="2" operator="containsText" text="withhel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4" hidden="0" customWidth="1"/>
    <x:col min="4" max="4" width="46" hidden="0" customWidth="1"/>
    <x:col min="5" max="5" width="20" hidden="0" customWidth="1"/>
    <x:col min="6" max="6" width="24" hidden="0" customWidth="1"/>
    <x:col min="7" max="7" width="26" hidden="0" customWidth="1"/>
    <x:col min="8" max="8" width="40" hidden="0" customWidth="1"/>
    <x:col min="9" max="9" width="24" hidden="0" customWidth="1"/>
    <x:col min="10" max="10" width="28" hidden="0" customWidth="1"/>
    <x:col min="11" max="11" width="22" hidden="0" customWidth="1"/>
    <x:col min="12" max="12" width="54" hidden="0" customWidth="1"/>
    <x:col min="13" max="13" width="54" hidden="0" customWidth="1"/>
    <x:col min="14" max="14" width="28" hidden="0" customWidth="1"/>
    <x:col min="15" max="15" width="60" hidden="0" customWidth="1"/>
  </x:cols>
  <x:sheetData>
    <x:row r="1" ht="44" hidden="0" customHeight="1">
      <x:c r="A1" s="13" t="str">
        <x:v>value_source_id</x:v>
      </x:c>
      <x:c r="B1" s="13" t="str">
        <x:v>source_location</x:v>
      </x:c>
      <x:c r="C1" s="13" t="str">
        <x:v>row_or_bucket_id</x:v>
      </x:c>
      <x:c r="D1" s="13" t="str">
        <x:v>row_or_bucket_label</x:v>
      </x:c>
      <x:c r="E1" s="13" t="str">
        <x:v>value</x:v>
      </x:c>
      <x:c r="F1" s="13" t="str">
        <x:v>unit</x:v>
      </x:c>
      <x:c r="G1" s="13" t="str">
        <x:v>financial_class</x:v>
      </x:c>
      <x:c r="H1" s="13" t="str">
        <x:v>failure_unit_id</x:v>
      </x:c>
      <x:c r="I1" s="13" t="str">
        <x:v>applicable_pathway_ids</x:v>
      </x:c>
      <x:c r="J1" s="13" t="str">
        <x:v>role_in_loss</x:v>
      </x:c>
      <x:c r="K1" s="13" t="str">
        <x:v>include_in_direct_denominator</x:v>
      </x:c>
      <x:c r="L1" s="13" t="str">
        <x:v>allocation_rule</x:v>
      </x:c>
      <x:c r="M1" s="13" t="str">
        <x:v>double_count_guardrail</x:v>
      </x:c>
      <x:c r="N1" s="13" t="str">
        <x:v>status</x:v>
      </x:c>
      <x:c r="O1" s="13" t="str">
        <x:v>notes</x:v>
      </x:c>
    </x:row>
    <x:row r="2" ht="21.600000381469727" hidden="0" customHeight="1">
      <x:c r="A2" s="20" t="str">
        <x:v>JAIMES_CT_H</x:v>
      </x:c>
      <x:c r="B2" s="20" t="str">
        <x:v>Jaimes 2020 §3.2 and Table 1 footnote</x:v>
      </x:c>
      <x:c r="C2" s="20" t="str">
        <x:v>JAIMES_VALUE_1MW_HH44</x:v>
      </x:c>
      <x:c r="D2" s="20" t="str">
        <x:v>Source-native 1 MW/44 m turbine-tower exposure proxy</x:v>
      </x:c>
      <x:c r="E2" s="88" t="n">
        <x:v>1281322.377752261</x:v>
      </x:c>
      <x:c r="F2" s="20" t="str">
        <x:v>source_nominal_USD_vintage_unspecified</x:v>
      </x:c>
      <x:c r="G2" s="20" t="str">
        <x:v>source_replacement_proxy</x:v>
      </x:c>
      <x:c r="H2" s="20" t="str">
        <x:v>WT_JAIMES_TURBINE_TOWER_EXPOSURE_UNIT</x:v>
      </x:c>
      <x:c r="I2" s="20" t="str">
        <x:v>tropical_cyclone_wind</x:v>
      </x:c>
      <x:c r="J2" s="20" t="str">
        <x:v>source_denominator_audit</x:v>
      </x:c>
      <x:c r="K2" s="21" t="b">
        <x:v>1</x:v>
      </x:c>
      <x:c r="L2" s="20" t="str">
        <x:v>Ct(h)=1307.9*h^1.82 at h=44 m; audit only; no runtime dollar emit.</x:v>
      </x:c>
      <x:c r="M2" s="20" t="str">
        <x:v>Mutually exclusive with every CWER mapping and with WT_TURBINE_EQUIPMENT_ASSEMBLY.</x:v>
      </x:c>
      <x:c r="N2" s="20" t="str">
        <x:v>source_native_audit_only</x:v>
      </x:c>
      <x:c r="O2" s="20" t="str">
        <x:v>Paper wording mixes selected structure, turbine tower, and total turbine cost.</x:v>
      </x:c>
    </x:row>
    <x:row r="3" ht="21.600000381469727" hidden="0" customHeight="1">
      <x:c r="A3" s="20" t="str">
        <x:v>JAIMES_CT_H</x:v>
      </x:c>
      <x:c r="B3" s="20" t="str">
        <x:v>Jaimes 2020 §3.2 and Table 1 footnote</x:v>
      </x:c>
      <x:c r="C3" s="20" t="str">
        <x:v>JAIMES_VALUE_2P5MW_HH80</x:v>
      </x:c>
      <x:c r="D3" s="20" t="str">
        <x:v>Source-native 2.5 MW/80 m turbine-tower exposure proxy</x:v>
      </x:c>
      <x:c r="E3" s="88" t="n">
        <x:v>3803630.4553727144</x:v>
      </x:c>
      <x:c r="F3" s="20" t="str">
        <x:v>source_nominal_USD_vintage_unspecified</x:v>
      </x:c>
      <x:c r="G3" s="20" t="str">
        <x:v>source_replacement_proxy</x:v>
      </x:c>
      <x:c r="H3" s="20" t="str">
        <x:v>WT_JAIMES_TURBINE_TOWER_EXPOSURE_UNIT</x:v>
      </x:c>
      <x:c r="I3" s="20" t="str">
        <x:v>tropical_cyclone_wind</x:v>
      </x:c>
      <x:c r="J3" s="20" t="str">
        <x:v>source_denominator_audit</x:v>
      </x:c>
      <x:c r="K3" s="21" t="b">
        <x:v>1</x:v>
      </x:c>
      <x:c r="L3" s="20" t="str">
        <x:v>Ct(h)=1307.9*h^1.82 at h=80 m; audit only; no runtime dollar emit.</x:v>
      </x:c>
      <x:c r="M3" s="20" t="str">
        <x:v>Mutually exclusive with every CWER mapping and with WT_TURBINE_EQUIPMENT_ASSEMBLY.</x:v>
      </x:c>
      <x:c r="N3" s="20" t="str">
        <x:v>source_native_audit_only</x:v>
      </x:c>
      <x:c r="O3" s="20" t="str">
        <x:v>Paper wording mixes selected structure, turbine tower, and total turbine cost.</x:v>
      </x:c>
    </x:row>
    <x:row r="4" ht="21.600000381469727" hidden="0" customHeight="1">
      <x:c r="A4" s="20" t="str">
        <x:v>JAIMES_CT_H</x:v>
      </x:c>
      <x:c r="B4" s="20" t="str">
        <x:v>Jaimes 2020 §3.2 and Table 1 footnote</x:v>
      </x:c>
      <x:c r="C4" s="20" t="str">
        <x:v>JAIMES_VALUE_3P3MW_HH100</x:v>
      </x:c>
      <x:c r="D4" s="20" t="str">
        <x:v>Source-native 3.3 MW/100 m turbine-tower exposure proxy</x:v>
      </x:c>
      <x:c r="E4" s="88" t="n">
        <x:v>5709190.569869134</x:v>
      </x:c>
      <x:c r="F4" s="20" t="str">
        <x:v>source_nominal_USD_vintage_unspecified</x:v>
      </x:c>
      <x:c r="G4" s="20" t="str">
        <x:v>source_replacement_proxy</x:v>
      </x:c>
      <x:c r="H4" s="20" t="str">
        <x:v>WT_JAIMES_TURBINE_TOWER_EXPOSURE_UNIT</x:v>
      </x:c>
      <x:c r="I4" s="20" t="str">
        <x:v>tropical_cyclone_wind</x:v>
      </x:c>
      <x:c r="J4" s="20" t="str">
        <x:v>source_denominator_audit</x:v>
      </x:c>
      <x:c r="K4" s="21" t="b">
        <x:v>1</x:v>
      </x:c>
      <x:c r="L4" s="20" t="str">
        <x:v>Ct(h)=1307.9*h^1.82 at h=100 m; audit only; no runtime dollar emit.</x:v>
      </x:c>
      <x:c r="M4" s="20" t="str">
        <x:v>Mutually exclusive with every CWER mapping and with WT_TURBINE_EQUIPMENT_ASSEMBLY.</x:v>
      </x:c>
      <x:c r="N4" s="20" t="str">
        <x:v>source_native_audit_only</x:v>
      </x:c>
      <x:c r="O4" s="20" t="str">
        <x:v>Paper wording mixes selected structure, turbine tower, and total turbine cost.</x:v>
      </x:c>
    </x:row>
    <x:row r="5" ht="21.600000381469727" hidden="0" customHeight="1">
      <x:c r="A5" s="20" t="str">
        <x:v>NREL_CWER_2024</x:v>
      </x:c>
      <x:c r="B5" s="20" t="str">
        <x:v>docs/method/value_basis/solar_wind_value_breakdown.xlsx::Wind_Map!2:9</x:v>
      </x:c>
      <x:c r="C5" s="20" t="str">
        <x:v>CWER_TURBINE_EQUIPMENT</x:v>
      </x:c>
      <x:c r="D5" s="20" t="str">
        <x:v>Rotor, nacelle, yaw, power electronics, and tower equipment</x:v>
      </x:c>
      <x:c r="E5" s="88" t="n">
        <x:v>1090</x:v>
      </x:c>
      <x:c r="F5" s="20" t="str">
        <x:v>2023_USD_per_kW</x:v>
      </x:c>
      <x:c r="G5" s="20" t="str">
        <x:v>direct_hardware</x:v>
      </x:c>
      <x:c r="H5" s="20" t="str">
        <x:v>WT_TURBINE_EQUIPMENT_ASSEMBLY</x:v>
      </x:c>
      <x:c r="I5" s="20" t="str">
        <x:v>tropical_cyclone_wind</x:v>
      </x:c>
      <x:c r="J5" s="20" t="str">
        <x:v>comparison_only</x:v>
      </x:c>
      <x:c r="K5" s="21" t="b">
        <x:v>0</x:v>
      </x:c>
      <x:c r="L5" s="20" t="str">
        <x:v>No mapping until the source denominator and omitted failure modes are reconciled.</x:v>
      </x:c>
      <x:c r="M5" s="20" t="str">
        <x:v>Do not multiply the Jaimes source-native DR by the 1090 USD/kW assembly.</x:v>
      </x:c>
      <x:c r="N5" s="20" t="str">
        <x:v>withheld_crosswalk</x:v>
      </x:c>
      <x:c r="O5" s="20" t="str">
        <x:v>Complete equipment bucket; Jaimes is tower-triggered and component-incomplete.</x:v>
      </x:c>
    </x:row>
    <x:row r="6" ht="21.600000381469727" hidden="0" customHeight="1">
      <x:c r="A6" s="20" t="str">
        <x:v>NREL_CWER_2024</x:v>
      </x:c>
      <x:c r="B6" s="20" t="str">
        <x:v>docs/method/value_basis/solar_wind_value_breakdown.xlsx::Wind_Map!9</x:v>
      </x:c>
      <x:c r="C6" s="20" t="str">
        <x:v>CWER_TOWER_MODULE</x:v>
      </x:c>
      <x:c r="D6" s="20" t="str">
        <x:v>Tower module</x:v>
      </x:c>
      <x:c r="E6" s="88" t="n">
        <x:v>276</x:v>
      </x:c>
      <x:c r="F6" s="20" t="str">
        <x:v>2023_USD_per_kW</x:v>
      </x:c>
      <x:c r="G6" s="20" t="str">
        <x:v>direct_hardware</x:v>
      </x:c>
      <x:c r="H6" s="20" t="str">
        <x:v>WT_TURBINE_EQUIPMENT_ASSEMBLY</x:v>
      </x:c>
      <x:c r="I6" s="20" t="str">
        <x:v>tropical_cyclone_wind</x:v>
      </x:c>
      <x:c r="J6" s="20" t="str">
        <x:v>comparison_only</x:v>
      </x:c>
      <x:c r="K6" s="21" t="b">
        <x:v>0</x:v>
      </x:c>
      <x:c r="L6" s="20" t="str">
        <x:v>No tower-only mapping because the source economic consequence invokes total turbine cost.</x:v>
      </x:c>
      <x:c r="M6" s="20" t="str">
        <x:v>Do not relabel the source-native atom as a tower-module DR.</x:v>
      </x:c>
      <x:c r="N6" s="20" t="str">
        <x:v>withheld_crosswalk</x:v>
      </x:c>
      <x:c r="O6" s="20" t="str">
        <x:v>Useful denominator sensitivity only.</x:v>
      </x:c>
    </x:row>
    <x:row r="7" ht="21.600000381469727" hidden="0" customHeight="1">
      <x:c r="A7" s="20" t="str">
        <x:v>NREL_CWER_2024</x:v>
      </x:c>
      <x:c r="B7" s="20" t="str">
        <x:v>docs/method/value_basis/solar_wind_value_breakdown.xlsx::Wind_Map!10</x:v>
      </x:c>
      <x:c r="C7" s="20" t="str">
        <x:v>CWER_FOUNDATION</x:v>
      </x:c>
      <x:c r="D7" s="20" t="str">
        <x:v>Foundation</x:v>
      </x:c>
      <x:c r="E7" s="88" t="n">
        <x:v>120</x:v>
      </x:c>
      <x:c r="F7" s="20" t="str">
        <x:v>2023_USD_per_kW</x:v>
      </x:c>
      <x:c r="G7" s="20" t="str">
        <x:v>direct_hardware</x:v>
      </x:c>
      <x:c r="H7" s="20" t="str">
        <x:v>WT_FOUNDATION</x:v>
      </x:c>
      <x:c r="I7" s="20" t="str">
        <x:v>tropical_cyclone_wind</x:v>
      </x:c>
      <x:c r="J7" s="20" t="str">
        <x:v>withheld_unit_value</x:v>
      </x:c>
      <x:c r="K7" s="21" t="b">
        <x:v>0</x:v>
      </x:c>
      <x:c r="L7" s="20" t="str">
        <x:v>Separate same-unit curve required.</x:v>
      </x:c>
      <x:c r="M7" s="20" t="str">
        <x:v>Unmodeled foundation damage is not zero and is not inherited from tower response.</x:v>
      </x:c>
      <x:c r="N7" s="20" t="str">
        <x:v>withheld_no_curve</x:v>
      </x:c>
      <x:c r="O7" s="20" t="str">
        <x:v>Per-turbine point value.</x:v>
      </x:c>
    </x:row>
    <x:row r="8" ht="21.600000381469727" hidden="0" customHeight="1">
      <x:c r="A8" s="20" t="str">
        <x:v>NREL_CWER_2024</x:v>
      </x:c>
      <x:c r="B8" s="20" t="str">
        <x:v>docs/method/value_basis/solar_wind_value_breakdown.xlsx::Wind_Map!12</x:v>
      </x:c>
      <x:c r="C8" s="20" t="str">
        <x:v>CWER_EXTERNAL_ELECTRICAL</x:v>
      </x:c>
      <x:c r="D8" s="20" t="str">
        <x:v>Mixed external electrical</x:v>
      </x:c>
      <x:c r="E8" s="88" t="n">
        <x:v>72</x:v>
      </x:c>
      <x:c r="F8" s="20" t="str">
        <x:v>2023_USD_per_kW</x:v>
      </x:c>
      <x:c r="G8" s="20" t="str">
        <x:v>mixed_direct_hardware</x:v>
      </x:c>
      <x:c r="H8" s="20" t="str">
        <x:v>WT_PAD_MOUNTED_ELECTRICAL;WT_COLLECTION_SYSTEM;WT_GSU_SUBSTATION;WT_CONTROL_BUILDING_AND_SCADA</x:v>
      </x:c>
      <x:c r="I8" s="20" t="str">
        <x:v>tropical_cyclone_wind</x:v>
      </x:c>
      <x:c r="J8" s="20" t="str">
        <x:v>split_required</x:v>
      </x:c>
      <x:c r="K8" s="21" t="b">
        <x:v>0</x:v>
      </x:c>
      <x:c r="L8" s="20" t="str">
        <x:v>Split pad point, line/network, facility GSU, and control values before curves.</x:v>
      </x:c>
      <x:c r="M8" s="20" t="str">
        <x:v>Do not repeat facility value by turbine or allocate the mixed row without a governed rule.</x:v>
      </x:c>
      <x:c r="N8" s="20" t="str">
        <x:v>withheld_split_required</x:v>
      </x:c>
      <x:c r="O8" s="20" t="str">
        <x:v>Asset-neutral identities do not supply pathway-specific response.</x:v>
      </x:c>
    </x:row>
    <x:row r="9" ht="21.600000381469727" hidden="0" customHeight="1">
      <x:c r="A9" s="20" t="str">
        <x:v>NREL_CWER_2024</x:v>
      </x:c>
      <x:c r="B9" s="20" t="str">
        <x:v>docs/method/value_basis/solar_wind_value_breakdown.xlsx::Wind_Map!11</x:v>
      </x:c>
      <x:c r="C9" s="20" t="str">
        <x:v>CWER_CIVIL</x:v>
      </x:c>
      <x:c r="D9" s="20" t="str">
        <x:v>Site access, staging, and facilities</x:v>
      </x:c>
      <x:c r="E9" s="88" t="n">
        <x:v>47</x:v>
      </x:c>
      <x:c r="F9" s="20" t="str">
        <x:v>2023_USD_per_kW</x:v>
      </x:c>
      <x:c r="G9" s="20" t="str">
        <x:v>mixed_civil</x:v>
      </x:c>
      <x:c r="H9" s="20" t="str">
        <x:v>WT_CIVIL_INFRA</x:v>
      </x:c>
      <x:c r="I9" s="20" t="str">
        <x:v>tropical_cyclone_wind</x:v>
      </x:c>
      <x:c r="J9" s="20" t="str">
        <x:v>split_required</x:v>
      </x:c>
      <x:c r="K9" s="21" t="b">
        <x:v>0</x:v>
      </x:c>
      <x:c r="L9" s="20" t="str">
        <x:v>Split roads, crane pads, buildings, and fences.</x:v>
      </x:c>
      <x:c r="M9" s="20" t="str">
        <x:v>Do not set mixed civil to zero from direct-wind intuition.</x:v>
      </x:c>
      <x:c r="N9" s="20" t="str">
        <x:v>withheld_split_required</x:v>
      </x:c>
      <x:c r="O9" s="20" t="str">
        <x:v>Line/network/polygon grains differ.</x:v>
      </x:c>
    </x:row>
    <x:row r="10" ht="21.600000381469727" hidden="0" customHeight="1">
      <x:c r="A10" s="20" t="str">
        <x:v>NREL_CWER_2024</x:v>
      </x:c>
      <x:c r="B10" s="20" t="str">
        <x:v>docs/method/value_basis/solar_wind_value_breakdown.xlsx::Wind_Map!13</x:v>
      </x:c>
      <x:c r="C10" s="20" t="str">
        <x:v>CWER_FIELDWORK_SUPPORT</x:v>
      </x:c>
      <x:c r="D10" s="20" t="str">
        <x:v>Assembly and installation</x:v>
      </x:c>
      <x:c r="E10" s="88" t="n">
        <x:v>100</x:v>
      </x:c>
      <x:c r="F10" s="20" t="str">
        <x:v>2023_USD_per_kW</x:v>
      </x:c>
      <x:c r="G10" s="20" t="str">
        <x:v>replacement_support_cost</x:v>
      </x:c>
      <x:c r="H10" s="20" t="str">
        <x:v>SUPPORT_FIELDWORK</x:v>
      </x:c>
      <x:c r="I10" s="20" t="str">
        <x:v>all_shared</x:v>
      </x:c>
      <x:c r="J10" s="20" t="str">
        <x:v>support_allocate_once</x:v>
      </x:c>
      <x:c r="K10" s="21" t="b">
        <x:v>0</x:v>
      </x:c>
      <x:c r="L10" s="20" t="str">
        <x:v>Allocate once after disposition under a reviewed repair-scope rule.</x:v>
      </x:c>
      <x:c r="M10" s="20" t="str">
        <x:v>Do not assign an independent wind fragility or add automatically to source consequence ratios.</x:v>
      </x:c>
      <x:c r="N10" s="20" t="str">
        <x:v>withheld_support_rule</x:v>
      </x:c>
      <x:c r="O10" s="20" t="str">
        <x:v>Potential overlap with source assumed rebuild ratios.</x:v>
      </x:c>
    </x:row>
    <x:row r="11" ht="21.600000381469727" hidden="0" customHeight="1">
      <x:c r="A11" s="20" t="str">
        <x:v>NREL_CWER_2024</x:v>
      </x:c>
      <x:c r="B11" s="20" t="str">
        <x:v>docs/method/value_basis/solar_wind_value_breakdown.xlsx::Wind_Map!14</x:v>
      </x:c>
      <x:c r="C11" s="20" t="str">
        <x:v>CWER_TRANSPORT_SUPPORT</x:v>
      </x:c>
      <x:c r="D11" s="20" t="str">
        <x:v>Wind turbine transport</x:v>
      </x:c>
      <x:c r="E11" s="88" t="n">
        <x:v>194</x:v>
      </x:c>
      <x:c r="F11" s="20" t="str">
        <x:v>2023_USD_per_kW</x:v>
      </x:c>
      <x:c r="G11" s="20" t="str">
        <x:v>replacement_support_cost</x:v>
      </x:c>
      <x:c r="H11" s="20" t="str">
        <x:v>SUPPORT_TRANSPORT_LOGISTICS</x:v>
      </x:c>
      <x:c r="I11" s="20" t="str">
        <x:v>all_shared</x:v>
      </x:c>
      <x:c r="J11" s="20" t="str">
        <x:v>support_allocate_once</x:v>
      </x:c>
      <x:c r="K11" s="21" t="b">
        <x:v>0</x:v>
      </x:c>
      <x:c r="L11" s="20" t="str">
        <x:v>Allocate once after replacement disposition and access/crane review.</x:v>
      </x:c>
      <x:c r="M11" s="20" t="str">
        <x:v>Do not assign an independent wind fragility or add automatically to source consequence ratios.</x:v>
      </x:c>
      <x:c r="N11" s="20" t="str">
        <x:v>withheld_support_rule</x:v>
      </x:c>
      <x:c r="O11" s="20" t="str">
        <x:v>Potential overlap with source assumed rebuild ratios.</x:v>
      </x:c>
    </x:row>
    <x:row r="12" ht="15" hidden="0" customHeight="1">
      <x:c r="A12" s="20" t="str">
        <x:v>SUMMARY</x:v>
      </x:c>
      <x:c r="B12" s="20" t="str">
        <x:v>Wind_Map!2:14</x:v>
      </x:c>
      <x:c r="C12" s="20" t="str">
        <x:v>CWER_PHYSICAL_REFERENCE</x:v>
      </x:c>
      <x:c r="D12" s="20" t="str">
        <x:v>Physical replaceable reference basis</x:v>
      </x:c>
      <x:c r="E12" s="88" t="n">
        <x:v>1623</x:v>
      </x:c>
      <x:c r="F12" s="20" t="str">
        <x:v>2023_USD_per_kW</x:v>
      </x:c>
      <x:c r="G12" s="20" t="str">
        <x:v>reconciliation</x:v>
      </x:c>
      <x:c r="H12" s="20" t="str">
        <x:v>REFERENCE_DENOMINATOR_ONLY</x:v>
      </x:c>
      <x:c r="I12" s="20" t="str">
        <x:v>all_shared</x:v>
      </x:c>
      <x:c r="J12" s="20" t="str">
        <x:v>comparison_only</x:v>
      </x:c>
      <x:c r="K12" s="21" t="b">
        <x:v>0</x:v>
      </x:c>
      <x:c r="L12" s="20" t="str">
        <x:v>1090 equipment + 239 other direct + 294 support.</x:v>
      </x:c>
      <x:c r="M12" s="20" t="str">
        <x:v>Never apply Jaimes DR to the whole physical basis.</x:v>
      </x:c>
      <x:c r="N12" s="20" t="str">
        <x:v>reconciled_not_runtime</x:v>
      </x:c>
      <x:c r="O12" s="20" t="str">
        <x:v>Reference only.</x:v>
      </x:c>
    </x:row>
    <x:row r="13" ht="15" hidden="0" customHeight="1">
      <x:c r="A13" s="20" t="str">
        <x:v>SUMMARY</x:v>
      </x:c>
      <x:c r="B13" s="20" t="str">
        <x:v>Wind_Map!2:19</x:v>
      </x:c>
      <x:c r="C13" s="20" t="str">
        <x:v>CWER_INSTALLED_REFERENCE</x:v>
      </x:c>
      <x:c r="D13" s="20" t="str">
        <x:v>Installed reference basis</x:v>
      </x:c>
      <x:c r="E13" s="88" t="n">
        <x:v>1968</x:v>
      </x:c>
      <x:c r="F13" s="20" t="str">
        <x:v>2023_USD_per_kW</x:v>
      </x:c>
      <x:c r="G13" s="20" t="str">
        <x:v>reconciliation</x:v>
      </x:c>
      <x:c r="H13" s="20" t="str">
        <x:v>REFERENCE_DENOMINATOR_ONLY</x:v>
      </x:c>
      <x:c r="I13" s="20" t="str">
        <x:v>all_shared</x:v>
      </x:c>
      <x:c r="J13" s="20" t="str">
        <x:v>comparison_only</x:v>
      </x:c>
      <x:c r="K13" s="21" t="b">
        <x:v>0</x:v>
      </x:c>
      <x:c r="L13" s="20" t="str">
        <x:v>1623 physical + 345 excluded soft/sunk/nonphysical.</x:v>
      </x:c>
      <x:c r="M13" s="20" t="str">
        <x:v>Never apply Jaimes DR to installed CAPEX or TIV.</x:v>
      </x:c>
      <x:c r="N13" s="20" t="str">
        <x:v>reconciled_not_runtime</x:v>
      </x:c>
      <x:c r="O13" s="20" t="str">
        <x:v>Reference only.</x:v>
      </x:c>
    </x:row>
    <x:row r="14" ht="15" hidden="0" customHeight="1">
      <x:c r="A14" s="20" t="str"/>
      <x:c r="B14" s="20" t="str"/>
      <x:c r="C14" s="20" t="str"/>
      <x:c r="D14" s="20" t="str"/>
      <x:c r="E14" s="88" t="n">
        <x:v>0</x:v>
      </x:c>
      <x:c r="F14" s="20" t="str"/>
      <x:c r="G14" s="20" t="str"/>
      <x:c r="H14" s="20" t="str"/>
      <x:c r="I14" s="20" t="str"/>
      <x:c r="J14" s="20" t="str"/>
      <x:c r="K14" s="21" t="b">
        <x:v>0</x:v>
      </x:c>
      <x:c r="L14" s="20" t="str"/>
      <x:c r="M14" s="20" t="str"/>
      <x:c r="N14" s="20" t="str"/>
      <x:c r="O14" s="2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2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2" hidden="0" customWidth="1"/>
    <x:col min="12" max="12" width="56" hidden="0" customWidth="1"/>
    <x:col min="13" max="13" width="54" hidden="0" customWidth="1"/>
    <x:col min="14" max="14" width="48" hidden="0" customWidth="1"/>
    <x:col min="15" max="15" width="58" hidden="0" customWidth="1"/>
    <x:col min="16" max="16" width="44" hidden="0" customWidth="1"/>
  </x:cols>
  <x:sheetData>
    <x:row r="1" ht="44" hidden="0" customHeight="1">
      <x:c r="A1" s="13" t="str">
        <x:v>comparison_id</x:v>
      </x:c>
      <x:c r="B1" s="13" t="str">
        <x:v>wind_speed_kmh</x:v>
      </x:c>
      <x:c r="C1" s="13" t="str">
        <x:v>wind_speed_mph_unit_conversion_only</x:v>
      </x:c>
      <x:c r="D1" s="13" t="str">
        <x:v>turbine_archetype_id</x:v>
      </x:c>
      <x:c r="E1" s="13" t="str">
        <x:v>v1_runtime_domain_status</x:v>
      </x:c>
      <x:c r="F1" s="13" t="str">
        <x:v>v1_runtime_source_unit_dr</x:v>
      </x:c>
      <x:c r="G1" s="13" t="str">
        <x:v>v1_formula_audit_dr</x:v>
      </x:c>
      <x:c r="H1" s="13" t="str">
        <x:v>v0_1_runtime_source_unit_dr</x:v>
      </x:c>
      <x:c r="I1" s="13" t="str">
        <x:v>hazard_placeholder_full_tiv_dr</x:v>
      </x:c>
      <x:c r="J1" s="13" t="str">
        <x:v>legacy_memo_rotor_curve_dr</x:v>
      </x:c>
      <x:c r="K1" s="13" t="str">
        <x:v>v1_failure_unit</x:v>
      </x:c>
      <x:c r="L1" s="13" t="str">
        <x:v>v1_denominator</x:v>
      </x:c>
      <x:c r="M1" s="13" t="str">
        <x:v>hazard_placeholder_endpoint_denominator</x:v>
      </x:c>
      <x:c r="N1" s="13" t="str">
        <x:v>legacy_memo_axis_endpoint</x:v>
      </x:c>
      <x:c r="O1" s="13" t="str">
        <x:v>axis_and_endpoint_comparability</x:v>
      </x:c>
      <x:c r="P1" s="13" t="str">
        <x:v>comparison_disposition</x:v>
      </x:c>
    </x:row>
    <x:row r="2" ht="21.600000381469727" hidden="0" customHeight="1">
      <x:c r="A2" s="20" t="str">
        <x:v>TCWW-CMP-001</x:v>
      </x:c>
      <x:c r="B2" s="85" t="str">
        <x:v>90</x:v>
      </x:c>
      <x:c r="C2" s="85" t="str">
        <x:v>55.923407301</x:v>
      </x:c>
      <x:c r="D2" s="20" t="str">
        <x:v>TCWW_JAIMES_GENERIC_1MW_HH44_V1</x:v>
      </x:c>
      <x:c r="E2" s="20" t="str">
        <x:v>supported_SOURCE_ASSUMED_NO_DAMAGE_THRESHOLD_NOT_EMPIRICAL</x:v>
      </x:c>
      <x:c r="F2" s="85" t="str">
        <x:v>0.000000000000000</x:v>
      </x:c>
      <x:c r="G2" s="85" t="str">
        <x:v>0.000000000000000</x:v>
      </x:c>
      <x:c r="H2" s="85" t="str"/>
      <x:c r="I2" s="85" t="str">
        <x:v>0.000013808479213</x:v>
      </x:c>
      <x:c r="J2" s="85" t="str">
        <x:v>0.009962596264405</x:v>
      </x:c>
      <x:c r="K2" s="20" t="str">
        <x:v>WT_JAIMES_TURBINE_TOWER_EXPOSURE_UNIT</x:v>
      </x:c>
      <x:c r="L2" s="20" t="str">
        <x:v>paper-native expected repair/replacement ratio on ambiguous turbine-tower/total-turbine proxy</x:v>
      </x:c>
      <x:c r="M2" s="20" t="str">
        <x:v>mixed full-TIV fixed-share rotor+nacelle+substation+electrical DR; tower+foundation+civil forced zero</x:v>
      </x:c>
      <x:c r="N2" s="20" t="str">
        <x:v>one-minute 10 m mph ordinary-logistic rotor DR</x:v>
      </x:c>
      <x:c r="O2" s="20" t="str">
        <x:v>Hazard intensity is unit-convertible but endpoint/denominator/coverage differ; legacy axis and endpoint differ</x:v>
      </x:c>
      <x:c r="P2" s="20" t="str">
        <x:v>v0.1 null is baseline; both old numerics are audit-only and not regression targets</x:v>
      </x:c>
    </x:row>
    <x:row r="3" ht="21.600000381469727" hidden="0" customHeight="1">
      <x:c r="A3" s="20" t="str">
        <x:v>TCWW-CMP-002</x:v>
      </x:c>
      <x:c r="B3" s="85" t="str">
        <x:v>100</x:v>
      </x:c>
      <x:c r="C3" s="85" t="str">
        <x:v>62.137119224</x:v>
      </x:c>
      <x:c r="D3" s="20" t="str">
        <x:v>TCWW_JAIMES_GENERIC_1MW_HH44_V1</x:v>
      </x:c>
      <x:c r="E3" s="20" t="str">
        <x:v>withheld_BELOW_SOURCE_SIMULATION_RANGE</x:v>
      </x:c>
      <x:c r="F3" s="85" t="str"/>
      <x:c r="G3" s="85" t="str">
        <x:v>0.000000000443087</x:v>
      </x:c>
      <x:c r="H3" s="85" t="str"/>
      <x:c r="I3" s="85" t="str">
        <x:v>0.000030945222439</x:v>
      </x:c>
      <x:c r="J3" s="85" t="str">
        <x:v>0.015713280326587</x:v>
      </x:c>
      <x:c r="K3" s="20" t="str">
        <x:v>WT_JAIMES_TURBINE_TOWER_EXPOSURE_UNIT</x:v>
      </x:c>
      <x:c r="L3" s="20" t="str">
        <x:v>paper-native expected repair/replacement ratio on ambiguous turbine-tower/total-turbine proxy</x:v>
      </x:c>
      <x:c r="M3" s="20" t="str">
        <x:v>mixed full-TIV fixed-share rotor+nacelle+substation+electrical DR; tower+foundation+civil forced zero</x:v>
      </x:c>
      <x:c r="N3" s="20" t="str">
        <x:v>one-minute 10 m mph ordinary-logistic rotor DR</x:v>
      </x:c>
      <x:c r="O3" s="20" t="str">
        <x:v>Jaimes formula value is audit-only in 90-108 gap; old endpoints remain incomparable</x:v>
      </x:c>
      <x:c r="P3" s="20" t="str">
        <x:v>withhold v1 runtime; do not use either old numeric as fallback</x:v>
      </x:c>
    </x:row>
    <x:row r="4" ht="21.600000381469727" hidden="0" customHeight="1">
      <x:c r="A4" s="20" t="str">
        <x:v>TCWW-CMP-003</x:v>
      </x:c>
      <x:c r="B4" s="85" t="str">
        <x:v>108</x:v>
      </x:c>
      <x:c r="C4" s="85" t="str">
        <x:v>67.108088762</x:v>
      </x:c>
      <x:c r="D4" s="20" t="str">
        <x:v>TCWW_JAIMES_GENERIC_1MW_HH44_V1</x:v>
      </x:c>
      <x:c r="E4" s="20" t="str">
        <x:v>supported_source_range</x:v>
      </x:c>
      <x:c r="F4" s="85" t="str">
        <x:v>0.000000084844835</x:v>
      </x:c>
      <x:c r="G4" s="85" t="str">
        <x:v>0.000000084844835</x:v>
      </x:c>
      <x:c r="H4" s="85" t="str"/>
      <x:c r="I4" s="85" t="str">
        <x:v>0.000059044662073</x:v>
      </x:c>
      <x:c r="J4" s="85" t="str">
        <x:v>0.022564717366808</x:v>
      </x:c>
      <x:c r="K4" s="20" t="str">
        <x:v>WT_JAIMES_TURBINE_TOWER_EXPOSURE_UNIT</x:v>
      </x:c>
      <x:c r="L4" s="20" t="str">
        <x:v>paper-native expected repair/replacement ratio on ambiguous turbine-tower/total-turbine proxy</x:v>
      </x:c>
      <x:c r="M4" s="20" t="str">
        <x:v>mixed full-TIV fixed-share rotor+nacelle+substation+electrical DR; tower+foundation+civil forced zero</x:v>
      </x:c>
      <x:c r="N4" s="20" t="str">
        <x:v>one-minute 10 m mph ordinary-logistic rotor DR</x:v>
      </x:c>
      <x:c r="O4" s="20" t="str">
        <x:v>Hazard intensity is unit-convertible but endpoint/denominator/coverage differ; legacy axis and endpoint differ</x:v>
      </x:c>
      <x:c r="P4" s="20" t="str">
        <x:v>compare directionally only; do not calibrate v1 to old values</x:v>
      </x:c>
    </x:row>
    <x:row r="5" ht="21.600000381469727" hidden="0" customHeight="1">
      <x:c r="A5" s="20" t="str">
        <x:v>TCWW-CMP-004</x:v>
      </x:c>
      <x:c r="B5" s="85" t="str">
        <x:v>196.77</x:v>
      </x:c>
      <x:c r="C5" s="85" t="str">
        <x:v>122.267209497</x:v>
      </x:c>
      <x:c r="D5" s="20" t="str">
        <x:v>TCWW_JAIMES_GENERIC_1MW_HH44_V1</x:v>
      </x:c>
      <x:c r="E5" s="20" t="str">
        <x:v>supported_source_range</x:v>
      </x:c>
      <x:c r="F5" s="85" t="str">
        <x:v>0.500000000000000</x:v>
      </x:c>
      <x:c r="G5" s="85" t="str">
        <x:v>0.500000000000000</x:v>
      </x:c>
      <x:c r="H5" s="85" t="str"/>
      <x:c r="I5" s="85" t="str">
        <x:v>0.068349337178772</x:v>
      </x:c>
      <x:c r="J5" s="85" t="str">
        <x:v>0.540762637165423</x:v>
      </x:c>
      <x:c r="K5" s="20" t="str">
        <x:v>WT_JAIMES_TURBINE_TOWER_EXPOSURE_UNIT</x:v>
      </x:c>
      <x:c r="L5" s="20" t="str">
        <x:v>paper-native expected repair/replacement ratio on ambiguous turbine-tower/total-turbine proxy</x:v>
      </x:c>
      <x:c r="M5" s="20" t="str">
        <x:v>mixed full-TIV fixed-share rotor+nacelle+substation+electrical DR; tower+foundation+civil forced zero</x:v>
      </x:c>
      <x:c r="N5" s="20" t="str">
        <x:v>one-minute 10 m mph ordinary-logistic rotor DR</x:v>
      </x:c>
      <x:c r="O5" s="20" t="str">
        <x:v>Exact v1 midpoint; numerical closeness to legacy rotor is coincidental and not like-for-like</x:v>
      </x:c>
      <x:c r="P5" s="20" t="str">
        <x:v>midpoint KAT for v1; old values audit-only</x:v>
      </x:c>
    </x:row>
    <x:row r="6" ht="21.600000381469727" hidden="0" customHeight="1">
      <x:c r="A6" s="20" t="str">
        <x:v>TCWW-CMP-005</x:v>
      </x:c>
      <x:c r="B6" s="85" t="str">
        <x:v>180</x:v>
      </x:c>
      <x:c r="C6" s="85" t="str">
        <x:v>111.846814603</x:v>
      </x:c>
      <x:c r="D6" s="20" t="str">
        <x:v>TCWW_JAIMES_GENERIC_1MW_HH44_V1</x:v>
      </x:c>
      <x:c r="E6" s="20" t="str">
        <x:v>supported_source_range</x:v>
      </x:c>
      <x:c r="F6" s="85" t="str">
        <x:v>0.139686727984598</x:v>
      </x:c>
      <x:c r="G6" s="85" t="str">
        <x:v>0.139686727984598</x:v>
      </x:c>
      <x:c r="H6" s="85" t="str"/>
      <x:c r="I6" s="85" t="str">
        <x:v>0.019456260060225</x:v>
      </x:c>
      <x:c r="J6" s="85" t="str">
        <x:v>0.372556430596958</x:v>
      </x:c>
      <x:c r="K6" s="20" t="str">
        <x:v>WT_JAIMES_TURBINE_TOWER_EXPOSURE_UNIT</x:v>
      </x:c>
      <x:c r="L6" s="20" t="str">
        <x:v>paper-native expected repair/replacement ratio on ambiguous turbine-tower/total-turbine proxy</x:v>
      </x:c>
      <x:c r="M6" s="20" t="str">
        <x:v>mixed full-TIV fixed-share rotor+nacelle+substation+electrical DR; tower+foundation+civil forced zero</x:v>
      </x:c>
      <x:c r="N6" s="20" t="str">
        <x:v>one-minute 10 m mph ordinary-logistic rotor DR</x:v>
      </x:c>
      <x:c r="O6" s="20" t="str">
        <x:v>Hazard intensity is unit-convertible but endpoint/denominator/coverage differ; legacy axis and endpoint differ</x:v>
      </x:c>
      <x:c r="P6" s="20" t="str">
        <x:v>compare directionally only; do not calibrate v1 to old values</x:v>
      </x:c>
    </x:row>
    <x:row r="7" ht="21.600000381469727" hidden="0" customHeight="1">
      <x:c r="A7" s="20" t="str">
        <x:v>TCWW-CMP-006</x:v>
      </x:c>
      <x:c r="B7" s="85" t="str">
        <x:v>220</x:v>
      </x:c>
      <x:c r="C7" s="85" t="str">
        <x:v>136.701662292</x:v>
      </x:c>
      <x:c r="D7" s="20" t="str">
        <x:v>TCWW_JAIMES_GENERIC_1MW_HH44_V1</x:v>
      </x:c>
      <x:c r="E7" s="20" t="str">
        <x:v>supported_source_range</x:v>
      </x:c>
      <x:c r="F7" s="85" t="str">
        <x:v>0.982198894878260</x:v>
      </x:c>
      <x:c r="G7" s="85" t="str">
        <x:v>0.982198894878260</x:v>
      </x:c>
      <x:c r="H7" s="85" t="str"/>
      <x:c r="I7" s="85" t="str">
        <x:v>0.261216320978339</x:v>
      </x:c>
      <x:c r="J7" s="85" t="str">
        <x:v>0.724675011768098</x:v>
      </x:c>
      <x:c r="K7" s="20" t="str">
        <x:v>WT_JAIMES_TURBINE_TOWER_EXPOSURE_UNIT</x:v>
      </x:c>
      <x:c r="L7" s="20" t="str">
        <x:v>paper-native expected repair/replacement ratio on ambiguous turbine-tower/total-turbine proxy</x:v>
      </x:c>
      <x:c r="M7" s="20" t="str">
        <x:v>mixed full-TIV fixed-share rotor+nacelle+substation+electrical DR; tower+foundation+civil forced zero</x:v>
      </x:c>
      <x:c r="N7" s="20" t="str">
        <x:v>one-minute 10 m mph ordinary-logistic rotor DR</x:v>
      </x:c>
      <x:c r="O7" s="20" t="str">
        <x:v>Hazard intensity is unit-convertible but endpoint/denominator/coverage differ; legacy axis and endpoint differ</x:v>
      </x:c>
      <x:c r="P7" s="20" t="str">
        <x:v>large delta is expected from different model/endpoint; not a regression failure</x:v>
      </x:c>
    </x:row>
    <x:row r="8" ht="21.600000381469727" hidden="0" customHeight="1">
      <x:c r="A8" s="20" t="str">
        <x:v>TCWW-CMP-007</x:v>
      </x:c>
      <x:c r="B8" s="85" t="str">
        <x:v>252</x:v>
      </x:c>
      <x:c r="C8" s="85" t="str">
        <x:v>156.585540444</x:v>
      </x:c>
      <x:c r="D8" s="20" t="str">
        <x:v>TCWW_JAIMES_GENERIC_1MW_HH44_V1</x:v>
      </x:c>
      <x:c r="E8" s="20" t="str">
        <x:v>supported_source_range</x:v>
      </x:c>
      <x:c r="F8" s="85" t="str">
        <x:v>0.999999999999693</x:v>
      </x:c>
      <x:c r="G8" s="85" t="str">
        <x:v>0.999999999999693</x:v>
      </x:c>
      <x:c r="H8" s="85" t="str"/>
      <x:c r="I8" s="85" t="str">
        <x:v>0.563208912474459</x:v>
      </x:c>
      <x:c r="J8" s="85" t="str">
        <x:v>0.839036165112190</x:v>
      </x:c>
      <x:c r="K8" s="20" t="str">
        <x:v>WT_JAIMES_TURBINE_TOWER_EXPOSURE_UNIT</x:v>
      </x:c>
      <x:c r="L8" s="20" t="str">
        <x:v>paper-native expected repair/replacement ratio on ambiguous turbine-tower/total-turbine proxy</x:v>
      </x:c>
      <x:c r="M8" s="20" t="str">
        <x:v>mixed full-TIV fixed-share rotor+nacelle+substation+electrical DR; tower+foundation+civil forced zero</x:v>
      </x:c>
      <x:c r="N8" s="20" t="str">
        <x:v>one-minute 10 m mph ordinary-logistic rotor DR</x:v>
      </x:c>
      <x:c r="O8" s="20" t="str">
        <x:v>Upper supported v1 boundary; old caps/denominators are not comparable</x:v>
      </x:c>
      <x:c r="P8" s="20" t="str">
        <x:v>boundary KAT; do not extend runtime from old curves</x:v>
      </x:c>
    </x:row>
    <x:row r="9" ht="21.600000381469727" hidden="0" customHeight="1">
      <x:c r="A9" s="20" t="str">
        <x:v>TCWW-CMP-008</x:v>
      </x:c>
      <x:c r="B9" s="85" t="str">
        <x:v>253</x:v>
      </x:c>
      <x:c r="C9" s="85" t="str">
        <x:v>157.206911636</x:v>
      </x:c>
      <x:c r="D9" s="20" t="str">
        <x:v>TCWW_JAIMES_GENERIC_1MW_HH44_V1</x:v>
      </x:c>
      <x:c r="E9" s="20" t="str">
        <x:v>withheld_ABOVE_SOURCE_SIMULATION_RANGE</x:v>
      </x:c>
      <x:c r="F9" s="85" t="str"/>
      <x:c r="G9" s="85" t="str">
        <x:v>0.999999999999940</x:v>
      </x:c>
      <x:c r="H9" s="85" t="str"/>
      <x:c r="I9" s="85" t="str">
        <x:v>0.568613424466259</x:v>
      </x:c>
      <x:c r="J9" s="85" t="str">
        <x:v>0.840804387591376</x:v>
      </x:c>
      <x:c r="K9" s="20" t="str">
        <x:v>WT_JAIMES_TURBINE_TOWER_EXPOSURE_UNIT</x:v>
      </x:c>
      <x:c r="L9" s="20" t="str">
        <x:v>paper-native expected repair/replacement ratio on ambiguous turbine-tower/total-turbine proxy</x:v>
      </x:c>
      <x:c r="M9" s="20" t="str">
        <x:v>mixed full-TIV fixed-share rotor+nacelle+substation+electrical DR; tower+foundation+civil forced zero</x:v>
      </x:c>
      <x:c r="N9" s="20" t="str">
        <x:v>one-minute 10 m mph ordinary-logistic rotor DR</x:v>
      </x:c>
      <x:c r="O9" s="20" t="str">
        <x:v>Jaimes mathematical tail is audit-only above 252; old endpoints remain incomparable</x:v>
      </x:c>
      <x:c r="P9" s="20" t="str">
        <x:v>withhold v1 runtime; do not clamp or use old fallback</x:v>
      </x:c>
    </x:row>
    <x:row r="10" ht="21.600000381469727" hidden="0" customHeight="1">
      <x:c r="A10" s="20" t="str">
        <x:v>TCWW-CMP-009</x:v>
      </x:c>
      <x:c r="B10" s="85" t="str">
        <x:v>90</x:v>
      </x:c>
      <x:c r="C10" s="85" t="str">
        <x:v>55.923407301</x:v>
      </x:c>
      <x:c r="D10" s="20" t="str">
        <x:v>TCWW_JAIMES_GENERIC_2P5MW_HH80_V1</x:v>
      </x:c>
      <x:c r="E10" s="20" t="str">
        <x:v>supported_SOURCE_ASSUMED_NO_DAMAGE_THRESHOLD_NOT_EMPIRICAL</x:v>
      </x:c>
      <x:c r="F10" s="85" t="str">
        <x:v>0.000000000000000</x:v>
      </x:c>
      <x:c r="G10" s="85" t="str">
        <x:v>0.000000000000000</x:v>
      </x:c>
      <x:c r="H10" s="85" t="str"/>
      <x:c r="I10" s="85" t="str">
        <x:v>0.000013808479213</x:v>
      </x:c>
      <x:c r="J10" s="85" t="str">
        <x:v>0.009962596264405</x:v>
      </x:c>
      <x:c r="K10" s="20" t="str">
        <x:v>WT_JAIMES_TURBINE_TOWER_EXPOSURE_UNIT</x:v>
      </x:c>
      <x:c r="L10" s="20" t="str">
        <x:v>paper-native expected repair/replacement ratio on ambiguous turbine-tower/total-turbine proxy</x:v>
      </x:c>
      <x:c r="M10" s="20" t="str">
        <x:v>mixed full-TIV fixed-share rotor+nacelle+substation+electrical DR; tower+foundation+civil forced zero</x:v>
      </x:c>
      <x:c r="N10" s="20" t="str">
        <x:v>one-minute 10 m mph ordinary-logistic rotor DR</x:v>
      </x:c>
      <x:c r="O10" s="20" t="str">
        <x:v>Hazard intensity is unit-convertible but endpoint/denominator/coverage differ; legacy axis and endpoint differ</x:v>
      </x:c>
      <x:c r="P10" s="20" t="str">
        <x:v>v0.1 null is baseline; both old numerics are audit-only and not regression targets</x:v>
      </x:c>
    </x:row>
    <x:row r="11" ht="21.600000381469727" hidden="0" customHeight="1">
      <x:c r="A11" s="20" t="str">
        <x:v>TCWW-CMP-010</x:v>
      </x:c>
      <x:c r="B11" s="85" t="str">
        <x:v>100</x:v>
      </x:c>
      <x:c r="C11" s="85" t="str">
        <x:v>62.137119224</x:v>
      </x:c>
      <x:c r="D11" s="20" t="str">
        <x:v>TCWW_JAIMES_GENERIC_2P5MW_HH80_V1</x:v>
      </x:c>
      <x:c r="E11" s="20" t="str">
        <x:v>withheld_BELOW_SOURCE_SIMULATION_RANGE</x:v>
      </x:c>
      <x:c r="F11" s="85" t="str"/>
      <x:c r="G11" s="85" t="str">
        <x:v>0.000047822934381</x:v>
      </x:c>
      <x:c r="H11" s="85" t="str"/>
      <x:c r="I11" s="85" t="str">
        <x:v>0.000030945222439</x:v>
      </x:c>
      <x:c r="J11" s="85" t="str">
        <x:v>0.015713280326587</x:v>
      </x:c>
      <x:c r="K11" s="20" t="str">
        <x:v>WT_JAIMES_TURBINE_TOWER_EXPOSURE_UNIT</x:v>
      </x:c>
      <x:c r="L11" s="20" t="str">
        <x:v>paper-native expected repair/replacement ratio on ambiguous turbine-tower/total-turbine proxy</x:v>
      </x:c>
      <x:c r="M11" s="20" t="str">
        <x:v>mixed full-TIV fixed-share rotor+nacelle+substation+electrical DR; tower+foundation+civil forced zero</x:v>
      </x:c>
      <x:c r="N11" s="20" t="str">
        <x:v>one-minute 10 m mph ordinary-logistic rotor DR</x:v>
      </x:c>
      <x:c r="O11" s="20" t="str">
        <x:v>Jaimes formula value is audit-only in 90-108 gap; old endpoints remain incomparable</x:v>
      </x:c>
      <x:c r="P11" s="20" t="str">
        <x:v>withhold v1 runtime; do not use either old numeric as fallback</x:v>
      </x:c>
    </x:row>
    <x:row r="12" ht="21.600000381469727" hidden="0" customHeight="1">
      <x:c r="A12" s="20" t="str">
        <x:v>TCWW-CMP-011</x:v>
      </x:c>
      <x:c r="B12" s="85" t="str">
        <x:v>108</x:v>
      </x:c>
      <x:c r="C12" s="85" t="str">
        <x:v>67.108088762</x:v>
      </x:c>
      <x:c r="D12" s="20" t="str">
        <x:v>TCWW_JAIMES_GENERIC_2P5MW_HH80_V1</x:v>
      </x:c>
      <x:c r="E12" s="20" t="str">
        <x:v>supported_source_range</x:v>
      </x:c>
      <x:c r="F12" s="85" t="str">
        <x:v>0.000689340900421</x:v>
      </x:c>
      <x:c r="G12" s="85" t="str">
        <x:v>0.000689340900421</x:v>
      </x:c>
      <x:c r="H12" s="85" t="str"/>
      <x:c r="I12" s="85" t="str">
        <x:v>0.000059044662073</x:v>
      </x:c>
      <x:c r="J12" s="85" t="str">
        <x:v>0.022564717366808</x:v>
      </x:c>
      <x:c r="K12" s="20" t="str">
        <x:v>WT_JAIMES_TURBINE_TOWER_EXPOSURE_UNIT</x:v>
      </x:c>
      <x:c r="L12" s="20" t="str">
        <x:v>paper-native expected repair/replacement ratio on ambiguous turbine-tower/total-turbine proxy</x:v>
      </x:c>
      <x:c r="M12" s="20" t="str">
        <x:v>mixed full-TIV fixed-share rotor+nacelle+substation+electrical DR; tower+foundation+civil forced zero</x:v>
      </x:c>
      <x:c r="N12" s="20" t="str">
        <x:v>one-minute 10 m mph ordinary-logistic rotor DR</x:v>
      </x:c>
      <x:c r="O12" s="20" t="str">
        <x:v>Hazard intensity is unit-convertible but endpoint/denominator/coverage differ; legacy axis and endpoint differ</x:v>
      </x:c>
      <x:c r="P12" s="20" t="str">
        <x:v>compare directionally only; do not calibrate v1 to old values</x:v>
      </x:c>
    </x:row>
    <x:row r="13" ht="21.600000381469727" hidden="0" customHeight="1">
      <x:c r="A13" s="20" t="str">
        <x:v>TCWW-CMP-012</x:v>
      </x:c>
      <x:c r="B13" s="85" t="str">
        <x:v>172.52</x:v>
      </x:c>
      <x:c r="C13" s="85" t="str">
        <x:v>107.198958085</x:v>
      </x:c>
      <x:c r="D13" s="20" t="str">
        <x:v>TCWW_JAIMES_GENERIC_2P5MW_HH80_V1</x:v>
      </x:c>
      <x:c r="E13" s="20" t="str">
        <x:v>supported_source_range</x:v>
      </x:c>
      <x:c r="F13" s="85" t="str">
        <x:v>0.500000000000000</x:v>
      </x:c>
      <x:c r="G13" s="85" t="str">
        <x:v>0.500000000000000</x:v>
      </x:c>
      <x:c r="H13" s="85" t="str"/>
      <x:c r="I13" s="85" t="str">
        <x:v>0.010782749447981</x:v>
      </x:c>
      <x:c r="J13" s="85" t="str">
        <x:v>0.300880134115842</x:v>
      </x:c>
      <x:c r="K13" s="20" t="str">
        <x:v>WT_JAIMES_TURBINE_TOWER_EXPOSURE_UNIT</x:v>
      </x:c>
      <x:c r="L13" s="20" t="str">
        <x:v>paper-native expected repair/replacement ratio on ambiguous turbine-tower/total-turbine proxy</x:v>
      </x:c>
      <x:c r="M13" s="20" t="str">
        <x:v>mixed full-TIV fixed-share rotor+nacelle+substation+electrical DR; tower+foundation+civil forced zero</x:v>
      </x:c>
      <x:c r="N13" s="20" t="str">
        <x:v>one-minute 10 m mph ordinary-logistic rotor DR</x:v>
      </x:c>
      <x:c r="O13" s="20" t="str">
        <x:v>Exact v1 midpoint; neither old value shares the v1 endpoint/denominator</x:v>
      </x:c>
      <x:c r="P13" s="20" t="str">
        <x:v>midpoint KAT for v1; old values audit-only</x:v>
      </x:c>
    </x:row>
    <x:row r="14" ht="21.600000381469727" hidden="0" customHeight="1">
      <x:c r="A14" s="20" t="str">
        <x:v>TCWW-CMP-013</x:v>
      </x:c>
      <x:c r="B14" s="85" t="str">
        <x:v>180</x:v>
      </x:c>
      <x:c r="C14" s="85" t="str">
        <x:v>111.846814603</x:v>
      </x:c>
      <x:c r="D14" s="20" t="str">
        <x:v>TCWW_JAIMES_GENERIC_2P5MW_HH80_V1</x:v>
      </x:c>
      <x:c r="E14" s="20" t="str">
        <x:v>supported_source_range</x:v>
      </x:c>
      <x:c r="F14" s="85" t="str">
        <x:v>0.642205900008322</x:v>
      </x:c>
      <x:c r="G14" s="85" t="str">
        <x:v>0.642205900008322</x:v>
      </x:c>
      <x:c r="H14" s="85" t="str"/>
      <x:c r="I14" s="85" t="str">
        <x:v>0.019456260060225</x:v>
      </x:c>
      <x:c r="J14" s="85" t="str">
        <x:v>0.372556430596958</x:v>
      </x:c>
      <x:c r="K14" s="20" t="str">
        <x:v>WT_JAIMES_TURBINE_TOWER_EXPOSURE_UNIT</x:v>
      </x:c>
      <x:c r="L14" s="20" t="str">
        <x:v>paper-native expected repair/replacement ratio on ambiguous turbine-tower/total-turbine proxy</x:v>
      </x:c>
      <x:c r="M14" s="20" t="str">
        <x:v>mixed full-TIV fixed-share rotor+nacelle+substation+electrical DR; tower+foundation+civil forced zero</x:v>
      </x:c>
      <x:c r="N14" s="20" t="str">
        <x:v>one-minute 10 m mph ordinary-logistic rotor DR</x:v>
      </x:c>
      <x:c r="O14" s="20" t="str">
        <x:v>Hazard intensity is unit-convertible but endpoint/denominator/coverage differ; legacy axis and endpoint differ</x:v>
      </x:c>
      <x:c r="P14" s="20" t="str">
        <x:v>large delta is expected from different model/endpoint; not a regression failure</x:v>
      </x:c>
    </x:row>
    <x:row r="15" ht="21.600000381469727" hidden="0" customHeight="1">
      <x:c r="A15" s="20" t="str">
        <x:v>TCWW-CMP-014</x:v>
      </x:c>
      <x:c r="B15" s="85" t="str">
        <x:v>220</x:v>
      </x:c>
      <x:c r="C15" s="85" t="str">
        <x:v>136.701662292</x:v>
      </x:c>
      <x:c r="D15" s="20" t="str">
        <x:v>TCWW_JAIMES_GENERIC_2P5MW_HH80_V1</x:v>
      </x:c>
      <x:c r="E15" s="20" t="str">
        <x:v>supported_source_range</x:v>
      </x:c>
      <x:c r="F15" s="85" t="str">
        <x:v>0.995733421640076</x:v>
      </x:c>
      <x:c r="G15" s="85" t="str">
        <x:v>0.995733421640076</x:v>
      </x:c>
      <x:c r="H15" s="85" t="str"/>
      <x:c r="I15" s="85" t="str">
        <x:v>0.261216320978339</x:v>
      </x:c>
      <x:c r="J15" s="85" t="str">
        <x:v>0.724675011768098</x:v>
      </x:c>
      <x:c r="K15" s="20" t="str">
        <x:v>WT_JAIMES_TURBINE_TOWER_EXPOSURE_UNIT</x:v>
      </x:c>
      <x:c r="L15" s="20" t="str">
        <x:v>paper-native expected repair/replacement ratio on ambiguous turbine-tower/total-turbine proxy</x:v>
      </x:c>
      <x:c r="M15" s="20" t="str">
        <x:v>mixed full-TIV fixed-share rotor+nacelle+substation+electrical DR; tower+foundation+civil forced zero</x:v>
      </x:c>
      <x:c r="N15" s="20" t="str">
        <x:v>one-minute 10 m mph ordinary-logistic rotor DR</x:v>
      </x:c>
      <x:c r="O15" s="20" t="str">
        <x:v>Hazard intensity is unit-convertible but endpoint/denominator/coverage differ; legacy axis and endpoint differ</x:v>
      </x:c>
      <x:c r="P15" s="20" t="str">
        <x:v>large delta is expected from different model/endpoint; not a regression failure</x:v>
      </x:c>
    </x:row>
    <x:row r="16" ht="21.600000381469727" hidden="0" customHeight="1">
      <x:c r="A16" s="20" t="str">
        <x:v>TCWW-CMP-015</x:v>
      </x:c>
      <x:c r="B16" s="85" t="str">
        <x:v>252</x:v>
      </x:c>
      <x:c r="C16" s="85" t="str">
        <x:v>156.585540444</x:v>
      </x:c>
      <x:c r="D16" s="20" t="str">
        <x:v>TCWW_JAIMES_GENERIC_2P5MW_HH80_V1</x:v>
      </x:c>
      <x:c r="E16" s="20" t="str">
        <x:v>supported_source_range</x:v>
      </x:c>
      <x:c r="F16" s="85" t="str">
        <x:v>0.999999633725535</x:v>
      </x:c>
      <x:c r="G16" s="85" t="str">
        <x:v>0.999999633725535</x:v>
      </x:c>
      <x:c r="H16" s="85" t="str"/>
      <x:c r="I16" s="85" t="str">
        <x:v>0.563208912474459</x:v>
      </x:c>
      <x:c r="J16" s="85" t="str">
        <x:v>0.839036165112190</x:v>
      </x:c>
      <x:c r="K16" s="20" t="str">
        <x:v>WT_JAIMES_TURBINE_TOWER_EXPOSURE_UNIT</x:v>
      </x:c>
      <x:c r="L16" s="20" t="str">
        <x:v>paper-native expected repair/replacement ratio on ambiguous turbine-tower/total-turbine proxy</x:v>
      </x:c>
      <x:c r="M16" s="20" t="str">
        <x:v>mixed full-TIV fixed-share rotor+nacelle+substation+electrical DR; tower+foundation+civil forced zero</x:v>
      </x:c>
      <x:c r="N16" s="20" t="str">
        <x:v>one-minute 10 m mph ordinary-logistic rotor DR</x:v>
      </x:c>
      <x:c r="O16" s="20" t="str">
        <x:v>Upper supported v1 boundary; old caps/denominators are not comparable</x:v>
      </x:c>
      <x:c r="P16" s="20" t="str">
        <x:v>boundary KAT; do not extend runtime from old curves</x:v>
      </x:c>
    </x:row>
    <x:row r="17" ht="21.600000381469727" hidden="0" customHeight="1">
      <x:c r="A17" s="20" t="str">
        <x:v>TCWW-CMP-016</x:v>
      </x:c>
      <x:c r="B17" s="85" t="str">
        <x:v>253</x:v>
      </x:c>
      <x:c r="C17" s="85" t="str">
        <x:v>157.206911636</x:v>
      </x:c>
      <x:c r="D17" s="20" t="str">
        <x:v>TCWW_JAIMES_GENERIC_2P5MW_HH80_V1</x:v>
      </x:c>
      <x:c r="E17" s="20" t="str">
        <x:v>withheld_ABOVE_SOURCE_SIMULATION_RANGE</x:v>
      </x:c>
      <x:c r="F17" s="85" t="str"/>
      <x:c r="G17" s="85" t="str">
        <x:v>0.999999759312657</x:v>
      </x:c>
      <x:c r="H17" s="85" t="str"/>
      <x:c r="I17" s="85" t="str">
        <x:v>0.568613424466259</x:v>
      </x:c>
      <x:c r="J17" s="85" t="str">
        <x:v>0.840804387591376</x:v>
      </x:c>
      <x:c r="K17" s="20" t="str">
        <x:v>WT_JAIMES_TURBINE_TOWER_EXPOSURE_UNIT</x:v>
      </x:c>
      <x:c r="L17" s="20" t="str">
        <x:v>paper-native expected repair/replacement ratio on ambiguous turbine-tower/total-turbine proxy</x:v>
      </x:c>
      <x:c r="M17" s="20" t="str">
        <x:v>mixed full-TIV fixed-share rotor+nacelle+substation+electrical DR; tower+foundation+civil forced zero</x:v>
      </x:c>
      <x:c r="N17" s="20" t="str">
        <x:v>one-minute 10 m mph ordinary-logistic rotor DR</x:v>
      </x:c>
      <x:c r="O17" s="20" t="str">
        <x:v>Jaimes mathematical tail is audit-only above 252; old endpoints remain incomparable</x:v>
      </x:c>
      <x:c r="P17" s="20" t="str">
        <x:v>withhold v1 runtime; do not clamp or use old fallback</x:v>
      </x:c>
    </x:row>
    <x:row r="18" ht="21.600000381469727" hidden="0" customHeight="1">
      <x:c r="A18" s="20" t="str">
        <x:v>TCWW-CMP-017</x:v>
      </x:c>
      <x:c r="B18" s="85" t="str">
        <x:v>90</x:v>
      </x:c>
      <x:c r="C18" s="85" t="str">
        <x:v>55.923407301</x:v>
      </x:c>
      <x:c r="D18" s="20" t="str">
        <x:v>TCWW_JAIMES_GENERIC_3P3MW_HH100_V1</x:v>
      </x:c>
      <x:c r="E18" s="20" t="str">
        <x:v>supported_SOURCE_ASSUMED_NO_DAMAGE_THRESHOLD_NOT_EMPIRICAL</x:v>
      </x:c>
      <x:c r="F18" s="85" t="str">
        <x:v>0.000000000000000</x:v>
      </x:c>
      <x:c r="G18" s="85" t="str">
        <x:v>0.000000000000000</x:v>
      </x:c>
      <x:c r="H18" s="85" t="str"/>
      <x:c r="I18" s="85" t="str">
        <x:v>0.000013808479213</x:v>
      </x:c>
      <x:c r="J18" s="85" t="str">
        <x:v>0.009962596264405</x:v>
      </x:c>
      <x:c r="K18" s="20" t="str">
        <x:v>WT_JAIMES_TURBINE_TOWER_EXPOSURE_UNIT</x:v>
      </x:c>
      <x:c r="L18" s="20" t="str">
        <x:v>paper-native expected repair/replacement ratio on ambiguous turbine-tower/total-turbine proxy</x:v>
      </x:c>
      <x:c r="M18" s="20" t="str">
        <x:v>mixed full-TIV fixed-share rotor+nacelle+substation+electrical DR; tower+foundation+civil forced zero</x:v>
      </x:c>
      <x:c r="N18" s="20" t="str">
        <x:v>one-minute 10 m mph ordinary-logistic rotor DR</x:v>
      </x:c>
      <x:c r="O18" s="20" t="str">
        <x:v>Hazard intensity is unit-convertible but endpoint/denominator/coverage differ; legacy axis and endpoint differ</x:v>
      </x:c>
      <x:c r="P18" s="20" t="str">
        <x:v>v0.1 null is baseline; both old numerics are audit-only and not regression targets</x:v>
      </x:c>
    </x:row>
    <x:row r="19" ht="21.600000381469727" hidden="0" customHeight="1">
      <x:c r="A19" s="20" t="str">
        <x:v>TCWW-CMP-018</x:v>
      </x:c>
      <x:c r="B19" s="85" t="str">
        <x:v>100</x:v>
      </x:c>
      <x:c r="C19" s="85" t="str">
        <x:v>62.137119224</x:v>
      </x:c>
      <x:c r="D19" s="20" t="str">
        <x:v>TCWW_JAIMES_GENERIC_3P3MW_HH100_V1</x:v>
      </x:c>
      <x:c r="E19" s="20" t="str">
        <x:v>withheld_BELOW_SOURCE_SIMULATION_RANGE</x:v>
      </x:c>
      <x:c r="F19" s="85" t="str"/>
      <x:c r="G19" s="85" t="str">
        <x:v>0.000033415608294</x:v>
      </x:c>
      <x:c r="H19" s="85" t="str"/>
      <x:c r="I19" s="85" t="str">
        <x:v>0.000030945222439</x:v>
      </x:c>
      <x:c r="J19" s="85" t="str">
        <x:v>0.015713280326587</x:v>
      </x:c>
      <x:c r="K19" s="20" t="str">
        <x:v>WT_JAIMES_TURBINE_TOWER_EXPOSURE_UNIT</x:v>
      </x:c>
      <x:c r="L19" s="20" t="str">
        <x:v>paper-native expected repair/replacement ratio on ambiguous turbine-tower/total-turbine proxy</x:v>
      </x:c>
      <x:c r="M19" s="20" t="str">
        <x:v>mixed full-TIV fixed-share rotor+nacelle+substation+electrical DR; tower+foundation+civil forced zero</x:v>
      </x:c>
      <x:c r="N19" s="20" t="str">
        <x:v>one-minute 10 m mph ordinary-logistic rotor DR</x:v>
      </x:c>
      <x:c r="O19" s="20" t="str">
        <x:v>Jaimes formula value is audit-only in 90-108 gap; old endpoints remain incomparable</x:v>
      </x:c>
      <x:c r="P19" s="20" t="str">
        <x:v>withhold v1 runtime; do not use either old numeric as fallback</x:v>
      </x:c>
    </x:row>
    <x:row r="20" ht="21.600000381469727" hidden="0" customHeight="1">
      <x:c r="A20" s="20" t="str">
        <x:v>TCWW-CMP-019</x:v>
      </x:c>
      <x:c r="B20" s="85" t="str">
        <x:v>108</x:v>
      </x:c>
      <x:c r="C20" s="85" t="str">
        <x:v>67.108088762</x:v>
      </x:c>
      <x:c r="D20" s="20" t="str">
        <x:v>TCWW_JAIMES_GENERIC_3P3MW_HH100_V1</x:v>
      </x:c>
      <x:c r="E20" s="20" t="str">
        <x:v>supported_source_range</x:v>
      </x:c>
      <x:c r="F20" s="85" t="str">
        <x:v>0.000627523692330</x:v>
      </x:c>
      <x:c r="G20" s="85" t="str">
        <x:v>0.000627523692330</x:v>
      </x:c>
      <x:c r="H20" s="85" t="str"/>
      <x:c r="I20" s="85" t="str">
        <x:v>0.000059044662073</x:v>
      </x:c>
      <x:c r="J20" s="85" t="str">
        <x:v>0.022564717366808</x:v>
      </x:c>
      <x:c r="K20" s="20" t="str">
        <x:v>WT_JAIMES_TURBINE_TOWER_EXPOSURE_UNIT</x:v>
      </x:c>
      <x:c r="L20" s="20" t="str">
        <x:v>paper-native expected repair/replacement ratio on ambiguous turbine-tower/total-turbine proxy</x:v>
      </x:c>
      <x:c r="M20" s="20" t="str">
        <x:v>mixed full-TIV fixed-share rotor+nacelle+substation+electrical DR; tower+foundation+civil forced zero</x:v>
      </x:c>
      <x:c r="N20" s="20" t="str">
        <x:v>one-minute 10 m mph ordinary-logistic rotor DR</x:v>
      </x:c>
      <x:c r="O20" s="20" t="str">
        <x:v>Hazard intensity is unit-convertible but endpoint/denominator/coverage differ; legacy axis and endpoint differ</x:v>
      </x:c>
      <x:c r="P20" s="20" t="str">
        <x:v>compare directionally only; do not calibrate v1 to old values</x:v>
      </x:c>
    </x:row>
    <x:row r="21" ht="21.600000381469727" hidden="0" customHeight="1">
      <x:c r="A21" s="20" t="str">
        <x:v>TCWW-CMP-020</x:v>
      </x:c>
      <x:c r="B21" s="85" t="str">
        <x:v>163.30</x:v>
      </x:c>
      <x:c r="C21" s="85" t="str">
        <x:v>101.469915692</x:v>
      </x:c>
      <x:c r="D21" s="20" t="str">
        <x:v>TCWW_JAIMES_GENERIC_3P3MW_HH100_V1</x:v>
      </x:c>
      <x:c r="E21" s="20" t="str">
        <x:v>supported_source_range</x:v>
      </x:c>
      <x:c r="F21" s="85" t="str">
        <x:v>0.500000000000000</x:v>
      </x:c>
      <x:c r="G21" s="85" t="str">
        <x:v>0.500000000000000</x:v>
      </x:c>
      <x:c r="H21" s="85" t="str"/>
      <x:c r="I21" s="85" t="str">
        <x:v>0.005156307063616</x:v>
      </x:c>
      <x:c r="J21" s="85" t="str">
        <x:v>0.222912433500562</x:v>
      </x:c>
      <x:c r="K21" s="20" t="str">
        <x:v>WT_JAIMES_TURBINE_TOWER_EXPOSURE_UNIT</x:v>
      </x:c>
      <x:c r="L21" s="20" t="str">
        <x:v>paper-native expected repair/replacement ratio on ambiguous turbine-tower/total-turbine proxy</x:v>
      </x:c>
      <x:c r="M21" s="20" t="str">
        <x:v>mixed full-TIV fixed-share rotor+nacelle+substation+electrical DR; tower+foundation+civil forced zero</x:v>
      </x:c>
      <x:c r="N21" s="20" t="str">
        <x:v>one-minute 10 m mph ordinary-logistic rotor DR</x:v>
      </x:c>
      <x:c r="O21" s="20" t="str">
        <x:v>Exact v1 midpoint; neither old value shares the v1 endpoint/denominator</x:v>
      </x:c>
      <x:c r="P21" s="20" t="str">
        <x:v>midpoint KAT for v1; old values audit-only</x:v>
      </x:c>
    </x:row>
    <x:row r="22" ht="21.600000381469727" hidden="0" customHeight="1">
      <x:c r="A22" s="20" t="str">
        <x:v>TCWW-CMP-021</x:v>
      </x:c>
      <x:c r="B22" s="85" t="str">
        <x:v>180</x:v>
      </x:c>
      <x:c r="C22" s="85" t="str">
        <x:v>111.846814603</x:v>
      </x:c>
      <x:c r="D22" s="20" t="str">
        <x:v>TCWW_JAIMES_GENERIC_3P3MW_HH100_V1</x:v>
      </x:c>
      <x:c r="E22" s="20" t="str">
        <x:v>supported_source_range</x:v>
      </x:c>
      <x:c r="F22" s="85" t="str">
        <x:v>0.854896589996166</x:v>
      </x:c>
      <x:c r="G22" s="85" t="str">
        <x:v>0.854896589996166</x:v>
      </x:c>
      <x:c r="H22" s="85" t="str"/>
      <x:c r="I22" s="85" t="str">
        <x:v>0.019456260060225</x:v>
      </x:c>
      <x:c r="J22" s="85" t="str">
        <x:v>0.372556430596958</x:v>
      </x:c>
      <x:c r="K22" s="20" t="str">
        <x:v>WT_JAIMES_TURBINE_TOWER_EXPOSURE_UNIT</x:v>
      </x:c>
      <x:c r="L22" s="20" t="str">
        <x:v>paper-native expected repair/replacement ratio on ambiguous turbine-tower/total-turbine proxy</x:v>
      </x:c>
      <x:c r="M22" s="20" t="str">
        <x:v>mixed full-TIV fixed-share rotor+nacelle+substation+electrical DR; tower+foundation+civil forced zero</x:v>
      </x:c>
      <x:c r="N22" s="20" t="str">
        <x:v>one-minute 10 m mph ordinary-logistic rotor DR</x:v>
      </x:c>
      <x:c r="O22" s="20" t="str">
        <x:v>Hazard intensity is unit-convertible but endpoint/denominator/coverage differ; legacy axis and endpoint differ</x:v>
      </x:c>
      <x:c r="P22" s="20" t="str">
        <x:v>large delta is expected from different model/endpoint; not a regression failure</x:v>
      </x:c>
    </x:row>
    <x:row r="23" ht="21.600000381469727" hidden="0" customHeight="1">
      <x:c r="A23" s="20" t="str">
        <x:v>TCWW-CMP-022</x:v>
      </x:c>
      <x:c r="B23" s="85" t="str">
        <x:v>220</x:v>
      </x:c>
      <x:c r="C23" s="85" t="str">
        <x:v>136.701662292</x:v>
      </x:c>
      <x:c r="D23" s="20" t="str">
        <x:v>TCWW_JAIMES_GENERIC_3P3MW_HH100_V1</x:v>
      </x:c>
      <x:c r="E23" s="20" t="str">
        <x:v>supported_source_range</x:v>
      </x:c>
      <x:c r="F23" s="85" t="str">
        <x:v>0.999994401418475</x:v>
      </x:c>
      <x:c r="G23" s="85" t="str">
        <x:v>0.999994401418475</x:v>
      </x:c>
      <x:c r="H23" s="85" t="str"/>
      <x:c r="I23" s="85" t="str">
        <x:v>0.261216320978339</x:v>
      </x:c>
      <x:c r="J23" s="85" t="str">
        <x:v>0.724675011768098</x:v>
      </x:c>
      <x:c r="K23" s="20" t="str">
        <x:v>WT_JAIMES_TURBINE_TOWER_EXPOSURE_UNIT</x:v>
      </x:c>
      <x:c r="L23" s="20" t="str">
        <x:v>paper-native expected repair/replacement ratio on ambiguous turbine-tower/total-turbine proxy</x:v>
      </x:c>
      <x:c r="M23" s="20" t="str">
        <x:v>mixed full-TIV fixed-share rotor+nacelle+substation+electrical DR; tower+foundation+civil forced zero</x:v>
      </x:c>
      <x:c r="N23" s="20" t="str">
        <x:v>one-minute 10 m mph ordinary-logistic rotor DR</x:v>
      </x:c>
      <x:c r="O23" s="20" t="str">
        <x:v>Hazard intensity is unit-convertible but endpoint/denominator/coverage differ; legacy axis and endpoint differ</x:v>
      </x:c>
      <x:c r="P23" s="20" t="str">
        <x:v>large delta is expected from different model/endpoint; not a regression failure</x:v>
      </x:c>
    </x:row>
    <x:row r="24" ht="21.600000381469727" hidden="0" customHeight="1">
      <x:c r="A24" s="20" t="str">
        <x:v>TCWW-CMP-023</x:v>
      </x:c>
      <x:c r="B24" s="85" t="str">
        <x:v>252</x:v>
      </x:c>
      <x:c r="C24" s="85" t="str">
        <x:v>156.585540444</x:v>
      </x:c>
      <x:c r="D24" s="20" t="str">
        <x:v>TCWW_JAIMES_GENERIC_3P3MW_HH100_V1</x:v>
      </x:c>
      <x:c r="E24" s="20" t="str">
        <x:v>supported_source_range</x:v>
      </x:c>
      <x:c r="F24" s="85" t="str">
        <x:v>1.000000000000000</x:v>
      </x:c>
      <x:c r="G24" s="85" t="str">
        <x:v>1.000000000000000</x:v>
      </x:c>
      <x:c r="H24" s="85" t="str"/>
      <x:c r="I24" s="85" t="str">
        <x:v>0.563208912474459</x:v>
      </x:c>
      <x:c r="J24" s="85" t="str">
        <x:v>0.839036165112190</x:v>
      </x:c>
      <x:c r="K24" s="20" t="str">
        <x:v>WT_JAIMES_TURBINE_TOWER_EXPOSURE_UNIT</x:v>
      </x:c>
      <x:c r="L24" s="20" t="str">
        <x:v>paper-native expected repair/replacement ratio on ambiguous turbine-tower/total-turbine proxy</x:v>
      </x:c>
      <x:c r="M24" s="20" t="str">
        <x:v>mixed full-TIV fixed-share rotor+nacelle+substation+electrical DR; tower+foundation+civil forced zero</x:v>
      </x:c>
      <x:c r="N24" s="20" t="str">
        <x:v>one-minute 10 m mph ordinary-logistic rotor DR</x:v>
      </x:c>
      <x:c r="O24" s="20" t="str">
        <x:v>Upper supported v1 boundary; displayed one is rounding; old caps/denominators are not comparable</x:v>
      </x:c>
      <x:c r="P24" s="20" t="str">
        <x:v>boundary KAT uses full evaluator precision; do not extend runtime from old curves</x:v>
      </x:c>
    </x:row>
    <x:row r="25" ht="21.600000381469727" hidden="0" customHeight="1">
      <x:c r="A25" s="20" t="str">
        <x:v>TCWW-CMP-024</x:v>
      </x:c>
      <x:c r="B25" s="85" t="str">
        <x:v>253</x:v>
      </x:c>
      <x:c r="C25" s="85" t="str">
        <x:v>157.206911636</x:v>
      </x:c>
      <x:c r="D25" s="20" t="str">
        <x:v>TCWW_JAIMES_GENERIC_3P3MW_HH100_V1</x:v>
      </x:c>
      <x:c r="E25" s="20" t="str">
        <x:v>withheld_ABOVE_SOURCE_SIMULATION_RANGE</x:v>
      </x:c>
      <x:c r="F25" s="85" t="str"/>
      <x:c r="G25" s="85" t="str">
        <x:v>1.000000000000000</x:v>
      </x:c>
      <x:c r="H25" s="85" t="str"/>
      <x:c r="I25" s="85" t="str">
        <x:v>0.568613424466259</x:v>
      </x:c>
      <x:c r="J25" s="85" t="str">
        <x:v>0.840804387591376</x:v>
      </x:c>
      <x:c r="K25" s="20" t="str">
        <x:v>WT_JAIMES_TURBINE_TOWER_EXPOSURE_UNIT</x:v>
      </x:c>
      <x:c r="L25" s="20" t="str">
        <x:v>paper-native expected repair/replacement ratio on ambiguous turbine-tower/total-turbine proxy</x:v>
      </x:c>
      <x:c r="M25" s="20" t="str">
        <x:v>mixed full-TIV fixed-share rotor+nacelle+substation+electrical DR; tower+foundation+civil forced zero</x:v>
      </x:c>
      <x:c r="N25" s="20" t="str">
        <x:v>one-minute 10 m mph ordinary-logistic rotor DR</x:v>
      </x:c>
      <x:c r="O25" s="20" t="str">
        <x:v>Jaimes mathematical tail is audit-only above 252; displayed one is rounding; old endpoints remain incomparable</x:v>
      </x:c>
      <x:c r="P25" s="20" t="str">
        <x:v>withhold v1 runtime; do not clamp or use old fallback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2" hidden="0" customWidth="1"/>
    <x:col min="11" max="11" width="22" hidden="0" customWidth="1"/>
  </x:cols>
  <x:sheetData>
    <x:row r="1" ht="21.600000381469727" hidden="0" customHeight="1">
      <x:c r="A1" s="3" t="str">
        <x:v>Formula known-answer tests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7" t="str">
        <x:v>Absolute tolerance 1e-12; computed cells reference Inputs so parameter edits visibly change test status.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/>
    <x:row r="4" ht="15" hidden="0" customHeight="1">
      <x:c r="A4" s="13" t="str">
        <x:v>Test ID</x:v>
      </x:c>
      <x:c r="B4" s="13" t="str">
        <x:v>Archetype ID</x:v>
      </x:c>
      <x:c r="C4" s="13" t="str">
        <x:v>V km/h</x:v>
      </x:c>
      <x:c r="D4" s="13" t="str">
        <x:v>delta_V50</x:v>
      </x:c>
      <x:c r="E4" s="13" t="str">
        <x:v>rho</x:v>
      </x:c>
      <x:c r="F4" s="13" t="str">
        <x:v>Expected DR</x:v>
      </x:c>
      <x:c r="G4" s="13" t="str">
        <x:v>Computed DR</x:v>
      </x:c>
      <x:c r="H4" s="13" t="str">
        <x:v>Absolute error</x:v>
      </x:c>
      <x:c r="I4" s="13" t="str">
        <x:v>Tolerance</x:v>
      </x:c>
      <x:c r="J4" s="13" t="str">
        <x:v>Status</x:v>
      </x:c>
      <x:c r="K4" s="13" t="str">
        <x:v>Expected runtime status</x:v>
      </x:c>
    </x:row>
    <x:row r="5" ht="15" hidden="0" customHeight="1">
      <x:c r="A5" s="20" t="str">
        <x:v>TCWW_JAIMES_1MW_44M_SCREENING_V90</x:v>
      </x:c>
      <x:c r="B5" s="20" t="str">
        <x:v>TCWW_JAIMES_GENERIC_1MW_HH44_V1</x:v>
      </x:c>
      <x:c r="C5" s="98" t="n">
        <x:v>90</x:v>
      </x:c>
      <x:c r="D5" s="98" t="n">
        <x:f>'Inputs'!$G$5</x:f>
        <x:v>106.77</x:v>
      </x:c>
      <x:c r="E5" s="98" t="n">
        <x:f>'Inputs'!$H$5</x:f>
        <x:v>8.94</x:v>
      </x:c>
      <x:c r="F5" s="98" t="n">
        <x:v>0</x:v>
      </x:c>
      <x:c r="G5" s="98" t="n">
        <x:f>IF(C5&lt;='Inputs'!$F$5,0,'Inputs'!$L$5*(1-EXP(-LN(2)*POWER((C5-'Inputs'!$F$5)/D5,E5))))</x:f>
        <x:v>0</x:v>
      </x:c>
      <x:c r="H5" s="98" t="n">
        <x:f>ABS(G5-F5)</x:f>
        <x:v>0</x:v>
      </x:c>
      <x:c r="I5" s="98" t="n">
        <x:v>1e-12</x:v>
      </x:c>
      <x:c r="J5" s="20" t="str">
        <x:f>IF(H5&lt;=I5,"PASS","FAIL")</x:f>
        <x:v>PASS</x:v>
      </x:c>
      <x:c r="K5" s="20" t="str">
        <x:v>supported</x:v>
      </x:c>
    </x:row>
    <x:row r="6" ht="15" hidden="0" customHeight="1">
      <x:c r="A6" s="20" t="str">
        <x:v>TCWW_JAIMES_1MW_44M_SCREENING_V108</x:v>
      </x:c>
      <x:c r="B6" s="20" t="str">
        <x:v>TCWW_JAIMES_GENERIC_1MW_HH44_V1</x:v>
      </x:c>
      <x:c r="C6" s="98" t="n">
        <x:v>108</x:v>
      </x:c>
      <x:c r="D6" s="98" t="n">
        <x:f>'Inputs'!$G$5</x:f>
        <x:v>106.77</x:v>
      </x:c>
      <x:c r="E6" s="98" t="n">
        <x:f>'Inputs'!$H$5</x:f>
        <x:v>8.94</x:v>
      </x:c>
      <x:c r="F6" s="98" t="n">
        <x:v>8.484483482451566e-8</x:v>
      </x:c>
      <x:c r="G6" s="98" t="n">
        <x:f>IF(C6&lt;='Inputs'!$F$5,0,'Inputs'!$L$5*(1-EXP(-LN(2)*POWER((C6-'Inputs'!$F$5)/D6,E6))))</x:f>
        <x:v>8.484483482451566e-8</x:v>
      </x:c>
      <x:c r="H6" s="98" t="n">
        <x:f>ABS(G6-F6)</x:f>
        <x:v>0</x:v>
      </x:c>
      <x:c r="I6" s="98" t="n">
        <x:v>1e-12</x:v>
      </x:c>
      <x:c r="J6" s="20" t="str">
        <x:f>IF(H6&lt;=I6,"PASS","FAIL")</x:f>
        <x:v>PASS</x:v>
      </x:c>
      <x:c r="K6" s="20" t="str">
        <x:v>supported</x:v>
      </x:c>
    </x:row>
    <x:row r="7" ht="15" hidden="0" customHeight="1">
      <x:c r="A7" s="20" t="str">
        <x:v>TCWW_JAIMES_1MW_44M_SCREENING_V160</x:v>
      </x:c>
      <x:c r="B7" s="20" t="str">
        <x:v>TCWW_JAIMES_GENERIC_1MW_HH44_V1</x:v>
      </x:c>
      <x:c r="C7" s="98" t="n">
        <x:v>160</x:v>
      </x:c>
      <x:c r="D7" s="98" t="n">
        <x:f>'Inputs'!$G$5</x:f>
        <x:v>106.77</x:v>
      </x:c>
      <x:c r="E7" s="98" t="n">
        <x:f>'Inputs'!$H$5</x:f>
        <x:v>8.94</x:v>
      </x:c>
      <x:c r="F7" s="98" t="n">
        <x:v>0.015783943301410974</x:v>
      </x:c>
      <x:c r="G7" s="98" t="n">
        <x:f>IF(C7&lt;='Inputs'!$F$5,0,'Inputs'!$L$5*(1-EXP(-LN(2)*POWER((C7-'Inputs'!$F$5)/D7,E7))))</x:f>
        <x:v>0.015783943301410974</x:v>
      </x:c>
      <x:c r="H7" s="98" t="n">
        <x:f>ABS(G7-F7)</x:f>
        <x:v>0</x:v>
      </x:c>
      <x:c r="I7" s="98" t="n">
        <x:v>1e-12</x:v>
      </x:c>
      <x:c r="J7" s="20" t="str">
        <x:f>IF(H7&lt;=I7,"PASS","FAIL")</x:f>
        <x:v>PASS</x:v>
      </x:c>
      <x:c r="K7" s="20" t="str">
        <x:v>supported</x:v>
      </x:c>
    </x:row>
    <x:row r="8" ht="15" hidden="0" customHeight="1">
      <x:c r="A8" s="20" t="str">
        <x:v>TCWW_JAIMES_1MW_44M_SCREENING_V180</x:v>
      </x:c>
      <x:c r="B8" s="20" t="str">
        <x:v>TCWW_JAIMES_GENERIC_1MW_HH44_V1</x:v>
      </x:c>
      <x:c r="C8" s="98" t="n">
        <x:v>180</x:v>
      </x:c>
      <x:c r="D8" s="98" t="n">
        <x:f>'Inputs'!$G$5</x:f>
        <x:v>106.77</x:v>
      </x:c>
      <x:c r="E8" s="98" t="n">
        <x:f>'Inputs'!$H$5</x:f>
        <x:v>8.94</x:v>
      </x:c>
      <x:c r="F8" s="98" t="n">
        <x:v>0.13968672798459847</x:v>
      </x:c>
      <x:c r="G8" s="98" t="n">
        <x:f>IF(C8&lt;='Inputs'!$F$5,0,'Inputs'!$L$5*(1-EXP(-LN(2)*POWER((C8-'Inputs'!$F$5)/D8,E8))))</x:f>
        <x:v>0.13968672798459847</x:v>
      </x:c>
      <x:c r="H8" s="98" t="n">
        <x:f>ABS(G8-F8)</x:f>
        <x:v>0</x:v>
      </x:c>
      <x:c r="I8" s="98" t="n">
        <x:v>1e-12</x:v>
      </x:c>
      <x:c r="J8" s="20" t="str">
        <x:f>IF(H8&lt;=I8,"PASS","FAIL")</x:f>
        <x:v>PASS</x:v>
      </x:c>
      <x:c r="K8" s="20" t="str">
        <x:v>supported</x:v>
      </x:c>
    </x:row>
    <x:row r="9" ht="15" hidden="0" customHeight="1">
      <x:c r="A9" s="20" t="str">
        <x:v>TCWW_JAIMES_1MW_44M_SCREENING_V200</x:v>
      </x:c>
      <x:c r="B9" s="20" t="str">
        <x:v>TCWW_JAIMES_GENERIC_1MW_HH44_V1</x:v>
      </x:c>
      <x:c r="C9" s="98" t="n">
        <x:v>200</x:v>
      </x:c>
      <x:c r="D9" s="98" t="n">
        <x:f>'Inputs'!$G$5</x:f>
        <x:v>106.77</x:v>
      </x:c>
      <x:c r="E9" s="98" t="n">
        <x:f>'Inputs'!$H$5</x:f>
        <x:v>8.94</x:v>
      </x:c>
      <x:c r="F9" s="98" t="n">
        <x:v>0.595366445773527</x:v>
      </x:c>
      <x:c r="G9" s="98" t="n">
        <x:f>IF(C9&lt;='Inputs'!$F$5,0,'Inputs'!$L$5*(1-EXP(-LN(2)*POWER((C9-'Inputs'!$F$5)/D9,E9))))</x:f>
        <x:v>0.595366445773527</x:v>
      </x:c>
      <x:c r="H9" s="98" t="n">
        <x:f>ABS(G9-F9)</x:f>
        <x:v>0</x:v>
      </x:c>
      <x:c r="I9" s="98" t="n">
        <x:v>1e-12</x:v>
      </x:c>
      <x:c r="J9" s="20" t="str">
        <x:f>IF(H9&lt;=I9,"PASS","FAIL")</x:f>
        <x:v>PASS</x:v>
      </x:c>
      <x:c r="K9" s="20" t="str">
        <x:v>supported</x:v>
      </x:c>
    </x:row>
    <x:row r="10" ht="15" hidden="0" customHeight="1">
      <x:c r="A10" s="20" t="str">
        <x:v>TCWW_JAIMES_1MW_44M_SCREENING_V220</x:v>
      </x:c>
      <x:c r="B10" s="20" t="str">
        <x:v>TCWW_JAIMES_GENERIC_1MW_HH44_V1</x:v>
      </x:c>
      <x:c r="C10" s="98" t="n">
        <x:v>220</x:v>
      </x:c>
      <x:c r="D10" s="98" t="n">
        <x:f>'Inputs'!$G$5</x:f>
        <x:v>106.77</x:v>
      </x:c>
      <x:c r="E10" s="98" t="n">
        <x:f>'Inputs'!$H$5</x:f>
        <x:v>8.94</x:v>
      </x:c>
      <x:c r="F10" s="98" t="n">
        <x:v>0.9821988948782603</x:v>
      </x:c>
      <x:c r="G10" s="98" t="n">
        <x:f>IF(C10&lt;='Inputs'!$F$5,0,'Inputs'!$L$5*(1-EXP(-LN(2)*POWER((C10-'Inputs'!$F$5)/D10,E10))))</x:f>
        <x:v>0.9821988948782603</x:v>
      </x:c>
      <x:c r="H10" s="98" t="n">
        <x:f>ABS(G10-F10)</x:f>
        <x:v>0</x:v>
      </x:c>
      <x:c r="I10" s="98" t="n">
        <x:v>1e-12</x:v>
      </x:c>
      <x:c r="J10" s="20" t="str">
        <x:f>IF(H10&lt;=I10,"PASS","FAIL")</x:f>
        <x:v>PASS</x:v>
      </x:c>
      <x:c r="K10" s="20" t="str">
        <x:v>supported</x:v>
      </x:c>
    </x:row>
    <x:row r="11" ht="15" hidden="0" customHeight="1">
      <x:c r="A11" s="20" t="str">
        <x:v>TCWW_JAIMES_1MW_44M_SCREENING_V252</x:v>
      </x:c>
      <x:c r="B11" s="20" t="str">
        <x:v>TCWW_JAIMES_GENERIC_1MW_HH44_V1</x:v>
      </x:c>
      <x:c r="C11" s="98" t="n">
        <x:v>252</x:v>
      </x:c>
      <x:c r="D11" s="98" t="n">
        <x:f>'Inputs'!$G$5</x:f>
        <x:v>106.77</x:v>
      </x:c>
      <x:c r="E11" s="98" t="n">
        <x:f>'Inputs'!$H$5</x:f>
        <x:v>8.94</x:v>
      </x:c>
      <x:c r="F11" s="98" t="n">
        <x:v>0.9999999999996926</x:v>
      </x:c>
      <x:c r="G11" s="98" t="n">
        <x:f>IF(C11&lt;='Inputs'!$F$5,0,'Inputs'!$L$5*(1-EXP(-LN(2)*POWER((C11-'Inputs'!$F$5)/D11,E11))))</x:f>
        <x:v>0.9999999999996926</x:v>
      </x:c>
      <x:c r="H11" s="98" t="n">
        <x:f>ABS(G11-F11)</x:f>
        <x:v>0</x:v>
      </x:c>
      <x:c r="I11" s="98" t="n">
        <x:v>1e-12</x:v>
      </x:c>
      <x:c r="J11" s="20" t="str">
        <x:f>IF(H11&lt;=I11,"PASS","FAIL")</x:f>
        <x:v>PASS</x:v>
      </x:c>
      <x:c r="K11" s="20" t="str">
        <x:v>supported</x:v>
      </x:c>
    </x:row>
    <x:row r="12" ht="15" hidden="0" customHeight="1">
      <x:c r="A12" s="20" t="str">
        <x:v>TCWW_JAIMES_1MW_44M_SCREENING_ABSOLUTE_D50</x:v>
      </x:c>
      <x:c r="B12" s="20" t="str">
        <x:v>TCWW_JAIMES_GENERIC_1MW_HH44_V1</x:v>
      </x:c>
      <x:c r="C12" s="98" t="n">
        <x:v>196.77</x:v>
      </x:c>
      <x:c r="D12" s="98" t="n">
        <x:f>'Inputs'!$G$5</x:f>
        <x:v>106.77</x:v>
      </x:c>
      <x:c r="E12" s="98" t="n">
        <x:f>'Inputs'!$H$5</x:f>
        <x:v>8.94</x:v>
      </x:c>
      <x:c r="F12" s="98" t="n">
        <x:v>0.5</x:v>
      </x:c>
      <x:c r="G12" s="98" t="n">
        <x:f>IF(C12&lt;='Inputs'!$F$5,0,'Inputs'!$L$5*(1-EXP(-LN(2)*POWER((C12-'Inputs'!$F$5)/D12,E12))))</x:f>
        <x:v>0.5000000000000007</x:v>
      </x:c>
      <x:c r="H12" s="98" t="n">
        <x:f>ABS(G12-F12)</x:f>
        <x:v>6.661338147750939e-16</x:v>
      </x:c>
      <x:c r="I12" s="98" t="n">
        <x:v>1e-12</x:v>
      </x:c>
      <x:c r="J12" s="20" t="str">
        <x:f>IF(H12&lt;=I12,"PASS","FAIL")</x:f>
        <x:v>PASS</x:v>
      </x:c>
      <x:c r="K12" s="20" t="str">
        <x:v>supported</x:v>
      </x:c>
    </x:row>
    <x:row r="13" ht="15" hidden="0" customHeight="1">
      <x:c r="A13" s="20" t="str">
        <x:v>TCWW_JAIMES_2P5MW_80M_SCREENING_V90</x:v>
      </x:c>
      <x:c r="B13" s="20" t="str">
        <x:v>TCWW_JAIMES_GENERIC_2P5MW_HH80_V1</x:v>
      </x:c>
      <x:c r="C13" s="98" t="n">
        <x:v>90</x:v>
      </x:c>
      <x:c r="D13" s="98" t="n">
        <x:f>'Inputs'!$G$6</x:f>
        <x:v>82.52</x:v>
      </x:c>
      <x:c r="E13" s="98" t="n">
        <x:f>'Inputs'!$H$6</x:f>
        <x:v>4.54</x:v>
      </x:c>
      <x:c r="F13" s="98" t="n">
        <x:v>0</x:v>
      </x:c>
      <x:c r="G13" s="98" t="n">
        <x:f>IF(C13&lt;='Inputs'!$F$6,0,'Inputs'!$L$6*(1-EXP(-LN(2)*POWER((C13-'Inputs'!$F$6)/D13,E13))))</x:f>
        <x:v>0</x:v>
      </x:c>
      <x:c r="H13" s="98" t="n">
        <x:f>ABS(G13-F13)</x:f>
        <x:v>0</x:v>
      </x:c>
      <x:c r="I13" s="98" t="n">
        <x:v>1e-12</x:v>
      </x:c>
      <x:c r="J13" s="20" t="str">
        <x:f>IF(H13&lt;=I13,"PASS","FAIL")</x:f>
        <x:v>PASS</x:v>
      </x:c>
      <x:c r="K13" s="20" t="str">
        <x:v>supported</x:v>
      </x:c>
    </x:row>
    <x:row r="14" ht="15" hidden="0" customHeight="1">
      <x:c r="A14" s="20" t="str">
        <x:v>TCWW_JAIMES_2P5MW_80M_SCREENING_V108</x:v>
      </x:c>
      <x:c r="B14" s="20" t="str">
        <x:v>TCWW_JAIMES_GENERIC_2P5MW_HH80_V1</x:v>
      </x:c>
      <x:c r="C14" s="98" t="n">
        <x:v>108</x:v>
      </x:c>
      <x:c r="D14" s="98" t="n">
        <x:f>'Inputs'!$G$6</x:f>
        <x:v>82.52</x:v>
      </x:c>
      <x:c r="E14" s="98" t="n">
        <x:f>'Inputs'!$H$6</x:f>
        <x:v>4.54</x:v>
      </x:c>
      <x:c r="F14" s="98" t="n">
        <x:v>0.0006893409004211648</x:v>
      </x:c>
      <x:c r="G14" s="98" t="n">
        <x:f>IF(C14&lt;='Inputs'!$F$6,0,'Inputs'!$L$6*(1-EXP(-LN(2)*POWER((C14-'Inputs'!$F$6)/D14,E14))))</x:f>
        <x:v>0.0006893409004211648</x:v>
      </x:c>
      <x:c r="H14" s="98" t="n">
        <x:f>ABS(G14-F14)</x:f>
        <x:v>0</x:v>
      </x:c>
      <x:c r="I14" s="98" t="n">
        <x:v>1e-12</x:v>
      </x:c>
      <x:c r="J14" s="20" t="str">
        <x:f>IF(H14&lt;=I14,"PASS","FAIL")</x:f>
        <x:v>PASS</x:v>
      </x:c>
      <x:c r="K14" s="20" t="str">
        <x:v>supported</x:v>
      </x:c>
    </x:row>
    <x:row r="15" ht="15" hidden="0" customHeight="1">
      <x:c r="A15" s="20" t="str">
        <x:v>TCWW_JAIMES_2P5MW_80M_SCREENING_V160</x:v>
      </x:c>
      <x:c r="B15" s="20" t="str">
        <x:v>TCWW_JAIMES_GENERIC_2P5MW_HH80_V1</x:v>
      </x:c>
      <x:c r="C15" s="98" t="n">
        <x:v>160</x:v>
      </x:c>
      <x:c r="D15" s="98" t="n">
        <x:f>'Inputs'!$G$6</x:f>
        <x:v>82.52</x:v>
      </x:c>
      <x:c r="E15" s="98" t="n">
        <x:f>'Inputs'!$H$6</x:f>
        <x:v>4.54</x:v>
      </x:c>
      <x:c r="F15" s="98" t="n">
        <x:v>0.2799188381327462</x:v>
      </x:c>
      <x:c r="G15" s="98" t="n">
        <x:f>IF(C15&lt;='Inputs'!$F$6,0,'Inputs'!$L$6*(1-EXP(-LN(2)*POWER((C15-'Inputs'!$F$6)/D15,E15))))</x:f>
        <x:v>0.2799188381327462</x:v>
      </x:c>
      <x:c r="H15" s="98" t="n">
        <x:f>ABS(G15-F15)</x:f>
        <x:v>0</x:v>
      </x:c>
      <x:c r="I15" s="98" t="n">
        <x:v>1e-12</x:v>
      </x:c>
      <x:c r="J15" s="20" t="str">
        <x:f>IF(H15&lt;=I15,"PASS","FAIL")</x:f>
        <x:v>PASS</x:v>
      </x:c>
      <x:c r="K15" s="20" t="str">
        <x:v>supported</x:v>
      </x:c>
    </x:row>
    <x:row r="16" ht="15" hidden="0" customHeight="1">
      <x:c r="A16" s="20" t="str">
        <x:v>TCWW_JAIMES_2P5MW_80M_SCREENING_V180</x:v>
      </x:c>
      <x:c r="B16" s="20" t="str">
        <x:v>TCWW_JAIMES_GENERIC_2P5MW_HH80_V1</x:v>
      </x:c>
      <x:c r="C16" s="98" t="n">
        <x:v>180</x:v>
      </x:c>
      <x:c r="D16" s="98" t="n">
        <x:f>'Inputs'!$G$6</x:f>
        <x:v>82.52</x:v>
      </x:c>
      <x:c r="E16" s="98" t="n">
        <x:f>'Inputs'!$H$6</x:f>
        <x:v>4.54</x:v>
      </x:c>
      <x:c r="F16" s="98" t="n">
        <x:v>0.6422059000083215</x:v>
      </x:c>
      <x:c r="G16" s="98" t="n">
        <x:f>IF(C16&lt;='Inputs'!$F$6,0,'Inputs'!$L$6*(1-EXP(-LN(2)*POWER((C16-'Inputs'!$F$6)/D16,E16))))</x:f>
        <x:v>0.6422059000083215</x:v>
      </x:c>
      <x:c r="H16" s="98" t="n">
        <x:f>ABS(G16-F16)</x:f>
        <x:v>0</x:v>
      </x:c>
      <x:c r="I16" s="98" t="n">
        <x:v>1e-12</x:v>
      </x:c>
      <x:c r="J16" s="20" t="str">
        <x:f>IF(H16&lt;=I16,"PASS","FAIL")</x:f>
        <x:v>PASS</x:v>
      </x:c>
      <x:c r="K16" s="20" t="str">
        <x:v>supported</x:v>
      </x:c>
    </x:row>
    <x:row r="17" ht="15" hidden="0" customHeight="1">
      <x:c r="A17" s="20" t="str">
        <x:v>TCWW_JAIMES_2P5MW_80M_SCREENING_V200</x:v>
      </x:c>
      <x:c r="B17" s="20" t="str">
        <x:v>TCWW_JAIMES_GENERIC_2P5MW_HH80_V1</x:v>
      </x:c>
      <x:c r="C17" s="98" t="n">
        <x:v>200</x:v>
      </x:c>
      <x:c r="D17" s="98" t="n">
        <x:f>'Inputs'!$G$6</x:f>
        <x:v>82.52</x:v>
      </x:c>
      <x:c r="E17" s="98" t="n">
        <x:f>'Inputs'!$H$6</x:f>
        <x:v>4.54</x:v>
      </x:c>
      <x:c r="F17" s="98" t="n">
        <x:v>0.9223893252796812</x:v>
      </x:c>
      <x:c r="G17" s="98" t="n">
        <x:f>IF(C17&lt;='Inputs'!$F$6,0,'Inputs'!$L$6*(1-EXP(-LN(2)*POWER((C17-'Inputs'!$F$6)/D17,E17))))</x:f>
        <x:v>0.9223893252796812</x:v>
      </x:c>
      <x:c r="H17" s="98" t="n">
        <x:f>ABS(G17-F17)</x:f>
        <x:v>0</x:v>
      </x:c>
      <x:c r="I17" s="98" t="n">
        <x:v>1e-12</x:v>
      </x:c>
      <x:c r="J17" s="20" t="str">
        <x:f>IF(H17&lt;=I17,"PASS","FAIL")</x:f>
        <x:v>PASS</x:v>
      </x:c>
      <x:c r="K17" s="20" t="str">
        <x:v>supported</x:v>
      </x:c>
    </x:row>
    <x:row r="18" ht="15" hidden="0" customHeight="1">
      <x:c r="A18" s="20" t="str">
        <x:v>TCWW_JAIMES_2P5MW_80M_SCREENING_V220</x:v>
      </x:c>
      <x:c r="B18" s="20" t="str">
        <x:v>TCWW_JAIMES_GENERIC_2P5MW_HH80_V1</x:v>
      </x:c>
      <x:c r="C18" s="98" t="n">
        <x:v>220</x:v>
      </x:c>
      <x:c r="D18" s="98" t="n">
        <x:f>'Inputs'!$G$6</x:f>
        <x:v>82.52</x:v>
      </x:c>
      <x:c r="E18" s="98" t="n">
        <x:f>'Inputs'!$H$6</x:f>
        <x:v>4.54</x:v>
      </x:c>
      <x:c r="F18" s="98" t="n">
        <x:v>0.9957334216400757</x:v>
      </x:c>
      <x:c r="G18" s="98" t="n">
        <x:f>IF(C18&lt;='Inputs'!$F$6,0,'Inputs'!$L$6*(1-EXP(-LN(2)*POWER((C18-'Inputs'!$F$6)/D18,E18))))</x:f>
        <x:v>0.9957334216400757</x:v>
      </x:c>
      <x:c r="H18" s="98" t="n">
        <x:f>ABS(G18-F18)</x:f>
        <x:v>0</x:v>
      </x:c>
      <x:c r="I18" s="98" t="n">
        <x:v>1e-12</x:v>
      </x:c>
      <x:c r="J18" s="20" t="str">
        <x:f>IF(H18&lt;=I18,"PASS","FAIL")</x:f>
        <x:v>PASS</x:v>
      </x:c>
      <x:c r="K18" s="20" t="str">
        <x:v>supported</x:v>
      </x:c>
    </x:row>
    <x:row r="19" ht="15" hidden="0" customHeight="1">
      <x:c r="A19" s="20" t="str">
        <x:v>TCWW_JAIMES_2P5MW_80M_SCREENING_V252</x:v>
      </x:c>
      <x:c r="B19" s="20" t="str">
        <x:v>TCWW_JAIMES_GENERIC_2P5MW_HH80_V1</x:v>
      </x:c>
      <x:c r="C19" s="98" t="n">
        <x:v>252</x:v>
      </x:c>
      <x:c r="D19" s="98" t="n">
        <x:f>'Inputs'!$G$6</x:f>
        <x:v>82.52</x:v>
      </x:c>
      <x:c r="E19" s="98" t="n">
        <x:f>'Inputs'!$H$6</x:f>
        <x:v>4.54</x:v>
      </x:c>
      <x:c r="F19" s="98" t="n">
        <x:v>0.9999996337255346</x:v>
      </x:c>
      <x:c r="G19" s="98" t="n">
        <x:f>IF(C19&lt;='Inputs'!$F$6,0,'Inputs'!$L$6*(1-EXP(-LN(2)*POWER((C19-'Inputs'!$F$6)/D19,E19))))</x:f>
        <x:v>0.9999996337255346</x:v>
      </x:c>
      <x:c r="H19" s="98" t="n">
        <x:f>ABS(G19-F19)</x:f>
        <x:v>0</x:v>
      </x:c>
      <x:c r="I19" s="98" t="n">
        <x:v>1e-12</x:v>
      </x:c>
      <x:c r="J19" s="20" t="str">
        <x:f>IF(H19&lt;=I19,"PASS","FAIL")</x:f>
        <x:v>PASS</x:v>
      </x:c>
      <x:c r="K19" s="20" t="str">
        <x:v>supported</x:v>
      </x:c>
    </x:row>
    <x:row r="20" ht="15" hidden="0" customHeight="1">
      <x:c r="A20" s="20" t="str">
        <x:v>TCWW_JAIMES_2P5MW_80M_SCREENING_ABSOLUTE_D50</x:v>
      </x:c>
      <x:c r="B20" s="20" t="str">
        <x:v>TCWW_JAIMES_GENERIC_2P5MW_HH80_V1</x:v>
      </x:c>
      <x:c r="C20" s="98" t="n">
        <x:v>172.52</x:v>
      </x:c>
      <x:c r="D20" s="98" t="n">
        <x:f>'Inputs'!$G$6</x:f>
        <x:v>82.52</x:v>
      </x:c>
      <x:c r="E20" s="98" t="n">
        <x:f>'Inputs'!$H$6</x:f>
        <x:v>4.54</x:v>
      </x:c>
      <x:c r="F20" s="98" t="n">
        <x:v>0.5</x:v>
      </x:c>
      <x:c r="G20" s="98" t="n">
        <x:f>IF(C20&lt;='Inputs'!$F$6,0,'Inputs'!$L$6*(1-EXP(-LN(2)*POWER((C20-'Inputs'!$F$6)/D20,E20))))</x:f>
        <x:v>0.5000000000000004</x:v>
      </x:c>
      <x:c r="H20" s="98" t="n">
        <x:f>ABS(G20-F20)</x:f>
        <x:v>4.440892098500626e-16</x:v>
      </x:c>
      <x:c r="I20" s="98" t="n">
        <x:v>1e-12</x:v>
      </x:c>
      <x:c r="J20" s="20" t="str">
        <x:f>IF(H20&lt;=I20,"PASS","FAIL")</x:f>
        <x:v>PASS</x:v>
      </x:c>
      <x:c r="K20" s="20" t="str">
        <x:v>supported</x:v>
      </x:c>
    </x:row>
    <x:row r="21" ht="15" hidden="0" customHeight="1">
      <x:c r="A21" s="20" t="str">
        <x:v>TCWW_JAIMES_3P3MW_100M_SCREENING_V90</x:v>
      </x:c>
      <x:c r="B21" s="20" t="str">
        <x:v>TCWW_JAIMES_GENERIC_3P3MW_HH100_V1</x:v>
      </x:c>
      <x:c r="C21" s="98" t="n">
        <x:v>90</x:v>
      </x:c>
      <x:c r="D21" s="98" t="n">
        <x:f>'Inputs'!$G$7</x:f>
        <x:v>73.3</x:v>
      </x:c>
      <x:c r="E21" s="98" t="n">
        <x:f>'Inputs'!$H$7</x:f>
        <x:v>4.99</x:v>
      </x:c>
      <x:c r="F21" s="98" t="n">
        <x:v>0</x:v>
      </x:c>
      <x:c r="G21" s="98" t="n">
        <x:f>IF(C21&lt;='Inputs'!$F$7,0,'Inputs'!$L$7*(1-EXP(-LN(2)*POWER((C21-'Inputs'!$F$7)/D21,E21))))</x:f>
        <x:v>0</x:v>
      </x:c>
      <x:c r="H21" s="98" t="n">
        <x:f>ABS(G21-F21)</x:f>
        <x:v>0</x:v>
      </x:c>
      <x:c r="I21" s="98" t="n">
        <x:v>1e-12</x:v>
      </x:c>
      <x:c r="J21" s="20" t="str">
        <x:f>IF(H21&lt;=I21,"PASS","FAIL")</x:f>
        <x:v>PASS</x:v>
      </x:c>
      <x:c r="K21" s="20" t="str">
        <x:v>supported</x:v>
      </x:c>
    </x:row>
    <x:row r="22" ht="15" hidden="0" customHeight="1">
      <x:c r="A22" s="20" t="str">
        <x:v>TCWW_JAIMES_3P3MW_100M_SCREENING_V108</x:v>
      </x:c>
      <x:c r="B22" s="20" t="str">
        <x:v>TCWW_JAIMES_GENERIC_3P3MW_HH100_V1</x:v>
      </x:c>
      <x:c r="C22" s="98" t="n">
        <x:v>108</x:v>
      </x:c>
      <x:c r="D22" s="98" t="n">
        <x:f>'Inputs'!$G$7</x:f>
        <x:v>73.3</x:v>
      </x:c>
      <x:c r="E22" s="98" t="n">
        <x:f>'Inputs'!$H$7</x:f>
        <x:v>4.99</x:v>
      </x:c>
      <x:c r="F22" s="98" t="n">
        <x:v>0.0006275236923301009</x:v>
      </x:c>
      <x:c r="G22" s="98" t="n">
        <x:f>IF(C22&lt;='Inputs'!$F$7,0,'Inputs'!$L$7*(1-EXP(-LN(2)*POWER((C22-'Inputs'!$F$7)/D22,E22))))</x:f>
        <x:v>0.0006275236923301009</x:v>
      </x:c>
      <x:c r="H22" s="98" t="n">
        <x:f>ABS(G22-F22)</x:f>
        <x:v>0</x:v>
      </x:c>
      <x:c r="I22" s="98" t="n">
        <x:v>1e-12</x:v>
      </x:c>
      <x:c r="J22" s="20" t="str">
        <x:f>IF(H22&lt;=I22,"PASS","FAIL")</x:f>
        <x:v>PASS</x:v>
      </x:c>
      <x:c r="K22" s="20" t="str">
        <x:v>supported</x:v>
      </x:c>
    </x:row>
    <x:row r="23" ht="15" hidden="0" customHeight="1">
      <x:c r="A23" s="20" t="str">
        <x:v>TCWW_JAIMES_3P3MW_100M_SCREENING_V160</x:v>
      </x:c>
      <x:c r="B23" s="20" t="str">
        <x:v>TCWW_JAIMES_GENERIC_3P3MW_HH100_V1</x:v>
      </x:c>
      <x:c r="C23" s="98" t="n">
        <x:v>160</x:v>
      </x:c>
      <x:c r="D23" s="98" t="n">
        <x:f>'Inputs'!$G$7</x:f>
        <x:v>73.3</x:v>
      </x:c>
      <x:c r="E23" s="98" t="n">
        <x:f>'Inputs'!$H$7</x:f>
        <x:v>4.99</x:v>
      </x:c>
      <x:c r="F23" s="98" t="n">
        <x:v>0.4235129655179889</x:v>
      </x:c>
      <x:c r="G23" s="98" t="n">
        <x:f>IF(C23&lt;='Inputs'!$F$7,0,'Inputs'!$L$7*(1-EXP(-LN(2)*POWER((C23-'Inputs'!$F$7)/D23,E23))))</x:f>
        <x:v>0.4235129655179889</x:v>
      </x:c>
      <x:c r="H23" s="98" t="n">
        <x:f>ABS(G23-F23)</x:f>
        <x:v>0</x:v>
      </x:c>
      <x:c r="I23" s="98" t="n">
        <x:v>1e-12</x:v>
      </x:c>
      <x:c r="J23" s="20" t="str">
        <x:f>IF(H23&lt;=I23,"PASS","FAIL")</x:f>
        <x:v>PASS</x:v>
      </x:c>
      <x:c r="K23" s="20" t="str">
        <x:v>supported</x:v>
      </x:c>
    </x:row>
    <x:row r="24" ht="15" hidden="0" customHeight="1">
      <x:c r="A24" s="20" t="str">
        <x:v>TCWW_JAIMES_3P3MW_100M_SCREENING_V180</x:v>
      </x:c>
      <x:c r="B24" s="20" t="str">
        <x:v>TCWW_JAIMES_GENERIC_3P3MW_HH100_V1</x:v>
      </x:c>
      <x:c r="C24" s="98" t="n">
        <x:v>180</x:v>
      </x:c>
      <x:c r="D24" s="98" t="n">
        <x:f>'Inputs'!$G$7</x:f>
        <x:v>73.3</x:v>
      </x:c>
      <x:c r="E24" s="98" t="n">
        <x:f>'Inputs'!$H$7</x:f>
        <x:v>4.99</x:v>
      </x:c>
      <x:c r="F24" s="98" t="n">
        <x:v>0.8548965899961662</x:v>
      </x:c>
      <x:c r="G24" s="98" t="n">
        <x:f>IF(C24&lt;='Inputs'!$F$7,0,'Inputs'!$L$7*(1-EXP(-LN(2)*POWER((C24-'Inputs'!$F$7)/D24,E24))))</x:f>
        <x:v>0.8548965899961662</x:v>
      </x:c>
      <x:c r="H24" s="98" t="n">
        <x:f>ABS(G24-F24)</x:f>
        <x:v>0</x:v>
      </x:c>
      <x:c r="I24" s="98" t="n">
        <x:v>1e-12</x:v>
      </x:c>
      <x:c r="J24" s="20" t="str">
        <x:f>IF(H24&lt;=I24,"PASS","FAIL")</x:f>
        <x:v>PASS</x:v>
      </x:c>
      <x:c r="K24" s="20" t="str">
        <x:v>supported</x:v>
      </x:c>
    </x:row>
    <x:row r="25" ht="15" hidden="0" customHeight="1">
      <x:c r="A25" s="20" t="str">
        <x:v>TCWW_JAIMES_3P3MW_100M_SCREENING_V200</x:v>
      </x:c>
      <x:c r="B25" s="20" t="str">
        <x:v>TCWW_JAIMES_GENERIC_3P3MW_HH100_V1</x:v>
      </x:c>
      <x:c r="C25" s="98" t="n">
        <x:v>200</x:v>
      </x:c>
      <x:c r="D25" s="98" t="n">
        <x:f>'Inputs'!$G$7</x:f>
        <x:v>73.3</x:v>
      </x:c>
      <x:c r="E25" s="98" t="n">
        <x:f>'Inputs'!$H$7</x:f>
        <x:v>4.99</x:v>
      </x:c>
      <x:c r="F25" s="98" t="n">
        <x:v>0.9947744450209641</x:v>
      </x:c>
      <x:c r="G25" s="98" t="n">
        <x:f>IF(C25&lt;='Inputs'!$F$7,0,'Inputs'!$L$7*(1-EXP(-LN(2)*POWER((C25-'Inputs'!$F$7)/D25,E25))))</x:f>
        <x:v>0.9947744450209641</x:v>
      </x:c>
      <x:c r="H25" s="98" t="n">
        <x:f>ABS(G25-F25)</x:f>
        <x:v>0</x:v>
      </x:c>
      <x:c r="I25" s="98" t="n">
        <x:v>1e-12</x:v>
      </x:c>
      <x:c r="J25" s="20" t="str">
        <x:f>IF(H25&lt;=I25,"PASS","FAIL")</x:f>
        <x:v>PASS</x:v>
      </x:c>
      <x:c r="K25" s="20" t="str">
        <x:v>supported</x:v>
      </x:c>
    </x:row>
    <x:row r="26" ht="15" hidden="0" customHeight="1">
      <x:c r="A26" s="20" t="str">
        <x:v>TCWW_JAIMES_3P3MW_100M_SCREENING_V220</x:v>
      </x:c>
      <x:c r="B26" s="20" t="str">
        <x:v>TCWW_JAIMES_GENERIC_3P3MW_HH100_V1</x:v>
      </x:c>
      <x:c r="C26" s="98" t="n">
        <x:v>220</x:v>
      </x:c>
      <x:c r="D26" s="98" t="n">
        <x:f>'Inputs'!$G$7</x:f>
        <x:v>73.3</x:v>
      </x:c>
      <x:c r="E26" s="98" t="n">
        <x:f>'Inputs'!$H$7</x:f>
        <x:v>4.99</x:v>
      </x:c>
      <x:c r="F26" s="98" t="n">
        <x:v>0.9999944014184746</x:v>
      </x:c>
      <x:c r="G26" s="98" t="n">
        <x:f>IF(C26&lt;='Inputs'!$F$7,0,'Inputs'!$L$7*(1-EXP(-LN(2)*POWER((C26-'Inputs'!$F$7)/D26,E26))))</x:f>
        <x:v>0.9999944014184746</x:v>
      </x:c>
      <x:c r="H26" s="98" t="n">
        <x:f>ABS(G26-F26)</x:f>
        <x:v>0</x:v>
      </x:c>
      <x:c r="I26" s="98" t="n">
        <x:v>1e-12</x:v>
      </x:c>
      <x:c r="J26" s="20" t="str">
        <x:f>IF(H26&lt;=I26,"PASS","FAIL")</x:f>
        <x:v>PASS</x:v>
      </x:c>
      <x:c r="K26" s="20" t="str">
        <x:v>supported</x:v>
      </x:c>
    </x:row>
    <x:row r="27" ht="15" hidden="0" customHeight="1">
      <x:c r="A27" s="20" t="str">
        <x:v>TCWW_JAIMES_3P3MW_100M_SCREENING_V252</x:v>
      </x:c>
      <x:c r="B27" s="20" t="str">
        <x:v>TCWW_JAIMES_GENERIC_3P3MW_HH100_V1</x:v>
      </x:c>
      <x:c r="C27" s="98" t="n">
        <x:v>252</x:v>
      </x:c>
      <x:c r="D27" s="98" t="n">
        <x:f>'Inputs'!$G$7</x:f>
        <x:v>73.3</x:v>
      </x:c>
      <x:c r="E27" s="98" t="n">
        <x:f>'Inputs'!$H$7</x:f>
        <x:v>4.99</x:v>
      </x:c>
      <x:c r="F27" s="98" t="n">
        <x:v>0.9999999999999998</x:v>
      </x:c>
      <x:c r="G27" s="98" t="n">
        <x:f>IF(C27&lt;='Inputs'!$F$7,0,'Inputs'!$L$7*(1-EXP(-LN(2)*POWER((C27-'Inputs'!$F$7)/D27,E27))))</x:f>
        <x:v>0.9999999999999998</x:v>
      </x:c>
      <x:c r="H27" s="98" t="n">
        <x:f>ABS(G27-F27)</x:f>
        <x:v>0</x:v>
      </x:c>
      <x:c r="I27" s="98" t="n">
        <x:v>1e-12</x:v>
      </x:c>
      <x:c r="J27" s="20" t="str">
        <x:f>IF(H27&lt;=I27,"PASS","FAIL")</x:f>
        <x:v>PASS</x:v>
      </x:c>
      <x:c r="K27" s="20" t="str">
        <x:v>supported</x:v>
      </x:c>
    </x:row>
    <x:row r="28" ht="15" hidden="0" customHeight="1">
      <x:c r="A28" s="20" t="str">
        <x:v>TCWW_JAIMES_3P3MW_100M_SCREENING_ABSOLUTE_D50</x:v>
      </x:c>
      <x:c r="B28" s="20" t="str">
        <x:v>TCWW_JAIMES_GENERIC_3P3MW_HH100_V1</x:v>
      </x:c>
      <x:c r="C28" s="98" t="n">
        <x:v>163.3</x:v>
      </x:c>
      <x:c r="D28" s="98" t="n">
        <x:f>'Inputs'!$G$7</x:f>
        <x:v>73.3</x:v>
      </x:c>
      <x:c r="E28" s="98" t="n">
        <x:f>'Inputs'!$H$7</x:f>
        <x:v>4.99</x:v>
      </x:c>
      <x:c r="F28" s="98" t="n">
        <x:v>0.5</x:v>
      </x:c>
      <x:c r="G28" s="98" t="n">
        <x:f>IF(C28&lt;='Inputs'!$F$7,0,'Inputs'!$L$7*(1-EXP(-LN(2)*POWER((C28-'Inputs'!$F$7)/D28,E28))))</x:f>
        <x:v>0.5000000000000004</x:v>
      </x:c>
      <x:c r="H28" s="98" t="n">
        <x:f>ABS(G28-F28)</x:f>
        <x:v>4.440892098500626e-16</x:v>
      </x:c>
      <x:c r="I28" s="98" t="n">
        <x:v>1e-12</x:v>
      </x:c>
      <x:c r="J28" s="20" t="str">
        <x:f>IF(H28&lt;=I28,"PASS","FAIL")</x:f>
        <x:v>PASS</x:v>
      </x:c>
      <x:c r="K28" s="20" t="str">
        <x:v>supported</x:v>
      </x:c>
    </x:row>
    <x:row r="29"/>
    <x:row r="30"/>
    <x:row r="31" ht="15" hidden="0" customHeight="1">
      <x:c r="A31" s="95" t="str">
        <x:v>Contract and fail-closed fixtures — human-readable mirror of executable KAT JSON</x:v>
      </x:c>
      <x:c r="B31" s="96"/>
      <x:c r="C31" s="96"/>
      <x:c r="D31" s="96"/>
      <x:c r="E31" s="96"/>
      <x:c r="F31" s="96"/>
      <x:c r="G31" s="96"/>
      <x:c r="H31" s="96"/>
      <x:c r="I31" s="96"/>
      <x:c r="J31" s="96"/>
      <x:c r="K31" s="97"/>
    </x:row>
    <x:row r="32"/>
    <x:row r="33" ht="24" hidden="0" customHeight="1">
      <x:c r="A33" s="84" t="str">
        <x:v>Test ID</x:v>
      </x:c>
      <x:c r="B33" s="84" t="str">
        <x:v>Representative input</x:v>
      </x:c>
      <x:c r="C33" s="84" t="str">
        <x:v>Expected status</x:v>
      </x:c>
      <x:c r="D33" s="84" t="str">
        <x:v>Expected error/reason/flag</x:v>
      </x:c>
      <x:c r="E33" s="84" t="str">
        <x:v>Fixture class</x:v>
      </x:c>
      <x:c r="F33" s="84" t="str">
        <x:v>Mirror status</x:v>
      </x:c>
    </x:row>
    <x:row r="34" ht="21.600000381469727" hidden="0" customHeight="1">
      <x:c r="A34" s="20" t="str">
        <x:v>TCWW1_MISSING_ARCHETYPE</x:v>
      </x:c>
      <x:c r="B34" s="20" t="str">
        <x:v>common valid fields; omission or mutation is named by test ID</x:v>
      </x:c>
      <x:c r="C34" s="20" t="str">
        <x:v>rejected</x:v>
      </x:c>
      <x:c r="D34" s="20" t="str">
        <x:v>TURBINE_ARCHETYPE_REQUIRED</x:v>
      </x:c>
      <x:c r="E34" s="20" t="str">
        <x:v>contract / fail-closed</x:v>
      </x:c>
      <x:c r="F34" s="20" t="str">
        <x:f>IF(A34&lt;&gt;"","PRESENT","MISSING")</x:f>
        <x:v>PRESENT</x:v>
      </x:c>
    </x:row>
    <x:row r="35" ht="21.600000381469727" hidden="0" customHeight="1">
      <x:c r="A35" s="20" t="str">
        <x:v>TCWW1_UNKNOWN_ARCHETYPE</x:v>
      </x:c>
      <x:c r="B35" s="20" t="str">
        <x:v>turbine_archetype_id="GENERIC_MODERN_5MW"</x:v>
      </x:c>
      <x:c r="C35" s="20" t="str">
        <x:v>rejected</x:v>
      </x:c>
      <x:c r="D35" s="20" t="str">
        <x:v>TURBINE_ARCHETYPE_UNSUPPORTED</x:v>
      </x:c>
      <x:c r="E35" s="20" t="str">
        <x:v>contract / fail-closed</x:v>
      </x:c>
      <x:c r="F35" s="20" t="str">
        <x:f>IF(A35&lt;&gt;"","PRESENT","MISSING")</x:f>
        <x:v>PRESENT</x:v>
      </x:c>
    </x:row>
    <x:row r="36" ht="21.600000381469727" hidden="0" customHeight="1">
      <x:c r="A36" s="20" t="str">
        <x:v>TCWW1_NEAREST_NEIGHBOR_PROHIBITED</x:v>
      </x:c>
      <x:c r="B36" s="20" t="str">
        <x:v>turbine_archetype_id="TCWW_NEAREST_FROM_4MW"</x:v>
      </x:c>
      <x:c r="C36" s="20" t="str">
        <x:v>rejected</x:v>
      </x:c>
      <x:c r="D36" s="20" t="str">
        <x:v>TURBINE_ARCHETYPE_UNSUPPORTED</x:v>
      </x:c>
      <x:c r="E36" s="20" t="str">
        <x:v>contract / fail-closed</x:v>
      </x:c>
      <x:c r="F36" s="20" t="str">
        <x:f>IF(A36&lt;&gt;"","PRESENT","MISSING")</x:f>
        <x:v>PRESENT</x:v>
      </x:c>
    </x:row>
    <x:row r="37" ht="21.600000381469727" hidden="0" customHeight="1">
      <x:c r="A37" s="20" t="str">
        <x:v>TCWW1_MISSING_SOURCE_ASSUMPTION_ACK</x:v>
      </x:c>
      <x:c r="B37" s="20" t="str">
        <x:v>common valid fields; omission or mutation is named by test ID</x:v>
      </x:c>
      <x:c r="C37" s="20" t="str">
        <x:v>rejected</x:v>
      </x:c>
      <x:c r="D37" s="20" t="str">
        <x:v>SOURCE_MODEL_ASSUMPTION_SET_REQUIRED</x:v>
      </x:c>
      <x:c r="E37" s="20" t="str">
        <x:v>contract / fail-closed</x:v>
      </x:c>
      <x:c r="F37" s="20" t="str">
        <x:f>IF(A37&lt;&gt;"","PRESENT","MISSING")</x:f>
        <x:v>PRESENT</x:v>
      </x:c>
    </x:row>
    <x:row r="38" ht="32.400001525878906" hidden="0" customHeight="1">
      <x:c r="A38" s="20" t="str">
        <x:v>TCWW1_WRONG_SOURCE_ASSUMPTION_ACK</x:v>
      </x:c>
      <x:c r="B38" s="20" t="str">
        <x:v>source_model_assumption_set_id="HEALTHY_ACTIVE_YAW"</x:v>
      </x:c>
      <x:c r="C38" s="20" t="str">
        <x:v>rejected</x:v>
      </x:c>
      <x:c r="D38" s="20" t="str">
        <x:v>SOURCE_MODEL_ASSUMPTION_SET_UNSUPPORTED</x:v>
      </x:c>
      <x:c r="E38" s="20" t="str">
        <x:v>contract / fail-closed</x:v>
      </x:c>
      <x:c r="F38" s="20" t="str">
        <x:f>IF(A38&lt;&gt;"","PRESENT","MISSING")</x:f>
        <x:v>PRESENT</x:v>
      </x:c>
    </x:row>
    <x:row r="39" ht="21.600000381469727" hidden="0" customHeight="1">
      <x:c r="A39" s="20" t="str">
        <x:v>TCWW1_CATEGORY_NOT_AXIS</x:v>
      </x:c>
      <x:c r="B39" s="20" t="str">
        <x:v>saffir_simpson_category=4</x:v>
      </x:c>
      <x:c r="C39" s="20" t="str">
        <x:v>rejected</x:v>
      </x:c>
      <x:c r="D39" s="20" t="str">
        <x:v>TC_SOURCE_NATIVE_AXIS_REQUIRED</x:v>
      </x:c>
      <x:c r="E39" s="20" t="str">
        <x:v>contract / fail-closed</x:v>
      </x:c>
      <x:c r="F39" s="20" t="str">
        <x:f>IF(A39&lt;&gt;"","PRESENT","MISSING")</x:f>
        <x:v>PRESENT</x:v>
      </x:c>
    </x:row>
    <x:row r="40" ht="21.600000381469727" hidden="0" customHeight="1">
      <x:c r="A40" s="20" t="str">
        <x:v>TCWW1_NHC_1MIN_NOT_AXIS</x:v>
      </x:c>
      <x:c r="B40" s="20" t="str">
        <x:v>nhc_maximum_sustained_surface_wind_mps=60</x:v>
      </x:c>
      <x:c r="C40" s="20" t="str">
        <x:v>rejected</x:v>
      </x:c>
      <x:c r="D40" s="20" t="str">
        <x:v>TC_SOURCE_NATIVE_AXIS_REQUIRED</x:v>
      </x:c>
      <x:c r="E40" s="20" t="str">
        <x:v>contract / fail-closed</x:v>
      </x:c>
      <x:c r="F40" s="20" t="str">
        <x:f>IF(A40&lt;&gt;"","PRESENT","MISSING")</x:f>
        <x:v>PRESENT</x:v>
      </x:c>
    </x:row>
    <x:row r="41" ht="21.600000381469727" hidden="0" customHeight="1">
      <x:c r="A41" s="20" t="str">
        <x:v>TCWW1_HUB_WIND_NOT_AXIS</x:v>
      </x:c>
      <x:c r="B41" s="20" t="str">
        <x:v>hub_height_3s_gust_mps=70</x:v>
      </x:c>
      <x:c r="C41" s="20" t="str">
        <x:v>rejected</x:v>
      </x:c>
      <x:c r="D41" s="20" t="str">
        <x:v>TC_SOURCE_NATIVE_AXIS_REQUIRED</x:v>
      </x:c>
      <x:c r="E41" s="20" t="str">
        <x:v>contract / fail-closed</x:v>
      </x:c>
      <x:c r="F41" s="20" t="str">
        <x:f>IF(A41&lt;&gt;"","PRESENT","MISSING")</x:f>
        <x:v>PRESENT</x:v>
      </x:c>
    </x:row>
    <x:row r="42" ht="21.600000381469727" hidden="0" customHeight="1">
      <x:c r="A42" s="20" t="str">
        <x:v>TCWW1_MPS_NOT_IMPLICITLY_CONVERTED</x:v>
      </x:c>
      <x:c r="B42" s="20" t="str">
        <x:v>tc_peak_gust_3s_10m_mps=50</x:v>
      </x:c>
      <x:c r="C42" s="20" t="str">
        <x:v>rejected</x:v>
      </x:c>
      <x:c r="D42" s="20" t="str">
        <x:v>TC_SOURCE_NATIVE_AXIS_REQUIRED</x:v>
      </x:c>
      <x:c r="E42" s="20" t="str">
        <x:v>contract / fail-closed</x:v>
      </x:c>
      <x:c r="F42" s="20" t="str">
        <x:f>IF(A42&lt;&gt;"","PRESENT","MISSING")</x:f>
        <x:v>PRESENT</x:v>
      </x:c>
    </x:row>
    <x:row r="43" ht="21.600000381469727" hidden="0" customHeight="1">
      <x:c r="A43" s="20" t="str">
        <x:v>TCWW1_NEGATIVE_REJECTED</x:v>
      </x:c>
      <x:c r="B43" s="20" t="str">
        <x:v>tc_peak_gust_3s_10m_kmh=-1</x:v>
      </x:c>
      <x:c r="C43" s="20" t="str">
        <x:v>rejected</x:v>
      </x:c>
      <x:c r="D43" s="20" t="str">
        <x:v>AXIS_OUTSIDE_VALID_RANGE</x:v>
      </x:c>
      <x:c r="E43" s="20" t="str">
        <x:v>contract / fail-closed</x:v>
      </x:c>
      <x:c r="F43" s="20" t="str">
        <x:f>IF(A43&lt;&gt;"","PRESENT","MISSING")</x:f>
        <x:v>PRESENT</x:v>
      </x:c>
    </x:row>
    <x:row r="44" ht="21.600000381469727" hidden="0" customHeight="1">
      <x:c r="A44" s="20" t="str">
        <x:v>TCWW1_LOWER_GAP_WITHHELD</x:v>
      </x:c>
      <x:c r="B44" s="20" t="str">
        <x:v>tc_peak_gust_3s_10m_kmh=100</x:v>
      </x:c>
      <x:c r="C44" s="20" t="str">
        <x:v>withheld</x:v>
      </x:c>
      <x:c r="D44" s="20" t="str">
        <x:v>BELOW_SOURCE_SIMULATION_RANGE</x:v>
      </x:c>
      <x:c r="E44" s="20" t="str">
        <x:v>contract / fail-closed</x:v>
      </x:c>
      <x:c r="F44" s="20" t="str">
        <x:f>IF(A44&lt;&gt;"","PRESENT","MISSING")</x:f>
        <x:v>PRESENT</x:v>
      </x:c>
    </x:row>
    <x:row r="45" ht="21.600000381469727" hidden="0" customHeight="1">
      <x:c r="A45" s="20" t="str">
        <x:v>TCWW1_UPPER_EXTRAPOLATION_WITHHELD</x:v>
      </x:c>
      <x:c r="B45" s="20" t="str">
        <x:v>tc_peak_gust_3s_10m_kmh=260</x:v>
      </x:c>
      <x:c r="C45" s="20" t="str">
        <x:v>withheld</x:v>
      </x:c>
      <x:c r="D45" s="20" t="str">
        <x:v>ABOVE_SOURCE_SIMULATION_RANGE</x:v>
      </x:c>
      <x:c r="E45" s="20" t="str">
        <x:v>contract / fail-closed</x:v>
      </x:c>
      <x:c r="F45" s="20" t="str">
        <x:f>IF(A45&lt;&gt;"","PRESENT","MISSING")</x:f>
        <x:v>PRESENT</x:v>
      </x:c>
    </x:row>
    <x:row r="46" ht="32.400001525878906" hidden="0" customHeight="1">
      <x:c r="A46" s="20" t="str">
        <x:v>TCWW1_ZERO_BRANCH_FLAGGED</x:v>
      </x:c>
      <x:c r="B46" s="20" t="str">
        <x:v>tc_peak_gust_3s_10m_kmh=80</x:v>
      </x:c>
      <x:c r="C46" s="20" t="str">
        <x:v>supported</x:v>
      </x:c>
      <x:c r="D46" s="20" t="str">
        <x:v>SOURCE_ASSUMED_NO_DAMAGE_THRESHOLD_NOT_EMPIRICAL</x:v>
      </x:c>
      <x:c r="E46" s="20" t="str">
        <x:v>contract / fail-closed</x:v>
      </x:c>
      <x:c r="F46" s="20" t="str">
        <x:f>IF(A46&lt;&gt;"","PRESENT","MISSING")</x:f>
        <x:v>PRESENT</x:v>
      </x:c>
    </x:row>
    <x:row r="47" ht="15" hidden="0" customHeight="1">
      <x:c r="A47" s="20" t="str">
        <x:v>TCWW1_WRONG_PATHWAY</x:v>
      </x:c>
      <x:c r="B47" s="20" t="str">
        <x:v>pathway_id="straight_line_convective"</x:v>
      </x:c>
      <x:c r="C47" s="20" t="str">
        <x:v>rejected</x:v>
      </x:c>
      <x:c r="D47" s="20" t="str">
        <x:v>PATHWAY_ID_UNKNOWN</x:v>
      </x:c>
      <x:c r="E47" s="20" t="str">
        <x:v>contract / fail-closed</x:v>
      </x:c>
      <x:c r="F47" s="20" t="str">
        <x:f>IF(A47&lt;&gt;"","PRESENT","MISSING")</x:f>
        <x:v>PRESENT</x:v>
      </x:c>
    </x:row>
    <x:row r="48" ht="15" hidden="0" customHeight="1">
      <x:c r="A48" s="20" t="str">
        <x:v>TCWW1_TORNADO_ROUTES_SEPARATELY</x:v>
      </x:c>
      <x:c r="B48" s="20" t="str">
        <x:v>pathway_id="tornado_direct_hit"</x:v>
      </x:c>
      <x:c r="C48" s="20" t="str">
        <x:v>rejected</x:v>
      </x:c>
      <x:c r="D48" s="20" t="str">
        <x:v>PATHWAY_ID_UNKNOWN</x:v>
      </x:c>
      <x:c r="E48" s="20" t="str">
        <x:v>contract / fail-closed</x:v>
      </x:c>
      <x:c r="F48" s="20" t="str">
        <x:f>IF(A48&lt;&gt;"","PRESENT","MISSING")</x:f>
        <x:v>PRESENT</x:v>
      </x:c>
    </x:row>
    <x:row r="49" ht="43.20000076293945" hidden="0" customHeight="1">
      <x:c r="A49" s="20" t="str">
        <x:v>TCWW1_STANDARD_EQUIPMENT_UNIT_WITHHELD</x:v>
      </x:c>
      <x:c r="B49" s="20" t="str">
        <x:v>failure_unit_id="WT_TURBINE_EQUIPMENT_ASSEMBLY"</x:v>
      </x:c>
      <x:c r="C49" s="20" t="str">
        <x:v>withheld</x:v>
      </x:c>
      <x:c r="D49" s="20" t="str">
        <x:v>SOURCE_NATIVE_ATOM_NOT_HARMONIZED_TO_STANDARD_EQUIPMENT_ASSEMBLY</x:v>
      </x:c>
      <x:c r="E49" s="20" t="str">
        <x:v>contract / fail-closed</x:v>
      </x:c>
      <x:c r="F49" s="20" t="str">
        <x:f>IF(A49&lt;&gt;"","PRESENT","MISSING")</x:f>
        <x:v>PRESENT</x:v>
      </x:c>
    </x:row>
    <x:row r="50" ht="21.600000381469727" hidden="0" customHeight="1">
      <x:c r="A50" s="20" t="str">
        <x:v>TCWW1_FOUNDATION_WITHHELD_NOT_ZERO</x:v>
      </x:c>
      <x:c r="B50" s="20" t="str">
        <x:v>failure_unit_id="WT_FOUNDATION"</x:v>
      </x:c>
      <x:c r="C50" s="20" t="str">
        <x:v>withheld</x:v>
      </x:c>
      <x:c r="D50" s="20" t="str">
        <x:v>NO_RUNTIME_CURVE_FOR_PATHWAY_UNIT</x:v>
      </x:c>
      <x:c r="E50" s="20" t="str">
        <x:v>contract / fail-closed</x:v>
      </x:c>
      <x:c r="F50" s="20" t="str">
        <x:f>IF(A50&lt;&gt;"","PRESENT","MISSING")</x:f>
        <x:v>PRESENT</x:v>
      </x:c>
    </x:row>
    <x:row r="51" ht="21.600000381469727" hidden="0" customHeight="1">
      <x:c r="A51" s="20" t="str">
        <x:v>TCWW1_GSU_WITHHELD_FACILITY_GRAIN</x:v>
      </x:c>
      <x:c r="B51" s="20" t="str">
        <x:v>failure_unit_id="WT_GSU_SUBSTATION"; asset_subject_grain="facility_point"</x:v>
      </x:c>
      <x:c r="C51" s="20" t="str">
        <x:v>withheld</x:v>
      </x:c>
      <x:c r="D51" s="20" t="str">
        <x:v>FACILITY_LEVEL_EXPOSURE_REQUIRED</x:v>
      </x:c>
      <x:c r="E51" s="20" t="str">
        <x:v>contract / fail-closed</x:v>
      </x:c>
      <x:c r="F51" s="20" t="str">
        <x:f>IF(A51&lt;&gt;"","PRESENT","MISSING")</x:f>
        <x:v>PRESENT</x:v>
      </x:c>
    </x:row>
    <x:row r="52" ht="32.400001525878906" hidden="0" customHeight="1">
      <x:c r="A52" s="20" t="str">
        <x:v>TCWW1_SCENARIO_LOSS_WITHHELD_WITH_CWER</x:v>
      </x:c>
      <x:c r="B52" s="20" t="str">
        <x:v>value_basis_id="NREL_CWER_2024"; direct_replacement_value_usd=3597000</x:v>
      </x:c>
      <x:c r="C52" s="20" t="str">
        <x:v>supported</x:v>
      </x:c>
      <x:c r="D52" s="20" t="str">
        <x:v>SOURCE_DENOMINATOR_CROSSWALK_NOT_APPROVED</x:v>
      </x:c>
      <x:c r="E52" s="20" t="str">
        <x:v>contract / fail-closed</x:v>
      </x:c>
      <x:c r="F52" s="20" t="str">
        <x:f>IF(A52&lt;&gt;"","PRESENT","MISSING")</x:f>
        <x:v>PRESENT</x:v>
      </x:c>
    </x:row>
    <x:row r="53" ht="32.400001525878906" hidden="0" customHeight="1">
      <x:c r="A53" s="20" t="str">
        <x:v>TCWW1_SOURCE_NATIVE_VALUE_STILL_NONCANONICAL</x:v>
      </x:c>
      <x:c r="B53" s="20" t="str">
        <x:v>value_basis_id="JAIMES_CT_H_SOURCE_NATIVE_REPLACEMENT_PROXY"; direct_replacement_value_usd=5709190.569869134</x:v>
      </x:c>
      <x:c r="C53" s="20" t="str">
        <x:v>supported</x:v>
      </x:c>
      <x:c r="D53" s="20" t="str">
        <x:v>NONCANONICAL_PROPOSAL_NO_SCENARIO_LOSS</x:v>
      </x:c>
      <x:c r="E53" s="20" t="str">
        <x:v>contract / fail-closed</x:v>
      </x:c>
      <x:c r="F53" s="20" t="str">
        <x:f>IF(A53&lt;&gt;"","PRESENT","MISSING")</x:f>
        <x:v>PRESENT</x:v>
      </x:c>
    </x:row>
    <x:row r="54" ht="21.600000381469727" hidden="0" customHeight="1">
      <x:c r="A54" s="20" t="str">
        <x:v>TCWW1_UNKNOWN_CONTROL_STATE_FLAG_ONLY</x:v>
      </x:c>
      <x:c r="B54" s="20" t="str">
        <x:v>actual_operating_control_state="unknown"</x:v>
      </x:c>
      <x:c r="C54" s="20" t="str">
        <x:v>supported</x:v>
      </x:c>
      <x:c r="D54" s="20" t="str">
        <x:v>SOURCE_MODEL_CONTROL_STATE_UNKNOWN</x:v>
      </x:c>
      <x:c r="E54" s="20" t="str">
        <x:v>contract / fail-closed</x:v>
      </x:c>
      <x:c r="F54" s="20" t="str">
        <x:f>IF(A54&lt;&gt;"","PRESENT","MISSING")</x:f>
        <x:v>PRESENT</x:v>
      </x:c>
    </x:row>
    <x:row r="55" ht="21.600000381469727" hidden="0" customHeight="1">
      <x:c r="A55" s="20" t="str">
        <x:v>TCWW1_INCONSISTENT_CONTROL_STATE_WITHHELD</x:v>
      </x:c>
      <x:c r="B55" s="20" t="str">
        <x:v>actual_operating_control_state="known_inconsistent_with_source_assumption"</x:v>
      </x:c>
      <x:c r="C55" s="20" t="str">
        <x:v>withheld</x:v>
      </x:c>
      <x:c r="D55" s="20" t="str">
        <x:v>SOURCE_MODEL_CONTROL_STATE_MISMATCH</x:v>
      </x:c>
      <x:c r="E55" s="20" t="str">
        <x:v>contract / fail-closed</x:v>
      </x:c>
      <x:c r="F55" s="20" t="str">
        <x:f>IF(A55&lt;&gt;"","PRESENT","MISSING")</x:f>
        <x:v>PRESENT</x:v>
      </x:c>
    </x:row>
    <x:row r="56" ht="32.400001525878906" hidden="0" customHeight="1">
      <x:c r="A56" s="20" t="str">
        <x:v>TCWW1_1MW_HEIGHT_DISCREPANCY_FLAG</x:v>
      </x:c>
      <x:c r="B56" s="20" t="str">
        <x:v>turbine_archetype_id="TCWW_JAIMES_GENERIC_1MW_HH44_V1"</x:v>
      </x:c>
      <x:c r="C56" s="20" t="str">
        <x:v>supported</x:v>
      </x:c>
      <x:c r="D56" s="20" t="str">
        <x:v>SOURCE_1MW_HUB_HEIGHT_TABLE_44M_FIGURE_CAPTION_40M</x:v>
      </x:c>
      <x:c r="E56" s="20" t="str">
        <x:v>contract / fail-closed</x:v>
      </x:c>
      <x:c r="F56" s="20" t="str">
        <x:f>IF(A56&lt;&gt;"","PRESENT","MISSING")</x:f>
        <x:v>PRESENT</x:v>
      </x:c>
    </x:row>
  </x:sheetData>
  <x:mergeCells>
    <x:mergeCell ref="A1:K1"/>
    <x:mergeCell ref="A2:K2"/>
    <x:mergeCell ref="A31:K31"/>
  </x:mergeCells>
  <x:conditionalFormatting sqref="F34:F56">
    <x:cfRule type="containsText" dxfId="4" priority="1" operator="containsText" text="PRESENT"/>
  </x:conditionalFormatting>
  <x:conditionalFormatting sqref="J5:J28">
    <x:cfRule type="containsText" dxfId="5" priority="2" operator="containsText" text="PASS"/>
    <x:cfRule type="containsText" dxfId="6" priority="3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50" hidden="0" customWidth="1"/>
    <x:col min="4" max="4" width="16" hidden="0" customWidth="1"/>
    <x:col min="5" max="5" width="50" hidden="0" customWidth="1"/>
    <x:col min="6" max="6" width="28" hidden="0" customWidth="1"/>
    <x:col min="7" max="7" width="28" hidden="0" customWidth="1"/>
    <x:col min="8" max="8" width="24" hidden="0" customWidth="1"/>
    <x:col min="9" max="9" width="32" hidden="0" customWidth="1"/>
    <x:col min="10" max="10" width="24" hidden="0" customWidth="1"/>
    <x:col min="11" max="11" width="28" hidden="0" customWidth="1"/>
    <x:col min="12" max="12" width="58" hidden="0" customWidth="1"/>
    <x:col min="13" max="13" width="58" hidden="0" customWidth="1"/>
    <x:col min="14" max="14" width="58" hidden="0" customWidth="1"/>
    <x:col min="15" max="15" width="28" hidden="0" customWidth="1"/>
    <x:col min="16" max="16" width="22" hidden="0" customWidth="1"/>
    <x:col min="17" max="17" width="60" hidden="0" customWidth="1"/>
  </x:cols>
  <x:sheetData>
    <x:row r="1" ht="44" hidden="0" customHeight="1">
      <x:c r="A1" s="13" t="str">
        <x:v>source_id</x:v>
      </x:c>
      <x:c r="B1" s="13" t="str">
        <x:v>citation</x:v>
      </x:c>
      <x:c r="C1" s="13" t="str">
        <x:v>url</x:v>
      </x:c>
      <x:c r="D1" s="13" t="str">
        <x:v>accessed_on</x:v>
      </x:c>
      <x:c r="E1" s="13" t="str">
        <x:v>exact_locator</x:v>
      </x:c>
      <x:c r="F1" s="13" t="str">
        <x:v>source_type</x:v>
      </x:c>
      <x:c r="G1" s="13" t="str">
        <x:v>source_role</x:v>
      </x:c>
      <x:c r="H1" s="13" t="str">
        <x:v>pathway_ids</x:v>
      </x:c>
      <x:c r="I1" s="13" t="str">
        <x:v>evidence_tier</x:v>
      </x:c>
      <x:c r="J1" s="13" t="str">
        <x:v>target_asset_match</x:v>
      </x:c>
      <x:c r="K1" s="13" t="str">
        <x:v>target_failure_unit_match</x:v>
      </x:c>
      <x:c r="L1" s="13" t="str">
        <x:v>measured_or_modeled_endpoint</x:v>
      </x:c>
      <x:c r="M1" s="13" t="str">
        <x:v>permitted_inference</x:v>
      </x:c>
      <x:c r="N1" s="13" t="str">
        <x:v>prohibited_inference</x:v>
      </x:c>
      <x:c r="O1" s="13" t="str">
        <x:v>decision</x:v>
      </x:c>
      <x:c r="P1" s="13" t="str">
        <x:v>status</x:v>
      </x:c>
      <x:c r="Q1" s="13" t="str">
        <x:v>notes</x:v>
      </x:c>
    </x:row>
    <x:row r="2" ht="15" hidden="0" customHeight="1">
      <x:c r="A2" s="20" t="str">
        <x:v>TCWW-S001</x:v>
      </x:c>
      <x:c r="B2" s="20" t="str">
        <x:v>NOAA/National Hurricane Center, Glossary of NHC Terms, Maximum Sustained Surface Wind.</x:v>
      </x:c>
      <x:c r="C2" s="20" t="str">
        <x:v>https://www.nhc.noaa.gov/aboutgloss.shtml</x:v>
      </x:c>
      <x:c r="D2" s="20" t="str">
        <x:v>2026-07-28</x:v>
      </x:c>
      <x:c r="E2" s="20" t="str">
        <x:v>entry: Maximum Sustained Surface Wind</x:v>
      </x:c>
      <x:c r="F2" s="20" t="str">
        <x:v>government glossary</x:v>
      </x:c>
      <x:c r="G2" s="20" t="str">
        <x:v>axis_boundary</x:v>
      </x:c>
      <x:c r="H2" s="20" t="str">
        <x:v>tropical_cyclone_wind</x:v>
      </x:c>
      <x:c r="I2" s="20" t="str">
        <x:v>T2_public_lab_standard_or_physics</x:v>
      </x:c>
      <x:c r="J2" s="20" t="str">
        <x:v>none</x:v>
      </x:c>
      <x:c r="K2" s="20" t="str">
        <x:v>none</x:v>
      </x:c>
      <x:c r="L2" s="20" t="str">
        <x:v>one-minute average wind at 10 m in unobstructed exposure</x:v>
      </x:c>
      <x:c r="M2" s="20" t="str">
        <x:v>Identify an upstream NHC source object and prove it is not the runtime curve axis.</x:v>
      </x:c>
      <x:c r="N2" s="20" t="str">
        <x:v>Treat NHC sustained wind or category as the Jaimes 3-second-gust input.</x:v>
      </x:c>
      <x:c r="O2" s="20" t="str">
        <x:v>reject_direct_runtime_axis_use</x:v>
      </x:c>
      <x:c r="P2" s="20" t="str">
        <x:v>reviewed</x:v>
      </x:c>
      <x:c r="Q2" s="20" t="str">
        <x:v>A named validated bridge would be a later model change.</x:v>
      </x:c>
    </x:row>
    <x:row r="3" ht="21.600000381469727" hidden="0" customHeight="1">
      <x:c r="A3" s="20" t="str">
        <x:v>TCWW-S002</x:v>
      </x:c>
      <x:c r="B3" s="20" t="str">
        <x:v>International Electrotechnical Commission, IEC 61400-1:2019+AMD1:2025 CSV, Wind energy generation systems - Part 1: Design requirements.</x:v>
      </x:c>
      <x:c r="C3" s="20" t="str">
        <x:v>https://webstore.iec.ch/en/publication/26423</x:v>
      </x:c>
      <x:c r="D3" s="20" t="str">
        <x:v>2026-07-28</x:v>
      </x:c>
      <x:c r="E3" s="20" t="str">
        <x:v>official product page; scope and technical-change summary</x:v>
      </x:c>
      <x:c r="F3" s="20" t="str">
        <x:v>standard</x:v>
      </x:c>
      <x:c r="G3" s="20" t="str">
        <x:v>selector_context</x:v>
      </x:c>
      <x:c r="H3" s="20" t="str">
        <x:v>tropical_cyclone_wind</x:v>
      </x:c>
      <x:c r="I3" s="20" t="str">
        <x:v>T2_public_lab_standard_or_physics</x:v>
      </x:c>
      <x:c r="J3" s="20" t="str">
        <x:v>direct</x:v>
      </x:c>
      <x:c r="K3" s="20" t="str">
        <x:v>partial</x:v>
      </x:c>
      <x:c r="L3" s="20" t="str">
        <x:v>wind-turbine design requirements including TC/high-turbulence treatment</x:v>
      </x:c>
      <x:c r="M3" s="20" t="str">
        <x:v>Carry design lineage as future selector context.</x:v>
      </x:c>
      <x:c r="N3" s="20" t="str">
        <x:v>Treat a design value as a damage threshold or modern-fleet transfer rule.</x:v>
      </x:c>
      <x:c r="O3" s="20" t="str">
        <x:v>adopt_context_only</x:v>
      </x:c>
      <x:c r="P3" s="20" t="str">
        <x:v>reviewed</x:v>
      </x:c>
      <x:c r="Q3" s="20" t="str">
        <x:v>Licensed clauses are not reproduced.</x:v>
      </x:c>
    </x:row>
    <x:row r="4" ht="21.600000381469727" hidden="0" customHeight="1">
      <x:c r="A4" s="20" t="str">
        <x:v>TCWW-S003</x:v>
      </x:c>
      <x:c r="B4" s="20" t="str">
        <x:v>Rose, S.; Jaramillo, P.; Small, M. J.; Grossmann, I.; Apt, J. Quantifying the hurricane risk to offshore wind turbines. PNAS 109(9), 3247-3252 (2012). DOI 10.1073/pnas.1111769109.</x:v>
      </x:c>
      <x:c r="C4" s="20" t="str">
        <x:v>https://pmc.ncbi.nlm.nih.gov/articles/PMC3295275/</x:v>
      </x:c>
      <x:c r="D4" s="20" t="str">
        <x:v>2026-07-28</x:v>
      </x:c>
      <x:c r="E4" s="20" t="str">
        <x:v>Methods Eq. 5 and Table 1</x:v>
      </x:c>
      <x:c r="F4" s="20" t="str">
        <x:v>peer-reviewed paper</x:v>
      </x:c>
      <x:c r="G4" s="20" t="str">
        <x:v>validation_only</x:v>
      </x:c>
      <x:c r="H4" s="20" t="str">
        <x:v>tropical_cyclone_wind</x:v>
      </x:c>
      <x:c r="I4" s="20" t="str">
        <x:v>T3_engineering_proxy_or_adjacent_empirical</x:v>
      </x:c>
      <x:c r="J4" s="20" t="str">
        <x:v>adjacent offshore reference</x:v>
      </x:c>
      <x:c r="K4" s="20" t="str">
        <x:v>tower buckling only</x:v>
      </x:c>
      <x:c r="L4" s="20" t="str">
        <x:v>binary tower-buckling probability under aligned active-yaw and perpendicular non-yaw states</x:v>
      </x:c>
      <x:c r="M4" s="20" t="str">
        <x:v>Demonstrate that yaw/control state can materially change structural response.</x:v>
      </x:c>
      <x:c r="N4" s="20" t="str">
        <x:v>Use as onshore economic DR or convert its axis without a bridge.</x:v>
      </x:c>
      <x:c r="O4" s="20" t="str">
        <x:v>retain_validation_only</x:v>
      </x:c>
      <x:c r="P4" s="20" t="str">
        <x:v>reviewed</x:v>
      </x:c>
      <x:c r="Q4" s="20" t="str">
        <x:v>Not a component-complete or same-axis model.</x:v>
      </x:c>
    </x:row>
    <x:row r="5" ht="32.400001525878906" hidden="0" customHeight="1">
      <x:c r="A5" s="20" t="str">
        <x:v>TCWW-S005</x:v>
      </x:c>
      <x:c r="B5" s="20" t="str">
        <x:v>Jaimes, M. A.; García-Soto, A. D.; Martín del Campo, J. O.; Pozos-Estrada, A. Probabilistic risk assessment on wind turbine towers subjected to cyclone-induced wind loads. Wind Energy 23(3), 528-546 (2020). DOI 10.1002/we.2436.</x:v>
      </x:c>
      <x:c r="C5" s="20" t="str">
        <x:v>https://doi.org/10.1002/we.2436</x:v>
      </x:c>
      <x:c r="D5" s="20" t="str">
        <x:v>2026-07-28</x:v>
      </x:c>
      <x:c r="E5" s="20" t="str">
        <x:v>§§2.3.1-2.3.2 and 3.2-3.3.5; Tables 2-3; Figures 5-6; Eqs. 1 and 11-13</x:v>
      </x:c>
      <x:c r="F5" s="20" t="str">
        <x:v>peer-reviewed paper</x:v>
      </x:c>
      <x:c r="G5" s="20" t="str">
        <x:v>runtime_curve_source</x:v>
      </x:c>
      <x:c r="H5" s="20" t="str">
        <x:v>tropical_cyclone_wind</x:v>
      </x:c>
      <x:c r="I5" s="20" t="str">
        <x:v>T3_engineering_proxy_or_adjacent_empirical</x:v>
      </x:c>
      <x:c r="J5" s="20" t="str">
        <x:v>exact three generic land-based source archetypes</x:v>
      </x:c>
      <x:c r="K5" s="20" t="str">
        <x:v>source-native turbine-tower exposure record</x:v>
      </x:c>
      <x:c r="L5" s="20" t="str">
        <x:v>analytical mean expected repair/replacement DR versus 3-second peak gust at 10 m</x:v>
      </x:c>
      <x:c r="M5" s="20" t="str">
        <x:v>Adopt Eq. 1 for the three exact source selectors as a noncanonical screening v1 proposal with T4 consequence flags.</x:v>
      </x:c>
      <x:c r="N5" s="20" t="str">
        <x:v>Claim modern-fleet transfer, claims calibration, BOP coverage, empirically calibrated spread, or a clean CWER denominator.</x:v>
      </x:c>
      <x:c r="O5" s="20" t="str">
        <x:v>adopt_screening_v1_proposal</x:v>
      </x:c>
      <x:c r="P5" s="20" t="str">
        <x:v>reviewed</x:v>
      </x:c>
      <x:c r="Q5" s="20" t="str">
        <x:v>Structural response is T3; assumed 90 km/h threshold and DS consequences make the composite economic ordinate T4. Source wording mixes turbine tower and total turbine cost.</x:v>
      </x:c>
    </x:row>
    <x:row r="6" ht="21.600000381469727" hidden="0" customHeight="1">
      <x:c r="A6" s="20" t="str">
        <x:v>TCWW-S006</x:v>
      </x:c>
      <x:c r="B6" s="20" t="str">
        <x:v>Electric Power Research Institute. Tropical Cyclone and Tornado Risks to Wind Turbines. Report 3002004460 (2014).</x:v>
      </x:c>
      <x:c r="C6" s="20" t="str">
        <x:v>https://restservice.epri.com/publicdownload/000000003002004460/0/Product</x:v>
      </x:c>
      <x:c r="D6" s="20" t="str">
        <x:v>2026-07-28</x:v>
      </x:c>
      <x:c r="E6" s="20" t="str">
        <x:v>pp. 3-8 to 3-9; pp. 4-1 to 4-2; pp. 6-1 to 6-2</x:v>
      </x:c>
      <x:c r="F6" s="20" t="str">
        <x:v>industry technical report</x:v>
      </x:c>
      <x:c r="G6" s="20" t="str">
        <x:v>evidence_gap</x:v>
      </x:c>
      <x:c r="H6" s="20" t="str">
        <x:v>tropical_cyclone_wind</x:v>
      </x:c>
      <x:c r="I6" s="20" t="str">
        <x:v>T3_engineering_proxy_or_adjacent_empirical</x:v>
      </x:c>
      <x:c r="J6" s="20" t="str">
        <x:v>partial</x:v>
      </x:c>
      <x:c r="K6" s="20" t="str">
        <x:v>partial</x:v>
      </x:c>
      <x:c r="L6" s="20" t="str">
        <x:v>sparse modern-turbine loss record; gust-versus-duration distinction; yaw/grid-loss and damage-function gaps</x:v>
      </x:c>
      <x:c r="M6" s="20" t="str">
        <x:v>Support explicit screening and data-gap labels.</x:v>
      </x:c>
      <x:c r="N6" s="20" t="str">
        <x:v>Supply a numerical DR or transfer rule.</x:v>
      </x:c>
      <x:c r="O6" s="20" t="str">
        <x:v>adopt_boundary_only</x:v>
      </x:c>
      <x:c r="P6" s="20" t="str">
        <x:v>reviewed</x:v>
      </x:c>
      <x:c r="Q6" s="20" t="str">
        <x:v>The report says modern utility-turbine TC records are too limited for a claims-based damage function.</x:v>
      </x:c>
    </x:row>
    <x:row r="7" ht="21.600000381469727" hidden="0" customHeight="1">
      <x:c r="A7" s="20" t="str">
        <x:v>TCWW-S007</x:v>
      </x:c>
      <x:c r="B7" s="20" t="str">
        <x:v>Kapoor, A. et al. Hurricane eyewall winds and structural response of wind turbines. Wind Energy Science 5, 89-104 (2020). DOI 10.5194/wes-5-89-2020.</x:v>
      </x:c>
      <x:c r="C7" s="20" t="str">
        <x:v>https://www.nrel.gov/docs/fy20osti/76101.pdf</x:v>
      </x:c>
      <x:c r="D7" s="20" t="str">
        <x:v>2026-07-28</x:v>
      </x:c>
      <x:c r="E7" s="20" t="str">
        <x:v>sections 2-4; Table 7; Conclusions</x:v>
      </x:c>
      <x:c r="F7" s="20" t="str">
        <x:v>peer-reviewed modeling paper</x:v>
      </x:c>
      <x:c r="G7" s="20" t="str">
        <x:v>mechanism_and_axis_context</x:v>
      </x:c>
      <x:c r="H7" s="20" t="str">
        <x:v>tropical_cyclone_wind</x:v>
      </x:c>
      <x:c r="I7" s="20" t="str">
        <x:v>T2_public_lab_standard_or_physics</x:v>
      </x:c>
      <x:c r="J7" s="20" t="str">
        <x:v>adjacent</x:v>
      </x:c>
      <x:c r="K7" s="20" t="str">
        <x:v>partial</x:v>
      </x:c>
      <x:c r="L7" s="20" t="str">
        <x:v>modeled DTU 10-MW turbine loads under idealized Category-5 eyewall fields including veer and rapid direction change</x:v>
      </x:c>
      <x:c r="M7" s="20" t="str">
        <x:v>Support prohibition on universal NHC/hub/rotor conversion and simple control credits.</x:v>
      </x:c>
      <x:c r="N7" s="20" t="str">
        <x:v>Calibrate Jaimes economic DR or BOP.</x:v>
      </x:c>
      <x:c r="O7" s="20" t="str">
        <x:v>adopt_boundary_only</x:v>
      </x:c>
      <x:c r="P7" s="20" t="str">
        <x:v>reviewed</x:v>
      </x:c>
      <x:c r="Q7" s="20" t="str">
        <x:v>The study isolates atmospheric effects using an onshore turbine version but an offshore hurricane field and no waves.</x:v>
      </x:c>
    </x:row>
    <x:row r="8" ht="21.600000381469727" hidden="0" customHeight="1">
      <x:c r="A8" s="20" t="str">
        <x:v>TCWW-S008</x:v>
      </x:c>
      <x:c r="B8" s="20" t="str">
        <x:v>Chen, X.; Xu, J. Z. Structural failure analysis of wind turbines impacted by super typhoon Usagi. Engineering Failure Analysis 60, 391-404 (2016). DOI 10.1016/j.engfailanal.2015.11.028.</x:v>
      </x:c>
      <x:c r="C8" s="20" t="str">
        <x:v>https://www.sciencedirect.com/science/article/pii/S1350630715301552</x:v>
      </x:c>
      <x:c r="D8" s="20" t="str">
        <x:v>2026-07-28</x:v>
      </x:c>
      <x:c r="E8" s="20" t="str">
        <x:v>Wind farm damage overview; Design wind speed; Conclusions</x:v>
      </x:c>
      <x:c r="F8" s="20" t="str">
        <x:v>peer-reviewed field and structural case study</x:v>
      </x:c>
      <x:c r="G8" s="20" t="str">
        <x:v>case_study_severity</x:v>
      </x:c>
      <x:c r="H8" s="20" t="str">
        <x:v>tropical_cyclone_wind</x:v>
      </x:c>
      <x:c r="I8" s="20" t="str">
        <x:v>T3_engineering_proxy_or_adjacent_empirical</x:v>
      </x:c>
      <x:c r="J8" s="20" t="str">
        <x:v>direct</x:v>
      </x:c>
      <x:c r="K8" s="20" t="str">
        <x:v>partial</x:v>
      </x:c>
      <x:c r="L8" s="20" t="str">
        <x:v>field-observed tower collapse and blade fracture in one 25-turbine coastal farm plus structural analysis of stop position and direction change</x:v>
      </x:c>
      <x:c r="M8" s="20" t="str">
        <x:v>Support material selector/quality and omitted-mode guardrails.</x:v>
      </x:c>
      <x:c r="N8" s="20" t="str">
        <x:v>Fit a transferable DR or cost ratio.</x:v>
      </x:c>
      <x:c r="O8" s="20" t="str">
        <x:v>adopt_with_limits</x:v>
      </x:c>
      <x:c r="P8" s="20" t="str">
        <x:v>reviewed</x:v>
      </x:c>
      <x:c r="Q8" s="20" t="str">
        <x:v>Eight towers collapsed and eleven additional blades failed; not a claims- or field-calibrated curve.</x:v>
      </x:c>
    </x:row>
    <x:row r="9" ht="21.600000381469727" hidden="0" customHeight="1">
      <x:c r="A9" s="20" t="str">
        <x:v>TCWW-S009</x:v>
      </x:c>
      <x:c r="B9" s="20" t="str">
        <x:v>Chou, J.-S.; Tu, W.-T. Failure analysis and risk management of a collapsed large wind turbine tower. Engineering Failure Analysis 18(1), 295-313 (2011). DOI 10.1016/j.engfailanal.2010.09.008.</x:v>
      </x:c>
      <x:c r="C9" s="20" t="str">
        <x:v>https://www.sciencedirect.com/science/article/pii/S1350630710001603</x:v>
      </x:c>
      <x:c r="D9" s="20" t="str">
        <x:v>2026-07-28</x:v>
      </x:c>
      <x:c r="E9" s="20" t="str">
        <x:v>post-disaster inspection and failure analysis</x:v>
      </x:c>
      <x:c r="F9" s="20" t="str">
        <x:v>peer-reviewed forensic paper</x:v>
      </x:c>
      <x:c r="G9" s="20" t="str">
        <x:v>case_study_severity</x:v>
      </x:c>
      <x:c r="H9" s="20" t="str">
        <x:v>tropical_cyclone_wind</x:v>
      </x:c>
      <x:c r="I9" s="20" t="str">
        <x:v>T3_engineering_proxy_or_adjacent_empirical</x:v>
      </x:c>
      <x:c r="J9" s="20" t="str">
        <x:v>direct</x:v>
      </x:c>
      <x:c r="K9" s="20" t="str">
        <x:v>partial</x:v>
      </x:c>
      <x:c r="L9" s="20" t="str">
        <x:v>post-disaster investigation of one Jangmi tower collapse</x:v>
      </x:c>
      <x:c r="M9" s="20" t="str">
        <x:v>Support tower-specific construction/bolt-quality selector relevance.</x:v>
      </x:c>
      <x:c r="N9" s="20" t="str">
        <x:v>Derive a generic wind threshold or economic curve.</x:v>
      </x:c>
      <x:c r="O9" s="20" t="str">
        <x:v>adopt_with_limits</x:v>
      </x:c>
      <x:c r="P9" s="20" t="str">
        <x:v>reviewed</x:v>
      </x:c>
      <x:c r="Q9" s="20" t="str">
        <x:v>Single case, not calibration.</x:v>
      </x:c>
    </x:row>
    <x:row r="10" ht="21.600000381469727" hidden="0" customHeight="1">
      <x:c r="A10" s="20" t="str">
        <x:v>TCWW-S010</x:v>
      </x:c>
      <x:c r="B10" s="20" t="str">
        <x:v>Stehly, T.; Duffy, P.; Mulas Hernando, D. Cost of Wind Energy Review: 2024 Edition. NREL/TP-5000-91775.</x:v>
      </x:c>
      <x:c r="C10" s="20" t="str">
        <x:v>https://www.nrel.gov/docs/fy25osti/91775.pdf</x:v>
      </x:c>
      <x:c r="D10" s="20" t="str">
        <x:v>2026-07-28</x:v>
      </x:c>
      <x:c r="E10" s="20" t="str">
        <x:v>land-based reference capital-cost breakdown; governed Wind_Map rows 2-19</x:v>
      </x:c>
      <x:c r="F10" s="20" t="str">
        <x:v>public-lab technical report</x:v>
      </x:c>
      <x:c r="G10" s="20" t="str">
        <x:v>value_comparison_only</x:v>
      </x:c>
      <x:c r="H10" s="20" t="str">
        <x:v>all_shared</x:v>
      </x:c>
      <x:c r="I10" s="20" t="str">
        <x:v>T2_public_lab_standard_or_physics</x:v>
      </x:c>
      <x:c r="J10" s="20" t="str">
        <x:v>modern generic reference</x:v>
      </x:c>
      <x:c r="K10" s="20" t="str">
        <x:v>component and plant value buckets</x:v>
      </x:c>
      <x:c r="L10" s="20" t="str">
        <x:v>2023 USD/kW reference value ledger</x:v>
      </x:c>
      <x:c r="M10" s="20" t="str">
        <x:v>Compare source denominator with modern governed buckets and keep GSU/collection/civil/support separate.</x:v>
      </x:c>
      <x:c r="N10" s="20" t="str">
        <x:v>Use any CWER bucket as the Jaimes runtime denominator before independent crosswalk approval.</x:v>
      </x:c>
      <x:c r="O10" s="20" t="str">
        <x:v>withhold_runtime_crosswalk</x:v>
      </x:c>
      <x:c r="P10" s="20" t="str">
        <x:v>reviewed</x:v>
      </x:c>
      <x:c r="Q10" s="20" t="str">
        <x:v>1090 equipment; 276 tower; 1623 physical; 1968 installed USD/kW are comparison values only.</x:v>
      </x:c>
    </x:row>
    <x:row r="11" ht="32.400001525878906" hidden="0" customHeight="1">
      <x:c r="A11" s="20" t="str">
        <x:v>TCWW-S014</x:v>
      </x:c>
      <x:c r="B11" s="20" t="str">
        <x:v>Chen, X.; Li, C.; Xu, J. Failure investigation on a coastal wind farm damaged by super typhoon: A forensic engineering study. Journal of Wind Engineering and Industrial Aerodynamics 147, 132-142 (2015). DOI 10.1016/j.jweia.2015.10.007.</x:v>
      </x:c>
      <x:c r="C11" s="20" t="str">
        <x:v>https://doi.org/10.1016/j.jweia.2015.10.007</x:v>
      </x:c>
      <x:c r="D11" s="20" t="str">
        <x:v>2026-07-28</x:v>
      </x:c>
      <x:c r="E11" s="20" t="str">
        <x:v>pp. 132-136; Tables 1-2; event loss and component disposition records</x:v>
      </x:c>
      <x:c r="F11" s="20" t="str">
        <x:v>peer-reviewed forensic paper</x:v>
      </x:c>
      <x:c r="G11" s="20" t="str">
        <x:v>coverage_boundary</x:v>
      </x:c>
      <x:c r="H11" s="20" t="str">
        <x:v>tropical_cyclone_wind</x:v>
      </x:c>
      <x:c r="I11" s="20" t="str">
        <x:v>T3_engineering_proxy_or_adjacent_empirical</x:v>
      </x:c>
      <x:c r="J11" s="20" t="str">
        <x:v>direct</x:v>
      </x:c>
      <x:c r="K11" s="20" t="str">
        <x:v>partial</x:v>
      </x:c>
      <x:c r="L11" s="20" t="str">
        <x:v>blade-only and tower-collapse damage plus farm direct-loss estimates</x:v>
      </x:c>
      <x:c r="M11" s="20" t="str">
        <x:v>Prove omitted blade modes and terminal dependency are material.</x:v>
      </x:c>
      <x:c r="N11" s="20" t="str">
        <x:v>Divide farm costs by a generic denominator or calibrate a source-native curve.</x:v>
      </x:c>
      <x:c r="O11" s="20" t="str">
        <x:v>adopt_with_limits</x:v>
      </x:c>
      <x:c r="P11" s="20" t="str">
        <x:v>reviewed</x:v>
      </x:c>
      <x:c r="Q11" s="20" t="str">
        <x:v>Supports why the Jaimes atom cannot be a complete turbine-equipment curve.</x:v>
      </x:c>
    </x:row>
    <x:row r="12" ht="21.600000381469727" hidden="0" customHeight="1">
      <x:c r="A12" s="20" t="str">
        <x:v>GOVERNANCE_CONTRACT</x:v>
      </x:c>
      <x:c r="B12" s="20" t="str">
        <x:v>Damage Modeling foundations and standards: provenance, cell package, selectors/conditioners/exposure, value linkage, capability, versioning, and pathway separation.</x:v>
      </x:c>
      <x:c r="C12" s="20" t="str">
        <x:v>docs/method/standards/00_index.md</x:v>
      </x:c>
      <x:c r="D12" s="20" t="str">
        <x:v>2026-07-28</x:v>
      </x:c>
      <x:c r="E12" s="20" t="str">
        <x:v>standards 02, 06-10, 17, 20-23 and contracts 20-21</x:v>
      </x:c>
      <x:c r="F12" s="20" t="str">
        <x:v>governance standard</x:v>
      </x:c>
      <x:c r="G12" s="20" t="str">
        <x:v>governance</x:v>
      </x:c>
      <x:c r="H12" s="20" t="str">
        <x:v>all_shared</x:v>
      </x:c>
      <x:c r="I12" s="20" t="str">
        <x:v>T4_placeholder_or_expert_judgment</x:v>
      </x:c>
      <x:c r="J12" s="20" t="str">
        <x:v>not applicable</x:v>
      </x:c>
      <x:c r="K12" s="20" t="str">
        <x:v>all</x:v>
      </x:c>
      <x:c r="L12" s="20" t="str">
        <x:v>withhold-not-caveat and exact pinning requirements</x:v>
      </x:c>
      <x:c r="M12" s="20" t="str">
        <x:v>Define the noncanonical proposal boundary, source-native atom, and promotion gates.</x:v>
      </x:c>
      <x:c r="N12" s="20" t="str">
        <x:v>Override primary evidence or authorize silent defaults.</x:v>
      </x:c>
      <x:c r="O12" s="20" t="str">
        <x:v>adopt</x:v>
      </x:c>
      <x:c r="P12" s="20" t="str">
        <x:v>reviewed</x:v>
      </x:c>
      <x:c r="Q12" s="20" t="str">
        <x:v>Repository-owned governance source.</x:v>
      </x:c>
    </x:row>
    <x:row r="13" ht="21.600000381469727" hidden="0" customHeight="1">
      <x:c r="A13" s="20" t="str">
        <x:v>HAZARD_CONSUMER_AUDIT</x:v>
      </x:c>
      <x:c r="B13" s="20" t="str">
        <x:v>Hazard_modeling TC wind-farm M3 placeholder audit pinned in v0.1 legacy evidence record.</x:v>
      </x:c>
      <x:c r="C13" s="20" t="str">
        <x:v>Hazard_modeling/Notebooks/hurricane/wind_farm/m3_damage/01_damage.py</x:v>
      </x:c>
      <x:c r="D13" s="20" t="str">
        <x:v>2026-07-28</x:v>
      </x:c>
      <x:c r="E13" s="20" t="str">
        <x:v>pinned commit/blob in v0.1 LEGACY_EVIDENCE_INGESTION</x:v>
      </x:c>
      <x:c r="F13" s="20" t="str">
        <x:v>consumer code audit</x:v>
      </x:c>
      <x:c r="G13" s="20" t="str">
        <x:v>legacy_regression</x:v>
      </x:c>
      <x:c r="H13" s="20" t="str">
        <x:v>tropical_cyclone_wind</x:v>
      </x:c>
      <x:c r="I13" s="20" t="str">
        <x:v>T4_placeholder_or_expert_judgment</x:v>
      </x:c>
      <x:c r="J13" s="20" t="str">
        <x:v>consumer placeholder</x:v>
      </x:c>
      <x:c r="K13" s="20" t="str">
        <x:v>none</x:v>
      </x:c>
      <x:c r="L13" s="20" t="str">
        <x:v>hardcoded convective curves and full-TIV shares</x:v>
      </x:c>
      <x:c r="M13" s="20" t="str">
        <x:v>Use as a negative regression fixture for future cutover.</x:v>
      </x:c>
      <x:c r="N13" s="20" t="str">
        <x:v>Treat consumer placeholder as curve evidence or canonical runtime.</x:v>
      </x:c>
      <x:c r="O13" s="20" t="str">
        <x:v>reject_runtime_retain_regression</x:v>
      </x:c>
      <x:c r="P13" s="20" t="str">
        <x:v>reviewed</x:v>
      </x:c>
      <x:c r="Q13" s="20" t="str">
        <x:v>Exact commit and blob remain in the v0.1 legacy audit.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62" hidden="0" customWidth="1"/>
    <x:col min="4" max="4" width="26" hidden="0" customWidth="1"/>
    <x:col min="5" max="5" width="30" hidden="0" customWidth="1"/>
    <x:col min="6" max="6" width="40" hidden="0" customWidth="1"/>
    <x:col min="7" max="7" width="34" hidden="0" customWidth="1"/>
    <x:col min="8" max="8" width="34" hidden="0" customWidth="1"/>
    <x:col min="9" max="9" width="28" hidden="0" customWidth="1"/>
    <x:col min="10" max="10" width="58" hidden="0" customWidth="1"/>
    <x:col min="11" max="11" width="58" hidden="0" customWidth="1"/>
    <x:col min="12" max="12" width="58" hidden="0" customWidth="1"/>
    <x:col min="13" max="13" width="48" hidden="0" customWidth="1"/>
  </x:cols>
  <x:sheetData>
    <x:row r="1" ht="44" hidden="0" customHeight="1">
      <x:c r="A1" s="13" t="str">
        <x:v>claim_id</x:v>
      </x:c>
      <x:c r="B1" s="13" t="str">
        <x:v>pathway_id</x:v>
      </x:c>
      <x:c r="C1" s="13" t="str">
        <x:v>claim_text</x:v>
      </x:c>
      <x:c r="D1" s="13" t="str">
        <x:v>claim_type</x:v>
      </x:c>
      <x:c r="E1" s="13" t="str">
        <x:v>source_ids</x:v>
      </x:c>
      <x:c r="F1" s="13" t="str">
        <x:v>exact_locator</x:v>
      </x:c>
      <x:c r="G1" s="13" t="str">
        <x:v>evidence_tier</x:v>
      </x:c>
      <x:c r="H1" s="13" t="str">
        <x:v>parameter_or_rule</x:v>
      </x:c>
      <x:c r="I1" s="13" t="str">
        <x:v>adoption_status</x:v>
      </x:c>
      <x:c r="J1" s="13" t="str">
        <x:v>permitted_inference</x:v>
      </x:c>
      <x:c r="K1" s="13" t="str">
        <x:v>prohibited_inference</x:v>
      </x:c>
      <x:c r="L1" s="13" t="str">
        <x:v>reasoning</x:v>
      </x:c>
      <x:c r="M1" s="13" t="str">
        <x:v>update_trigger</x:v>
      </x:c>
    </x:row>
    <x:row r="2" ht="21.600000381469727" hidden="0" customHeight="1">
      <x:c r="A2" s="20" t="str">
        <x:v>TCWW-C025</x:v>
      </x:c>
      <x:c r="B2" s="20" t="str">
        <x:v>tropical_cyclone_wind</x:v>
      </x:c>
      <x:c r="C2" s="20" t="str">
        <x:v>Jaimes publishes a bounded mean expected repair/replacement damage-ratio function, not only DS3 collapse fragility.</x:v>
      </x:c>
      <x:c r="D2" s="20" t="str">
        <x:v>direct_observation</x:v>
      </x:c>
      <x:c r="E2" s="20" t="str">
        <x:v>TCWW-S005</x:v>
      </x:c>
      <x:c r="F2" s="20" t="str">
        <x:v>§2.3.2 Eq. 1 and §3.3.5 Figure 6</x:v>
      </x:c>
      <x:c r="G2" s="20" t="str">
        <x:v>T3_engineering_proxy_or_adjacent_empirical</x:v>
      </x:c>
      <x:c r="H2" s="20" t="str">
        <x:v>runtime_curve_family</x:v>
      </x:c>
      <x:c r="I2" s="20" t="str">
        <x:v>adopt_screening_proposal</x:v>
      </x:c>
      <x:c r="J2" s="20" t="str">
        <x:v>Evaluate the exact source family within its governed envelope.</x:v>
      </x:c>
      <x:c r="K2" s="20" t="str">
        <x:v>Call it empirical, claims-calibrated, or component-complete.</x:v>
      </x:c>
      <x:c r="L2" s="20" t="str">
        <x:v>The full text explicitly defines the economic ordinate and fitted continuous functions.</x:v>
      </x:c>
      <x:c r="M2" s="20" t="str">
        <x:v>Author correction or independent reproduction failure.</x:v>
      </x:c>
    </x:row>
    <x:row r="3" ht="15" hidden="0" customHeight="1">
      <x:c r="A3" s="20" t="str">
        <x:v>TCWW-C026</x:v>
      </x:c>
      <x:c r="B3" s="20" t="str">
        <x:v>tropical_cyclone_wind</x:v>
      </x:c>
      <x:c r="C3" s="20" t="str">
        <x:v>Eq. 1 is DR=0 for V&lt;=90 and otherwise 1-exp[-ln(2)*((V-90)/delta_V50)^rho].</x:v>
      </x:c>
      <x:c r="D3" s="20" t="str">
        <x:v>direct_observation</x:v>
      </x:c>
      <x:c r="E3" s="20" t="str">
        <x:v>TCWW-S005</x:v>
      </x:c>
      <x:c r="F3" s="20" t="str">
        <x:v>§2.3.2 Eq. 1; §3.3.5 Figure 6 parameters</x:v>
      </x:c>
      <x:c r="G3" s="20" t="str">
        <x:v>T3_engineering_proxy_or_adjacent_empirical</x:v>
      </x:c>
      <x:c r="H3" s="20" t="str">
        <x:v>thresholded_weibull_expected_damage</x:v>
      </x:c>
      <x:c r="I3" s="20" t="str">
        <x:v>adopt_screening_proposal</x:v>
      </x:c>
      <x:c r="J3" s="20" t="str">
        <x:v>Implement the exact fitted equation.</x:v>
      </x:c>
      <x:c r="K3" s="20" t="str">
        <x:v>Treat delta_V50 as an absolute 50%-damage wind or substitute a logistic.</x:v>
      </x:c>
      <x:c r="L3" s="20" t="str">
        <x:v>The published equation and Figure 6 resolve the typography.</x:v>
      </x:c>
      <x:c r="M3" s="20" t="str">
        <x:v>Author correction or equation-reproduction failure.</x:v>
      </x:c>
    </x:row>
    <x:row r="4" ht="15" hidden="0" customHeight="1">
      <x:c r="A4" s="20" t="str">
        <x:v>TCWW-C027</x:v>
      </x:c>
      <x:c r="B4" s="20" t="str">
        <x:v>tropical_cyclone_wind</x:v>
      </x:c>
      <x:c r="C4" s="20" t="str">
        <x:v>Absolute DR=0.5 occurs at V_zero+delta_V50: 196.77, 172.52, and 163.30 km/h.</x:v>
      </x:c>
      <x:c r="D4" s="20" t="str">
        <x:v>derived_calculation</x:v>
      </x:c>
      <x:c r="E4" s="20" t="str">
        <x:v>TCWW-S005</x:v>
      </x:c>
      <x:c r="F4" s="20" t="str">
        <x:v>Eq. 1 evaluated with Figure 6 parameters</x:v>
      </x:c>
      <x:c r="G4" s="20" t="str">
        <x:v>T3_engineering_proxy_or_adjacent_empirical</x:v>
      </x:c>
      <x:c r="H4" s="20" t="str">
        <x:v>V_at_DR50_kmh</x:v>
      </x:c>
      <x:c r="I4" s="20" t="str">
        <x:v>adopt</x:v>
      </x:c>
      <x:c r="J4" s="20" t="str">
        <x:v>KAT the derived absolute half-damage winds.</x:v>
      </x:c>
      <x:c r="K4" s="20" t="str">
        <x:v>Repeat the paper prose that V50 alone is the absolute wind.</x:v>
      </x:c>
      <x:c r="L4" s="20" t="str">
        <x:v>Substitution into Eq. 1 produces exactly 0.5.</x:v>
      </x:c>
      <x:c r="M4" s="20" t="str">
        <x:v>Equation or parameters change.</x:v>
      </x:c>
    </x:row>
    <x:row r="5" ht="15" hidden="0" customHeight="1">
      <x:c r="A5" s="20" t="str">
        <x:v>TCWW-C028</x:v>
      </x:c>
      <x:c r="B5" s="20" t="str">
        <x:v>tropical_cyclone_wind</x:v>
      </x:c>
      <x:c r="C5" s="20" t="str">
        <x:v>The three exact selectors are 1 MW/44 m/50 m, 2.5 MW/80 m/90 m, and 3.3 MW/100 m/114 m.</x:v>
      </x:c>
      <x:c r="D5" s="20" t="str">
        <x:v>direct_observation</x:v>
      </x:c>
      <x:c r="E5" s="20" t="str">
        <x:v>TCWW-S005</x:v>
      </x:c>
      <x:c r="F5" s="20" t="str">
        <x:v>Table 2</x:v>
      </x:c>
      <x:c r="G5" s="20" t="str">
        <x:v>T3_engineering_proxy_or_adjacent_empirical</x:v>
      </x:c>
      <x:c r="H5" s="20" t="str">
        <x:v>turbine_archetype_id</x:v>
      </x:c>
      <x:c r="I5" s="20" t="str">
        <x:v>adopt_exact_only</x:v>
      </x:c>
      <x:c r="J5" s="20" t="str">
        <x:v>Select only an explicitly named source archetype.</x:v>
      </x:c>
      <x:c r="K5" s="20" t="str">
        <x:v>Interpolate, nearest-match, or transfer to modern turbines.</x:v>
      </x:c>
      <x:c r="L5" s="20" t="str">
        <x:v>The source models are discrete generic templates, not a continuous fleet model.</x:v>
      </x:c>
      <x:c r="M5" s="20" t="str">
        <x:v>Matched modern archetype evidence.</x:v>
      </x:c>
    </x:row>
    <x:row r="6" ht="15" hidden="0" customHeight="1">
      <x:c r="A6" s="20" t="str">
        <x:v>TCWW-C029</x:v>
      </x:c>
      <x:c r="B6" s="20" t="str">
        <x:v>tropical_cyclone_wind</x:v>
      </x:c>
      <x:c r="C6" s="20" t="str">
        <x:v>The 1 MW hub height is 44 m in Table 2/body text but 40 m in figure captions.</x:v>
      </x:c>
      <x:c r="D6" s="20" t="str">
        <x:v>direct_observation</x:v>
      </x:c>
      <x:c r="E6" s="20" t="str">
        <x:v>TCWW-S005</x:v>
      </x:c>
      <x:c r="F6" s="20" t="str">
        <x:v>Table 2 and Figures 5-6 captions</x:v>
      </x:c>
      <x:c r="G6" s="20" t="str">
        <x:v>T3_engineering_proxy_or_adjacent_empirical</x:v>
      </x:c>
      <x:c r="H6" s="20" t="str">
        <x:v>source_height_discrepancy_flag</x:v>
      </x:c>
      <x:c r="I6" s="20" t="str">
        <x:v>adopt_flag</x:v>
      </x:c>
      <x:c r="J6" s="20" t="str">
        <x:v>Use tabulated 44 m while emitting the discrepancy flag.</x:v>
      </x:c>
      <x:c r="K6" s="20" t="str">
        <x:v>Silently normalize the source to 40 m or present it as consistent.</x:v>
      </x:c>
      <x:c r="L6" s="20" t="str">
        <x:v>The tabulated model geometry is the stronger parameter locator.</x:v>
      </x:c>
      <x:c r="M6" s="20" t="str">
        <x:v>Author correction.</x:v>
      </x:c>
    </x:row>
    <x:row r="7" ht="15" hidden="0" customHeight="1">
      <x:c r="A7" s="20" t="str">
        <x:v>TCWW-C030</x:v>
      </x:c>
      <x:c r="B7" s="20" t="str">
        <x:v>tropical_cyclone_wind</x:v>
      </x:c>
      <x:c r="C7" s="20" t="str">
        <x:v>The native x-axis is 3-second peak gust at 10 m in km/h.</x:v>
      </x:c>
      <x:c r="D7" s="20" t="str">
        <x:v>direct_observation</x:v>
      </x:c>
      <x:c r="E7" s="20" t="str">
        <x:v>TCWW-S005</x:v>
      </x:c>
      <x:c r="F7" s="20" t="str">
        <x:v>§2.3.1; Eq. 1 variable definition</x:v>
      </x:c>
      <x:c r="G7" s="20" t="str">
        <x:v>T3_engineering_proxy_or_adjacent_empirical</x:v>
      </x:c>
      <x:c r="H7" s="20" t="str">
        <x:v>tc_peak_gust_3s_10m_kmh</x:v>
      </x:c>
      <x:c r="I7" s="20" t="str">
        <x:v>adopt_exact_only</x:v>
      </x:c>
      <x:c r="J7" s="20" t="str">
        <x:v>Evaluate source-native input only.</x:v>
      </x:c>
      <x:c r="K7" s="20" t="str">
        <x:v>Use NHC one-minute wind, category, hub wind, mph, knots, or m/s without a named bridge.</x:v>
      </x:c>
      <x:c r="L7" s="20" t="str">
        <x:v>Height, averaging period, and unit are explicit.</x:v>
      </x:c>
      <x:c r="M7" s="20" t="str">
        <x:v>Validated bridge approved as a later change.</x:v>
      </x:c>
    </x:row>
    <x:row r="8" ht="21.600000381469727" hidden="0" customHeight="1">
      <x:c r="A8" s="20" t="str">
        <x:v>TCWW-C031</x:v>
      </x:c>
      <x:c r="B8" s="20" t="str">
        <x:v>tropical_cyclone_wind</x:v>
      </x:c>
      <x:c r="C8" s="20" t="str">
        <x:v>The source response simulations span 108-252 km/h; the source equation separately defines a zero branch at V&lt;=90.</x:v>
      </x:c>
      <x:c r="D8" s="20" t="str">
        <x:v>direct_observation</x:v>
      </x:c>
      <x:c r="E8" s="20" t="str">
        <x:v>TCWW-S005</x:v>
      </x:c>
      <x:c r="F8" s="20" t="str">
        <x:v>§3.3.2 and Eq. 1</x:v>
      </x:c>
      <x:c r="G8" s="20" t="str">
        <x:v>T3_engineering_proxy_or_adjacent_empirical</x:v>
      </x:c>
      <x:c r="H8" s="20" t="str">
        <x:v>runtime_range_policy</x:v>
      </x:c>
      <x:c r="I8" s="20" t="str">
        <x:v>adopt_fail_closed</x:v>
      </x:c>
      <x:c r="J8" s="20" t="str">
        <x:v>Support 108-252; return flagged source-assumed zero at V&lt;=90; withhold 90&lt;V&lt;108 and V&gt;252.</x:v>
      </x:c>
      <x:c r="K8" s="20" t="str">
        <x:v>Silently extrapolate the fitted curve outside the simulated range.</x:v>
      </x:c>
      <x:c r="L8" s="20" t="str">
        <x:v>The numerical evidence range and analytic branch must remain distinct.</x:v>
      </x:c>
      <x:c r="M8" s="20" t="str">
        <x:v>Matched evidence expands the supported range.</x:v>
      </x:c>
    </x:row>
    <x:row r="9" ht="21.600000381469727" hidden="0" customHeight="1">
      <x:c r="A9" s="20" t="str">
        <x:v>TCWW-C032</x:v>
      </x:c>
      <x:c r="B9" s="20" t="str">
        <x:v>tropical_cyclone_wind</x:v>
      </x:c>
      <x:c r="C9" s="20" t="str">
        <x:v>The 90 km/h zero-damage threshold is an author assumption tied to typical cut-out speed, not an empirical immunity boundary.</x:v>
      </x:c>
      <x:c r="D9" s="20" t="str">
        <x:v>direct_observation</x:v>
      </x:c>
      <x:c r="E9" s="20" t="str">
        <x:v>TCWW-S005</x:v>
      </x:c>
      <x:c r="F9" s="20" t="str">
        <x:v>§2.3.2 discussion after Eq. 1</x:v>
      </x:c>
      <x:c r="G9" s="20" t="str">
        <x:v>T4_placeholder_or_expert_judgment</x:v>
      </x:c>
      <x:c r="H9" s="20" t="str">
        <x:v>V_zero_kmh</x:v>
      </x:c>
      <x:c r="I9" s="20" t="str">
        <x:v>adopt_with_flag</x:v>
      </x:c>
      <x:c r="J9" s="20" t="str">
        <x:v>Carry SOURCE_ASSUMED_NO_DAMAGE_THRESHOLD_NOT_EMPIRICAL.</x:v>
      </x:c>
      <x:c r="K9" s="20" t="str">
        <x:v>Claim physical immunity below 90 km/h.</x:v>
      </x:c>
      <x:c r="L9" s="20" t="str">
        <x:v>The paper labels the threshold as assumed.</x:v>
      </x:c>
      <x:c r="M9" s="20" t="str">
        <x:v>Matched low-severity observations.</x:v>
      </x:c>
    </x:row>
    <x:row r="10" ht="21.600000381469727" hidden="0" customHeight="1">
      <x:c r="A10" s="20" t="str">
        <x:v>TCWW-C033</x:v>
      </x:c>
      <x:c r="B10" s="20" t="str">
        <x:v>tropical_cyclone_wind</x:v>
      </x:c>
      <x:c r="C10" s="20" t="str">
        <x:v>DS loss ratios are source-author assumptions: 2/43/100%, 4/48/100%, and 5/50/100% for the three classes.</x:v>
      </x:c>
      <x:c r="D10" s="20" t="str">
        <x:v>direct_observation</x:v>
      </x:c>
      <x:c r="E10" s="20" t="str">
        <x:v>TCWW-S005</x:v>
      </x:c>
      <x:c r="F10" s="20" t="str">
        <x:v>§3.3.5 before Eqs. 12-13</x:v>
      </x:c>
      <x:c r="G10" s="20" t="str">
        <x:v>T4_placeholder_or_expert_judgment</x:v>
      </x:c>
      <x:c r="H10" s="20" t="str">
        <x:v>damage_state_consequences</x:v>
      </x:c>
      <x:c r="I10" s="20" t="str">
        <x:v>adopt_as_source_assumption</x:v>
      </x:c>
      <x:c r="J10" s="20" t="str">
        <x:v>Explain the economic screening grade.</x:v>
      </x:c>
      <x:c r="K10" s="20" t="str">
        <x:v>Call consequences claims-derived or inspection-calibrated.</x:v>
      </x:c>
      <x:c r="L10" s="20" t="str">
        <x:v>The authors state matching wind-farm loss data were unavailable.</x:v>
      </x:c>
      <x:c r="M10" s="20" t="str">
        <x:v>Matched disposition and same-unit cost data.</x:v>
      </x:c>
    </x:row>
    <x:row r="11" ht="21.600000381469727" hidden="0" customHeight="1">
      <x:c r="A11" s="20" t="str">
        <x:v>TCWW-C034</x:v>
      </x:c>
      <x:c r="B11" s="20" t="str">
        <x:v>tropical_cyclone_wind</x:v>
      </x:c>
      <x:c r="C11" s="20" t="str">
        <x:v>Eq. 1 is a fitted continuous approximation and must not be replaced by the Eq. 12 state-mixture calculation.</x:v>
      </x:c>
      <x:c r="D11" s="20" t="str">
        <x:v>governance_decision</x:v>
      </x:c>
      <x:c r="E11" s="20" t="str">
        <x:v>TCWW-S005;GOVERNANCE_CONTRACT</x:v>
      </x:c>
      <x:c r="F11" s="20" t="str">
        <x:v>§3.3.5 Eqs. 1 and 12-13; numerical reproduction</x:v>
      </x:c>
      <x:c r="G11" s="20" t="str">
        <x:v>T4_placeholder_or_expert_judgment</x:v>
      </x:c>
      <x:c r="H11" s="20" t="str">
        <x:v>runtime_equation_precedence</x:v>
      </x:c>
      <x:c r="I11" s="20" t="str">
        <x:v>adopt</x:v>
      </x:c>
      <x:c r="J11" s="20" t="str">
        <x:v>Pin one runtime interpretation: the published final Eq. 1 fit.</x:v>
      </x:c>
      <x:c r="K11" s="20" t="str">
        <x:v>Mix KATs or ordinates from Eq. 12 into Eq. 1.</x:v>
      </x:c>
      <x:c r="L11" s="20" t="str">
        <x:v>The two representations are not numerically identical.</x:v>
      </x:c>
      <x:c r="M11" s="20" t="str">
        <x:v>Formal model redesign.</x:v>
      </x:c>
    </x:row>
    <x:row r="12" ht="15" hidden="0" customHeight="1">
      <x:c r="A12" s="20" t="str">
        <x:v>TCWW-C035</x:v>
      </x:c>
      <x:c r="B12" s="20" t="str">
        <x:v>tropical_cyclone_wind</x:v>
      </x:c>
      <x:c r="C12" s="20" t="str">
        <x:v>The paper's denominator wording mixes selected structure, turbine tower, and total turbine cost.</x:v>
      </x:c>
      <x:c r="D12" s="20" t="str">
        <x:v>direct_observation</x:v>
      </x:c>
      <x:c r="E12" s="20" t="str">
        <x:v>TCWW-S005</x:v>
      </x:c>
      <x:c r="F12" s="20" t="str">
        <x:v>§2.3, §3.2 Table 1 footnote, §3.3.5</x:v>
      </x:c>
      <x:c r="G12" s="20" t="str">
        <x:v>T4_placeholder_or_expert_judgment</x:v>
      </x:c>
      <x:c r="H12" s="20" t="str">
        <x:v>source_denominator_scope</x:v>
      </x:c>
      <x:c r="I12" s="20" t="str">
        <x:v>quarantine</x:v>
      </x:c>
      <x:c r="J12" s="20" t="str">
        <x:v>Publish scalar DR only on a source-native atom pending valuation review.</x:v>
      </x:c>
      <x:c r="K12" s="20" t="str">
        <x:v>Map to CWER tower, equipment, physical plant, installed CAPEX, or TIV.</x:v>
      </x:c>
      <x:c r="L12" s="20" t="str">
        <x:v>The source does not provide a clean modern component boundary.</x:v>
      </x:c>
      <x:c r="M12" s="20" t="str">
        <x:v>Independent valuation crosswalk approval.</x:v>
      </x:c>
    </x:row>
    <x:row r="13" ht="21.600000381469727" hidden="0" customHeight="1">
      <x:c r="A13" s="20" t="str">
        <x:v>TCWW-C036</x:v>
      </x:c>
      <x:c r="B13" s="20" t="str">
        <x:v>tropical_cyclone_wind</x:v>
      </x:c>
      <x:c r="C13" s="20" t="str">
        <x:v>The source-native value proxy is Ct(h)=1307.9*h^1.82 USD per turbine/turbine-tower exposure record.</x:v>
      </x:c>
      <x:c r="D13" s="20" t="str">
        <x:v>direct_observation</x:v>
      </x:c>
      <x:c r="E13" s="20" t="str">
        <x:v>TCWW-S005</x:v>
      </x:c>
      <x:c r="F13" s="20" t="str">
        <x:v>§3.2 and Table 1 footnote</x:v>
      </x:c>
      <x:c r="G13" s="20" t="str">
        <x:v>T3_engineering_proxy_or_adjacent_empirical</x:v>
      </x:c>
      <x:c r="H13" s="20" t="str">
        <x:v>JAIMES_CT_H_SOURCE_NATIVE_REPLACEMENT_PROXY</x:v>
      </x:c>
      <x:c r="I13" s="20" t="str">
        <x:v>retain_audit_only</x:v>
      </x:c>
      <x:c r="J13" s="20" t="str">
        <x:v>Reproduce source values for denominator review.</x:v>
      </x:c>
      <x:c r="K13" s="20" t="str">
        <x:v>Treat the proxy as a modern site appraisal or known-vintage CWER value.</x:v>
      </x:c>
      <x:c r="L13" s="20" t="str">
        <x:v>The paper supplies the formula but not a clean current value scope.</x:v>
      </x:c>
      <x:c r="M13" s="20" t="str">
        <x:v>Valuation review or source clarification.</x:v>
      </x:c>
    </x:row>
    <x:row r="14" ht="15" hidden="0" customHeight="1">
      <x:c r="A14" s="20" t="str">
        <x:v>TCWW-C037</x:v>
      </x:c>
      <x:c r="B14" s="20" t="str">
        <x:v>tropical_cyclone_wind</x:v>
      </x:c>
      <x:c r="C14" s="20" t="str">
        <x:v>Jaimes tower states omit independent blade and other turbine-component failure modes.</x:v>
      </x:c>
      <x:c r="D14" s="20" t="str">
        <x:v>direct_observation</x:v>
      </x:c>
      <x:c r="E14" s="20" t="str">
        <x:v>TCWW-S005;TCWW-S008;TCWW-S014</x:v>
      </x:c>
      <x:c r="F14" s="20" t="str">
        <x:v>Jaimes §3.3.3; Chen event damage records</x:v>
      </x:c>
      <x:c r="G14" s="20" t="str">
        <x:v>T3_engineering_proxy_or_adjacent_empirical</x:v>
      </x:c>
      <x:c r="H14" s="20" t="str">
        <x:v>partial_failure_unit_coverage</x:v>
      </x:c>
      <x:c r="I14" s="20" t="str">
        <x:v>adopt_withholding</x:v>
      </x:c>
      <x:c r="J14" s="20" t="str">
        <x:v>Quarantine the curve to WT_JAIMES_TURBINE_TOWER_EXPOSURE_UNIT.</x:v>
      </x:c>
      <x:c r="K14" s="20" t="str">
        <x:v>Call it complete WT_TURBINE_EQUIPMENT_ASSEMBLY vulnerability.</x:v>
      </x:c>
      <x:c r="L14" s="20" t="str">
        <x:v>Field cases show blade failure on surviving towers.</x:v>
      </x:c>
      <x:c r="M14" s="20" t="str">
        <x:v>Component-complete matched evidence.</x:v>
      </x:c>
    </x:row>
    <x:row r="15" ht="21.600000381469727" hidden="0" customHeight="1">
      <x:c r="A15" s="20" t="str">
        <x:v>TCWW-C038</x:v>
      </x:c>
      <x:c r="B15" s="20" t="str">
        <x:v>tropical_cyclone_wind</x:v>
      </x:c>
      <x:c r="C15" s="20" t="str">
        <x:v>Foundation, pad equipment, collection, GSU, controls, civil, and support are withheld rather than zero.</x:v>
      </x:c>
      <x:c r="D15" s="20" t="str">
        <x:v>governance_decision</x:v>
      </x:c>
      <x:c r="E15" s="20" t="str">
        <x:v>TCWW-S008;TCWW-S010;TCWW-S014;GOVERNANCE_CONTRACT</x:v>
      </x:c>
      <x:c r="F15" s="20" t="str">
        <x:v>coverage and value crosswalk review</x:v>
      </x:c>
      <x:c r="G15" s="20" t="str">
        <x:v>T4_placeholder_or_expert_judgment</x:v>
      </x:c>
      <x:c r="H15" s="20" t="str">
        <x:v>failure_unit_coverage</x:v>
      </x:c>
      <x:c r="I15" s="20" t="str">
        <x:v>adopt_fail_closed</x:v>
      </x:c>
      <x:c r="J15" s="20" t="str">
        <x:v>Return null DR and reason codes for uncovered units.</x:v>
      </x:c>
      <x:c r="K15" s="20" t="str">
        <x:v>Turn absent evidence into zero damage.</x:v>
      </x:c>
      <x:c r="L15" s="20" t="str">
        <x:v>Coverage roles require explicit withheld states.</x:v>
      </x:c>
      <x:c r="M15" s="20" t="str">
        <x:v>Unit-specific evidence and approved curves.</x:v>
      </x:c>
    </x:row>
    <x:row r="16" ht="15" hidden="0" customHeight="1">
      <x:c r="A16" s="20" t="str">
        <x:v>TCWW-C039</x:v>
      </x:c>
      <x:c r="B16" s="20" t="str">
        <x:v>tropical_cyclone_wind</x:v>
      </x:c>
      <x:c r="C16" s="20" t="str">
        <x:v>GSU/substation is one facility-level exposure and cannot be repeated by turbine count.</x:v>
      </x:c>
      <x:c r="D16" s="20" t="str">
        <x:v>governance_decision</x:v>
      </x:c>
      <x:c r="E16" s="20" t="str">
        <x:v>TCWW-S010;GOVERNANCE_CONTRACT</x:v>
      </x:c>
      <x:c r="F16" s="20" t="str">
        <x:v>value/exposure and shared-substrate standards</x:v>
      </x:c>
      <x:c r="G16" s="20" t="str">
        <x:v>T4_placeholder_or_expert_judgment</x:v>
      </x:c>
      <x:c r="H16" s="20" t="str">
        <x:v>WT_GSU_SUBSTATION_exposure</x:v>
      </x:c>
      <x:c r="I16" s="20" t="str">
        <x:v>adopt</x:v>
      </x:c>
      <x:c r="J16" s="20" t="str">
        <x:v>Preserve facility grain and a separate pathway-specific response.</x:v>
      </x:c>
      <x:c r="K16" s="20" t="str">
        <x:v>Roll GSU into each turbine or inherit flood/solar ordinates.</x:v>
      </x:c>
      <x:c r="L16" s="20" t="str">
        <x:v>Shared identity does not erase exposure or pathway differences.</x:v>
      </x:c>
      <x:c r="M16" s="20" t="str">
        <x:v>Approved asset registry changes.</x:v>
      </x:c>
    </x:row>
    <x:row r="17" ht="21.600000381469727" hidden="0" customHeight="1">
      <x:c r="A17" s="20" t="str">
        <x:v>TCWW-C040</x:v>
      </x:c>
      <x:c r="B17" s="20" t="str">
        <x:v>tropical_cyclone_wind</x:v>
      </x:c>
      <x:c r="C17" s="20" t="str">
        <x:v>The source model assumes generic fixed-base steel towers and documents an internally inconsistent parked/feathered rotor state with wind parallel to rotor and no yaw.</x:v>
      </x:c>
      <x:c r="D17" s="20" t="str">
        <x:v>direct_observation</x:v>
      </x:c>
      <x:c r="E17" s="20" t="str">
        <x:v>TCWW-S005</x:v>
      </x:c>
      <x:c r="F17" s="20" t="str">
        <x:v>§§3.3.1-3.3.2</x:v>
      </x:c>
      <x:c r="G17" s="20" t="str">
        <x:v>T3_engineering_proxy_or_adjacent_empirical</x:v>
      </x:c>
      <x:c r="H17" s="20" t="str">
        <x:v>source_model_assumption_set_id</x:v>
      </x:c>
      <x:c r="I17" s="20" t="str">
        <x:v>adopt_acknowledgement</x:v>
      </x:c>
      <x:c r="J17" s="20" t="str">
        <x:v>Require an explicit source-state acknowledgement and grant no control credit.</x:v>
      </x:c>
      <x:c r="K17" s="20" t="str">
        <x:v>Label the curve healthy-yaw, failed-yaw, or universally protected.</x:v>
      </x:c>
      <x:c r="L17" s="20" t="str">
        <x:v>The modeled state is load-bearing and internally inconsistent.</x:v>
      </x:c>
      <x:c r="M17" s="20" t="str">
        <x:v>Author clarification or state-specific calibration.</x:v>
      </x:c>
    </x:row>
    <x:row r="18" ht="21.600000381469727" hidden="0" customHeight="1">
      <x:c r="A18" s="20" t="str">
        <x:v>TCWW-C041</x:v>
      </x:c>
      <x:c r="B18" s="20" t="str">
        <x:v>tropical_cyclone_wind</x:v>
      </x:c>
      <x:c r="C18" s="20" t="str">
        <x:v>NHC maximum sustained surface wind is a one-minute average at 10 m and is not interchangeable with the Jaimes 3-second-gust axis.</x:v>
      </x:c>
      <x:c r="D18" s="20" t="str">
        <x:v>direct_observation</x:v>
      </x:c>
      <x:c r="E18" s="20" t="str">
        <x:v>TCWW-S001;TCWW-S005</x:v>
      </x:c>
      <x:c r="F18" s="20" t="str">
        <x:v>NHC glossary and Jaimes §2.3.1</x:v>
      </x:c>
      <x:c r="G18" s="20" t="str">
        <x:v>T2_public_lab_standard_or_physics</x:v>
      </x:c>
      <x:c r="H18" s="20" t="str">
        <x:v>axis_bridge_guardrail</x:v>
      </x:c>
      <x:c r="I18" s="20" t="str">
        <x:v>adopt</x:v>
      </x:c>
      <x:c r="J18" s="20" t="str">
        <x:v>Reject direct NHC input.</x:v>
      </x:c>
      <x:c r="K18" s="20" t="str">
        <x:v>Apply a global gust factor.</x:v>
      </x:c>
      <x:c r="L18" s="20" t="str">
        <x:v>Averaging-period mismatch is explicit.</x:v>
      </x:c>
      <x:c r="M18" s="20" t="str">
        <x:v>Validated bridge approved.</x:v>
      </x:c>
    </x:row>
    <x:row r="19" ht="21.600000381469727" hidden="0" customHeight="1">
      <x:c r="A19" s="20" t="str">
        <x:v>TCWW-C042</x:v>
      </x:c>
      <x:c r="B19" s="20" t="str">
        <x:v>tropical_cyclone_wind</x:v>
      </x:c>
      <x:c r="C19" s="20" t="str">
        <x:v>TC-spawned tornado, rain, debris, flood/surge/scour, lightning/fire, and BI remain separate pathways or stages.</x:v>
      </x:c>
      <x:c r="D19" s="20" t="str">
        <x:v>governance_decision</x:v>
      </x:c>
      <x:c r="E19" s="20" t="str">
        <x:v>TCWW-S006;TCWW-S007;GOVERNANCE_CONTRACT</x:v>
      </x:c>
      <x:c r="F19" s="20" t="str">
        <x:v>scope and pathway standards</x:v>
      </x:c>
      <x:c r="G19" s="20" t="str">
        <x:v>T4_placeholder_or_expert_judgment</x:v>
      </x:c>
      <x:c r="H19" s="20" t="str">
        <x:v>pathway_partition</x:v>
      </x:c>
      <x:c r="I19" s="20" t="str">
        <x:v>adopt</x:v>
      </x:c>
      <x:c r="J19" s="20" t="str">
        <x:v>Preserve event_family_id while routing mechanisms separately.</x:v>
      </x:c>
      <x:c r="K19" s="20" t="str">
        <x:v>Fold all hurricane consequences into this curve or add overlapping coastal wind loss.</x:v>
      </x:c>
      <x:c r="L19" s="20" t="str">
        <x:v>Causal pathways and value charges differ.</x:v>
      </x:c>
      <x:c r="M19" s="20" t="str">
        <x:v>Approved compound-event model.</x:v>
      </x:c>
    </x:row>
    <x:row r="20" ht="21.600000381469727" hidden="0" customHeight="1">
      <x:c r="A20" s="20" t="str">
        <x:v>TCWW-C043</x:v>
      </x:c>
      <x:c r="B20" s="20" t="str">
        <x:v>tropical_cyclone_wind</x:v>
      </x:c>
      <x:c r="C20" s="20" t="str">
        <x:v>The model v1 proposal supports conditional scalar DR only; scenario, whole-plant, EAL, PML, VaR, and TVaR remain withheld.</x:v>
      </x:c>
      <x:c r="D20" s="20" t="str">
        <x:v>governance_decision</x:v>
      </x:c>
      <x:c r="E20" s="20" t="str">
        <x:v>GOVERNANCE_CONTRACT;HAZARD_CONSUMER_AUDIT</x:v>
      </x:c>
      <x:c r="F20" s="20" t="str">
        <x:v>capability v3 and migration review</x:v>
      </x:c>
      <x:c r="G20" s="20" t="str">
        <x:v>T4_placeholder_or_expert_judgment</x:v>
      </x:c>
      <x:c r="H20" s="20" t="str">
        <x:v>partial_capability</x:v>
      </x:c>
      <x:c r="I20" s="20" t="str">
        <x:v>adopt_fail_closed</x:v>
      </x:c>
      <x:c r="J20" s="20" t="str">
        <x:v>Expose a narrow noncanonical screening seam for review.</x:v>
      </x:c>
      <x:c r="K20" s="20" t="str">
        <x:v>Report partial output as full-asset or financial risk.</x:v>
      </x:c>
      <x:c r="L20" s="20" t="str">
        <x:v>Selector, denominator, coverage, and consumer promotion gates remain open.</x:v>
      </x:c>
      <x:c r="M20" s="20" t="str">
        <x:v>All promotion gates pass.</x:v>
      </x:c>
    </x:row>
    <x:row r="21" ht="15" hidden="0" customHeight="1">
      <x:c r="A21" s="20" t="str"/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/>
      <x:c r="L21" s="20" t="str"/>
      <x:c r="M21" s="20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42" hidden="0" customWidth="1"/>
    <x:col min="4" max="4" width="38" hidden="0" customWidth="1"/>
    <x:col min="5" max="5" width="28" hidden="0" customWidth="1"/>
    <x:col min="6" max="6" width="34" hidden="0" customWidth="1"/>
    <x:col min="7" max="7" width="32" hidden="0" customWidth="1"/>
    <x:col min="8" max="8" width="62" hidden="0" customWidth="1"/>
    <x:col min="9" max="9" width="30" hidden="0" customWidth="1"/>
    <x:col min="10" max="10" width="52" hidden="0" customWidth="1"/>
  </x:cols>
  <x:sheetData>
    <x:row r="1" ht="44" hidden="0" customHeight="1">
      <x:c r="A1" s="13" t="str">
        <x:v>parameter</x:v>
      </x:c>
      <x:c r="B1" s="13" t="str">
        <x:v>pathway_id</x:v>
      </x:c>
      <x:c r="C1" s="13" t="str">
        <x:v>curve_id</x:v>
      </x:c>
      <x:c r="D1" s="13" t="str">
        <x:v>value</x:v>
      </x:c>
      <x:c r="E1" s="13" t="str">
        <x:v>param_role</x:v>
      </x:c>
      <x:c r="F1" s="13" t="str">
        <x:v>tier</x:v>
      </x:c>
      <x:c r="G1" s="13" t="str">
        <x:v>source_ids</x:v>
      </x:c>
      <x:c r="H1" s="13" t="str">
        <x:v>reasoning</x:v>
      </x:c>
      <x:c r="I1" s="13" t="str">
        <x:v>status</x:v>
      </x:c>
      <x:c r="J1" s="13" t="str">
        <x:v>update_trigger</x:v>
      </x:c>
    </x:row>
    <x:row r="2" ht="15" hidden="0" customHeight="1">
      <x:c r="A2" s="20" t="str">
        <x:v>TCWW1-P001 | required pathway</x:v>
      </x:c>
      <x:c r="B2" s="20" t="str">
        <x:v>tropical_cyclone_wind</x:v>
      </x:c>
      <x:c r="C2" s="20" t="str">
        <x:v>all</x:v>
      </x:c>
      <x:c r="D2" s="20" t="str">
        <x:v>tropical_cyclone_wind</x:v>
      </x:c>
      <x:c r="E2" s="20" t="str">
        <x:v>axis_bridge</x:v>
      </x:c>
      <x:c r="F2" s="20" t="str">
        <x:v>T4_placeholder_or_expert_judgment</x:v>
      </x:c>
      <x:c r="G2" s="20" t="str">
        <x:v>GOVERNANCE_CONTRACT</x:v>
      </x:c>
      <x:c r="H2" s="20" t="str">
        <x:v>Prevents convective/tornado fallback and compound double count.</x:v>
      </x:c>
      <x:c r="I2" s="20" t="str">
        <x:v>REQUIRED_NO_DEFAULT</x:v>
      </x:c>
      <x:c r="J2" s="20" t="str">
        <x:v>approved pathway redesign</x:v>
      </x:c>
    </x:row>
    <x:row r="3" ht="15" hidden="0" customHeight="1">
      <x:c r="A3" s="20" t="str">
        <x:v>TCWW1-P002 | source-native input field</x:v>
      </x:c>
      <x:c r="B3" s="20" t="str">
        <x:v>tropical_cyclone_wind</x:v>
      </x:c>
      <x:c r="C3" s="20" t="str">
        <x:v>all</x:v>
      </x:c>
      <x:c r="D3" s="20" t="str">
        <x:v>tc_peak_gust_3s_10m_kmh</x:v>
      </x:c>
      <x:c r="E3" s="20" t="str">
        <x:v>axis_bridge</x:v>
      </x:c>
      <x:c r="F3" s="20" t="str">
        <x:v>T3_engineering_proxy_or_adjacent_empirical</x:v>
      </x:c>
      <x:c r="G3" s="20" t="str">
        <x:v>TCWW-S005</x:v>
      </x:c>
      <x:c r="H3" s="20" t="str">
        <x:v>Exact paper axis: 3-second peak gust at 10 m in km/h.</x:v>
      </x:c>
      <x:c r="I3" s="20" t="str">
        <x:v>ADOPT_EXACT_ONLY</x:v>
      </x:c>
      <x:c r="J3" s="20" t="str">
        <x:v>validated bridge approved</x:v>
      </x:c>
    </x:row>
    <x:row r="4" ht="15" hidden="0" customHeight="1">
      <x:c r="A4" s="20" t="str">
        <x:v>TCWW1-P003 | supported simulation lower bound</x:v>
      </x:c>
      <x:c r="B4" s="20" t="str">
        <x:v>tropical_cyclone_wind</x:v>
      </x:c>
      <x:c r="C4" s="20" t="str">
        <x:v>all</x:v>
      </x:c>
      <x:c r="D4" s="20" t="str">
        <x:v>108</x:v>
      </x:c>
      <x:c r="E4" s="20" t="str">
        <x:v>boundary_or_cap</x:v>
      </x:c>
      <x:c r="F4" s="20" t="str">
        <x:v>T3_engineering_proxy_or_adjacent_empirical</x:v>
      </x:c>
      <x:c r="G4" s="20" t="str">
        <x:v>TCWW-S005</x:v>
      </x:c>
      <x:c r="H4" s="20" t="str">
        <x:v>Lowest time-history intensity simulated by the source.</x:v>
      </x:c>
      <x:c r="I4" s="20" t="str">
        <x:v>ADOPT_FAIL_CLOSED</x:v>
      </x:c>
      <x:c r="J4" s="20" t="str">
        <x:v>matched evidence below 108 km/h</x:v>
      </x:c>
    </x:row>
    <x:row r="5" ht="15" hidden="0" customHeight="1">
      <x:c r="A5" s="20" t="str">
        <x:v>TCWW1-P004 | supported simulation upper bound</x:v>
      </x:c>
      <x:c r="B5" s="20" t="str">
        <x:v>tropical_cyclone_wind</x:v>
      </x:c>
      <x:c r="C5" s="20" t="str">
        <x:v>all</x:v>
      </x:c>
      <x:c r="D5" s="20" t="str">
        <x:v>252</x:v>
      </x:c>
      <x:c r="E5" s="20" t="str">
        <x:v>boundary_or_cap</x:v>
      </x:c>
      <x:c r="F5" s="20" t="str">
        <x:v>T3_engineering_proxy_or_adjacent_empirical</x:v>
      </x:c>
      <x:c r="G5" s="20" t="str">
        <x:v>TCWW-S005</x:v>
      </x:c>
      <x:c r="H5" s="20" t="str">
        <x:v>Highest time-history intensity simulated by the source.</x:v>
      </x:c>
      <x:c r="I5" s="20" t="str">
        <x:v>ADOPT_FAIL_CLOSED</x:v>
      </x:c>
      <x:c r="J5" s="20" t="str">
        <x:v>matched evidence above 252 km/h</x:v>
      </x:c>
    </x:row>
    <x:row r="6" ht="15" hidden="0" customHeight="1">
      <x:c r="A6" s="20" t="str">
        <x:v>TCWW1-P005 | source-assumed zero threshold</x:v>
      </x:c>
      <x:c r="B6" s="20" t="str">
        <x:v>tropical_cyclone_wind</x:v>
      </x:c>
      <x:c r="C6" s="20" t="str">
        <x:v>all</x:v>
      </x:c>
      <x:c r="D6" s="20" t="str">
        <x:v>90 km/h</x:v>
      </x:c>
      <x:c r="E6" s="20" t="str">
        <x:v>boundary_or_cap</x:v>
      </x:c>
      <x:c r="F6" s="20" t="str">
        <x:v>T4_placeholder_or_expert_judgment</x:v>
      </x:c>
      <x:c r="G6" s="20" t="str">
        <x:v>TCWW-S005</x:v>
      </x:c>
      <x:c r="H6" s="20" t="str">
        <x:v>Author assumption tied to typical cut-out speed; not empirical immunity.</x:v>
      </x:c>
      <x:c r="I6" s="20" t="str">
        <x:v>ADOPT_WITH_FLAG</x:v>
      </x:c>
      <x:c r="J6" s="20" t="str">
        <x:v>matched low-severity damage observations</x:v>
      </x:c>
    </x:row>
    <x:row r="7" ht="15" hidden="0" customHeight="1">
      <x:c r="A7" s="20" t="str">
        <x:v>TCWW1-P006 | 1MW delta V50</x:v>
      </x:c>
      <x:c r="B7" s="20" t="str">
        <x:v>tropical_cyclone_wind</x:v>
      </x:c>
      <x:c r="C7" s="20" t="str">
        <x:v>TCWW_JAIMES_1MW_44M_SCREENING</x:v>
      </x:c>
      <x:c r="D7" s="20" t="str">
        <x:v>106.77 km/h</x:v>
      </x:c>
      <x:c r="E7" s="20" t="str">
        <x:v>curve_fit_shape</x:v>
      </x:c>
      <x:c r="F7" s="20" t="str">
        <x:v>T3_engineering_proxy_or_adjacent_empirical</x:v>
      </x:c>
      <x:c r="G7" s="20" t="str">
        <x:v>TCWW-S005</x:v>
      </x:c>
      <x:c r="H7" s="20" t="str">
        <x:v>Figure 6 fitted Eq. 1 parameter interpreted as excess above V_zero.</x:v>
      </x:c>
      <x:c r="I7" s="20" t="str">
        <x:v>ADOPT_SCREENING</x:v>
      </x:c>
      <x:c r="J7" s="20" t="str">
        <x:v>author correction or independent reproduction failure</x:v>
      </x:c>
    </x:row>
    <x:row r="8" ht="15" hidden="0" customHeight="1">
      <x:c r="A8" s="20" t="str">
        <x:v>TCWW1-P007 | 1MW rho</x:v>
      </x:c>
      <x:c r="B8" s="20" t="str">
        <x:v>tropical_cyclone_wind</x:v>
      </x:c>
      <x:c r="C8" s="20" t="str">
        <x:v>TCWW_JAIMES_1MW_44M_SCREENING</x:v>
      </x:c>
      <x:c r="D8" s="20" t="str">
        <x:v>8.94</x:v>
      </x:c>
      <x:c r="E8" s="20" t="str">
        <x:v>curve_fit_shape</x:v>
      </x:c>
      <x:c r="F8" s="20" t="str">
        <x:v>T3_engineering_proxy_or_adjacent_empirical</x:v>
      </x:c>
      <x:c r="G8" s="20" t="str">
        <x:v>TCWW-S005</x:v>
      </x:c>
      <x:c r="H8" s="20" t="str">
        <x:v>Figure 6 fitted Eq. 1 shape.</x:v>
      </x:c>
      <x:c r="I8" s="20" t="str">
        <x:v>ADOPT_SCREENING</x:v>
      </x:c>
      <x:c r="J8" s="20" t="str">
        <x:v>author correction or independent reproduction failure</x:v>
      </x:c>
    </x:row>
    <x:row r="9" ht="15" hidden="0" customHeight="1">
      <x:c r="A9" s="20" t="str">
        <x:v>TCWW1-P008 | 1MW absolute D50</x:v>
      </x:c>
      <x:c r="B9" s="20" t="str">
        <x:v>tropical_cyclone_wind</x:v>
      </x:c>
      <x:c r="C9" s="20" t="str">
        <x:v>TCWW_JAIMES_1MW_44M_SCREENING</x:v>
      </x:c>
      <x:c r="D9" s="20" t="str">
        <x:v>196.77 km/h</x:v>
      </x:c>
      <x:c r="E9" s="20" t="str">
        <x:v>curve_fit_shape</x:v>
      </x:c>
      <x:c r="F9" s="20" t="str">
        <x:v>T3_engineering_proxy_or_adjacent_empirical</x:v>
      </x:c>
      <x:c r="G9" s="20" t="str">
        <x:v>TCWW-S005</x:v>
      </x:c>
      <x:c r="H9" s="20" t="str">
        <x:v>Derived as 90+106.77 and KAT-locked.</x:v>
      </x:c>
      <x:c r="I9" s="20" t="str">
        <x:v>DERIVED_CHECK</x:v>
      </x:c>
      <x:c r="J9" s="20" t="str">
        <x:v>source equation changes</x:v>
      </x:c>
    </x:row>
    <x:row r="10" ht="15" hidden="0" customHeight="1">
      <x:c r="A10" s="20" t="str">
        <x:v>TCWW1-P009 | 2.5MW delta V50</x:v>
      </x:c>
      <x:c r="B10" s="20" t="str">
        <x:v>tropical_cyclone_wind</x:v>
      </x:c>
      <x:c r="C10" s="20" t="str">
        <x:v>TCWW_JAIMES_2P5MW_80M_SCREENING</x:v>
      </x:c>
      <x:c r="D10" s="20" t="str">
        <x:v>82.52 km/h</x:v>
      </x:c>
      <x:c r="E10" s="20" t="str">
        <x:v>curve_fit_shape</x:v>
      </x:c>
      <x:c r="F10" s="20" t="str">
        <x:v>T3_engineering_proxy_or_adjacent_empirical</x:v>
      </x:c>
      <x:c r="G10" s="20" t="str">
        <x:v>TCWW-S005</x:v>
      </x:c>
      <x:c r="H10" s="20" t="str">
        <x:v>Figure 6 fitted Eq. 1 parameter interpreted as excess above V_zero.</x:v>
      </x:c>
      <x:c r="I10" s="20" t="str">
        <x:v>ADOPT_SCREENING</x:v>
      </x:c>
      <x:c r="J10" s="20" t="str">
        <x:v>author correction or independent reproduction failure</x:v>
      </x:c>
    </x:row>
    <x:row r="11" ht="15" hidden="0" customHeight="1">
      <x:c r="A11" s="20" t="str">
        <x:v>TCWW1-P010 | 2.5MW rho</x:v>
      </x:c>
      <x:c r="B11" s="20" t="str">
        <x:v>tropical_cyclone_wind</x:v>
      </x:c>
      <x:c r="C11" s="20" t="str">
        <x:v>TCWW_JAIMES_2P5MW_80M_SCREENING</x:v>
      </x:c>
      <x:c r="D11" s="20" t="str">
        <x:v>4.54</x:v>
      </x:c>
      <x:c r="E11" s="20" t="str">
        <x:v>curve_fit_shape</x:v>
      </x:c>
      <x:c r="F11" s="20" t="str">
        <x:v>T3_engineering_proxy_or_adjacent_empirical</x:v>
      </x:c>
      <x:c r="G11" s="20" t="str">
        <x:v>TCWW-S005</x:v>
      </x:c>
      <x:c r="H11" s="20" t="str">
        <x:v>Figure 6 fitted Eq. 1 shape.</x:v>
      </x:c>
      <x:c r="I11" s="20" t="str">
        <x:v>ADOPT_SCREENING</x:v>
      </x:c>
      <x:c r="J11" s="20" t="str">
        <x:v>author correction or independent reproduction failure</x:v>
      </x:c>
    </x:row>
    <x:row r="12" ht="15" hidden="0" customHeight="1">
      <x:c r="A12" s="20" t="str">
        <x:v>TCWW1-P011 | 2.5MW absolute D50</x:v>
      </x:c>
      <x:c r="B12" s="20" t="str">
        <x:v>tropical_cyclone_wind</x:v>
      </x:c>
      <x:c r="C12" s="20" t="str">
        <x:v>TCWW_JAIMES_2P5MW_80M_SCREENING</x:v>
      </x:c>
      <x:c r="D12" s="20" t="str">
        <x:v>172.52 km/h</x:v>
      </x:c>
      <x:c r="E12" s="20" t="str">
        <x:v>curve_fit_shape</x:v>
      </x:c>
      <x:c r="F12" s="20" t="str">
        <x:v>T3_engineering_proxy_or_adjacent_empirical</x:v>
      </x:c>
      <x:c r="G12" s="20" t="str">
        <x:v>TCWW-S005</x:v>
      </x:c>
      <x:c r="H12" s="20" t="str">
        <x:v>Derived as 90+82.52 and KAT-locked.</x:v>
      </x:c>
      <x:c r="I12" s="20" t="str">
        <x:v>DERIVED_CHECK</x:v>
      </x:c>
      <x:c r="J12" s="20" t="str">
        <x:v>source equation changes</x:v>
      </x:c>
    </x:row>
    <x:row r="13" ht="15" hidden="0" customHeight="1">
      <x:c r="A13" s="20" t="str">
        <x:v>TCWW1-P012 | 3.3MW delta V50</x:v>
      </x:c>
      <x:c r="B13" s="20" t="str">
        <x:v>tropical_cyclone_wind</x:v>
      </x:c>
      <x:c r="C13" s="20" t="str">
        <x:v>TCWW_JAIMES_3P3MW_100M_SCREENING</x:v>
      </x:c>
      <x:c r="D13" s="20" t="str">
        <x:v>73.30 km/h</x:v>
      </x:c>
      <x:c r="E13" s="20" t="str">
        <x:v>curve_fit_shape</x:v>
      </x:c>
      <x:c r="F13" s="20" t="str">
        <x:v>T3_engineering_proxy_or_adjacent_empirical</x:v>
      </x:c>
      <x:c r="G13" s="20" t="str">
        <x:v>TCWW-S005</x:v>
      </x:c>
      <x:c r="H13" s="20" t="str">
        <x:v>Figure 6 fitted Eq. 1 parameter interpreted as excess above V_zero.</x:v>
      </x:c>
      <x:c r="I13" s="20" t="str">
        <x:v>ADOPT_SCREENING</x:v>
      </x:c>
      <x:c r="J13" s="20" t="str">
        <x:v>author correction or independent reproduction failure</x:v>
      </x:c>
    </x:row>
    <x:row r="14" ht="15" hidden="0" customHeight="1">
      <x:c r="A14" s="20" t="str">
        <x:v>TCWW1-P013 | 3.3MW rho</x:v>
      </x:c>
      <x:c r="B14" s="20" t="str">
        <x:v>tropical_cyclone_wind</x:v>
      </x:c>
      <x:c r="C14" s="20" t="str">
        <x:v>TCWW_JAIMES_3P3MW_100M_SCREENING</x:v>
      </x:c>
      <x:c r="D14" s="20" t="str">
        <x:v>4.99</x:v>
      </x:c>
      <x:c r="E14" s="20" t="str">
        <x:v>curve_fit_shape</x:v>
      </x:c>
      <x:c r="F14" s="20" t="str">
        <x:v>T3_engineering_proxy_or_adjacent_empirical</x:v>
      </x:c>
      <x:c r="G14" s="20" t="str">
        <x:v>TCWW-S005</x:v>
      </x:c>
      <x:c r="H14" s="20" t="str">
        <x:v>Figure 6 fitted Eq. 1 shape.</x:v>
      </x:c>
      <x:c r="I14" s="20" t="str">
        <x:v>ADOPT_SCREENING</x:v>
      </x:c>
      <x:c r="J14" s="20" t="str">
        <x:v>author correction or independent reproduction failure</x:v>
      </x:c>
    </x:row>
    <x:row r="15" ht="15" hidden="0" customHeight="1">
      <x:c r="A15" s="20" t="str">
        <x:v>TCWW1-P014 | 3.3MW absolute D50</x:v>
      </x:c>
      <x:c r="B15" s="20" t="str">
        <x:v>tropical_cyclone_wind</x:v>
      </x:c>
      <x:c r="C15" s="20" t="str">
        <x:v>TCWW_JAIMES_3P3MW_100M_SCREENING</x:v>
      </x:c>
      <x:c r="D15" s="20" t="str">
        <x:v>163.30 km/h</x:v>
      </x:c>
      <x:c r="E15" s="20" t="str">
        <x:v>curve_fit_shape</x:v>
      </x:c>
      <x:c r="F15" s="20" t="str">
        <x:v>T3_engineering_proxy_or_adjacent_empirical</x:v>
      </x:c>
      <x:c r="G15" s="20" t="str">
        <x:v>TCWW-S005</x:v>
      </x:c>
      <x:c r="H15" s="20" t="str">
        <x:v>Derived as 90+73.30 and KAT-locked.</x:v>
      </x:c>
      <x:c r="I15" s="20" t="str">
        <x:v>DERIVED_CHECK</x:v>
      </x:c>
      <x:c r="J15" s="20" t="str">
        <x:v>source equation changes</x:v>
      </x:c>
    </x:row>
    <x:row r="16" ht="15" hidden="0" customHeight="1">
      <x:c r="A16" s="20" t="str">
        <x:v>TCWW1-P015 | maximum DR</x:v>
      </x:c>
      <x:c r="B16" s="20" t="str">
        <x:v>tropical_cyclone_wind</x:v>
      </x:c>
      <x:c r="C16" s="20" t="str">
        <x:v>all</x:v>
      </x:c>
      <x:c r="D16" s="20" t="str">
        <x:v>1.0</x:v>
      </x:c>
      <x:c r="E16" s="20" t="str">
        <x:v>boundary_or_cap</x:v>
      </x:c>
      <x:c r="F16" s="20" t="str">
        <x:v>T3_engineering_proxy_or_adjacent_empirical</x:v>
      </x:c>
      <x:c r="G16" s="20" t="str">
        <x:v>TCWW-S005</x:v>
      </x:c>
      <x:c r="H16" s="20" t="str">
        <x:v>Bounded asymptote of source Eq. 1; not the rejected legacy 0.65 full-TIV cap.</x:v>
      </x:c>
      <x:c r="I16" s="20" t="str">
        <x:v>ADOPT</x:v>
      </x:c>
      <x:c r="J16" s="20" t="str">
        <x:v>source equation changes</x:v>
      </x:c>
    </x:row>
    <x:row r="17" ht="15" hidden="0" customHeight="1">
      <x:c r="A17" s="20" t="str">
        <x:v>TCWW1-P016 | economic state consequences</x:v>
      </x:c>
      <x:c r="B17" s="20" t="str">
        <x:v>tropical_cyclone_wind</x:v>
      </x:c>
      <x:c r="C17" s="20" t="str">
        <x:v>all</x:v>
      </x:c>
      <x:c r="D17" s="20" t="str">
        <x:v>1MW 2/43/100%; 2.5MW 4/48/100%; 3.3MW 5/50/100%</x:v>
      </x:c>
      <x:c r="E17" s="20" t="str">
        <x:v>open_seam_placeholder</x:v>
      </x:c>
      <x:c r="F17" s="20" t="str">
        <x:v>T4_placeholder_or_expert_judgment</x:v>
      </x:c>
      <x:c r="G17" s="20" t="str">
        <x:v>TCWW-S005</x:v>
      </x:c>
      <x:c r="H17" s="20" t="str">
        <x:v>Author-assumed DS ratios underlying the fitted mean vulnerability.</x:v>
      </x:c>
      <x:c r="I17" s="20" t="str">
        <x:v>ADOPT_SOURCE_ASSUMPTION</x:v>
      </x:c>
      <x:c r="J17" s="20" t="str">
        <x:v>matched claims and same-unit cost calibration</x:v>
      </x:c>
    </x:row>
    <x:row r="18" ht="21.600000381469727" hidden="0" customHeight="1">
      <x:c r="A18" s="20" t="str">
        <x:v>TCWW1-P017 | exact archetype selector</x:v>
      </x:c>
      <x:c r="B18" s="20" t="str">
        <x:v>tropical_cyclone_wind</x:v>
      </x:c>
      <x:c r="C18" s="20" t="str">
        <x:v>all</x:v>
      </x:c>
      <x:c r="D18" s="20" t="str">
        <x:v>three named Jaimes selectors; no default/interpolation/nearest neighbor</x:v>
      </x:c>
      <x:c r="E18" s="20" t="str">
        <x:v>selector_default</x:v>
      </x:c>
      <x:c r="F18" s="20" t="str">
        <x:v>T3_engineering_proxy_or_adjacent_empirical</x:v>
      </x:c>
      <x:c r="G18" s="20" t="str">
        <x:v>TCWW-S005;GOVERNANCE_CONTRACT</x:v>
      </x:c>
      <x:c r="H18" s="20" t="str">
        <x:v>Prevents unsupported modern-fleet transfer.</x:v>
      </x:c>
      <x:c r="I18" s="20" t="str">
        <x:v>REQUIRED_NO_DEFAULT</x:v>
      </x:c>
      <x:c r="J18" s="20" t="str">
        <x:v>matched archetype-specific evidence</x:v>
      </x:c>
    </x:row>
    <x:row r="19" ht="21.600000381469727" hidden="0" customHeight="1">
      <x:c r="A19" s="20" t="str">
        <x:v>TCWW1-P018 | source assumption set</x:v>
      </x:c>
      <x:c r="B19" s="20" t="str">
        <x:v>tropical_cyclone_wind</x:v>
      </x:c>
      <x:c r="C19" s="20" t="str">
        <x:v>all</x:v>
      </x:c>
      <x:c r="D19" s="20" t="str">
        <x:v>JAIMES_2020_GENERIC_FIXED_BASE_STEEL_PARKED_ROTOR_AS_DOCUMENTED</x:v>
      </x:c>
      <x:c r="E19" s="20" t="str">
        <x:v>conditioner_adjustment</x:v>
      </x:c>
      <x:c r="F19" s="20" t="str">
        <x:v>T3_engineering_proxy_or_adjacent_empirical</x:v>
      </x:c>
      <x:c r="G19" s="20" t="str">
        <x:v>TCWW-S005</x:v>
      </x:c>
      <x:c r="H19" s="20" t="str">
        <x:v>Acknowledges source model; no numeric control credit.</x:v>
      </x:c>
      <x:c r="I19" s="20" t="str">
        <x:v>REQUIRED_ACKNOWLEDGEMENT</x:v>
      </x:c>
      <x:c r="J19" s="20" t="str">
        <x:v>author clarification or state-specific evidence</x:v>
      </x:c>
    </x:row>
    <x:row r="20" ht="15" hidden="0" customHeight="1">
      <x:c r="A20" s="20" t="str">
        <x:v>TCWW1-P019 | source-native value proxy</x:v>
      </x:c>
      <x:c r="B20" s="20" t="str">
        <x:v>tropical_cyclone_wind</x:v>
      </x:c>
      <x:c r="C20" s="20" t="str">
        <x:v>all</x:v>
      </x:c>
      <x:c r="D20" s="20" t="str">
        <x:v>Ct(h)=1307.9*h^1.82 USD</x:v>
      </x:c>
      <x:c r="E20" s="20" t="str">
        <x:v>exposure_or_value</x:v>
      </x:c>
      <x:c r="F20" s="20" t="str">
        <x:v>T3_engineering_proxy_or_adjacent_empirical</x:v>
      </x:c>
      <x:c r="G20" s="20" t="str">
        <x:v>TCWW-S005</x:v>
      </x:c>
      <x:c r="H20" s="20" t="str">
        <x:v>Retained only to audit the ambiguous source denominator.</x:v>
      </x:c>
      <x:c r="I20" s="20" t="str">
        <x:v>WITHHOLD_RUNTIME_LOSS</x:v>
      </x:c>
      <x:c r="J20" s="20" t="str">
        <x:v>independent valuation crosswalk approval</x:v>
      </x:c>
    </x:row>
    <x:row r="21" ht="15" hidden="0" customHeight="1">
      <x:c r="A21" s="20" t="str">
        <x:v>TCWW1-P020 | CWER turbine equipment comparison</x:v>
      </x:c>
      <x:c r="B21" s="20" t="str">
        <x:v>all_shared</x:v>
      </x:c>
      <x:c r="C21" s="20" t="str">
        <x:v>none</x:v>
      </x:c>
      <x:c r="D21" s="20" t="str">
        <x:v>1090 2023 USD/kW</x:v>
      </x:c>
      <x:c r="E21" s="20" t="str">
        <x:v>exposure_or_value</x:v>
      </x:c>
      <x:c r="F21" s="20" t="str">
        <x:v>T2_public_lab_standard_or_physics</x:v>
      </x:c>
      <x:c r="G21" s="20" t="str">
        <x:v>TCWW-S010</x:v>
      </x:c>
      <x:c r="H21" s="20" t="str">
        <x:v>Modern reference comparison only; no source-native mapping.</x:v>
      </x:c>
      <x:c r="I21" s="20" t="str">
        <x:v>WITHHOLD_RUNTIME_CROSSWALK</x:v>
      </x:c>
      <x:c r="J21" s="20" t="str">
        <x:v>independent valuation crosswalk approval</x:v>
      </x:c>
    </x:row>
    <x:row r="22" ht="15" hidden="0" customHeight="1">
      <x:c r="A22" s="20" t="str">
        <x:v>TCWW1-P021 | CWER tower comparison</x:v>
      </x:c>
      <x:c r="B22" s="20" t="str">
        <x:v>all_shared</x:v>
      </x:c>
      <x:c r="C22" s="20" t="str">
        <x:v>none</x:v>
      </x:c>
      <x:c r="D22" s="20" t="str">
        <x:v>276 2023 USD/kW</x:v>
      </x:c>
      <x:c r="E22" s="20" t="str">
        <x:v>exposure_or_value</x:v>
      </x:c>
      <x:c r="F22" s="20" t="str">
        <x:v>T2_public_lab_standard_or_physics</x:v>
      </x:c>
      <x:c r="G22" s="20" t="str">
        <x:v>TCWW-S010</x:v>
      </x:c>
      <x:c r="H22" s="20" t="str">
        <x:v>Modern tower-module comparison only; source ordinate is not tower-only.</x:v>
      </x:c>
      <x:c r="I22" s="20" t="str">
        <x:v>WITHHOLD_RUNTIME_CROSSWALK</x:v>
      </x:c>
      <x:c r="J22" s="20" t="str">
        <x:v>independent valuation crosswalk approval</x:v>
      </x:c>
    </x:row>
    <x:row r="23" ht="15" hidden="0" customHeight="1">
      <x:c r="A23" s="20" t="str">
        <x:v>TCWW1-P022 | curve intrinsic spread</x:v>
      </x:c>
      <x:c r="B23" s="20" t="str">
        <x:v>tropical_cyclone_wind</x:v>
      </x:c>
      <x:c r="C23" s="20" t="str">
        <x:v>all</x:v>
      </x:c>
      <x:c r="D23" s="20" t="str">
        <x:v>not_carried</x:v>
      </x:c>
      <x:c r="E23" s="20" t="str">
        <x:v>open_seam_placeholder</x:v>
      </x:c>
      <x:c r="F23" s="20" t="str">
        <x:v>T4_placeholder_or_expert_judgment</x:v>
      </x:c>
      <x:c r="G23" s="20" t="str">
        <x:v>TCWW-S005;GOVERNANCE_CONTRACT</x:v>
      </x:c>
      <x:c r="H23" s="20" t="str">
        <x:v>Source Beta treatment is not carried until fully reproduced and reviewed; it is not empirical spread.</x:v>
      </x:c>
      <x:c r="I23" s="20" t="str">
        <x:v>WITHHOLD</x:v>
      </x:c>
      <x:c r="J23" s="20" t="str">
        <x:v>reviewed uncertainty release</x:v>
      </x:c>
    </x:row>
    <x:row r="24" ht="21.600000381469727" hidden="0" customHeight="1">
      <x:c r="A24" s="20" t="str">
        <x:v>TCWW1-P023 | all uncovered units</x:v>
      </x:c>
      <x:c r="B24" s="20" t="str">
        <x:v>tropical_cyclone_wind</x:v>
      </x:c>
      <x:c r="C24" s="20" t="str">
        <x:v>none</x:v>
      </x:c>
      <x:c r="D24" s="20" t="str">
        <x:v>withheld_not_zero</x:v>
      </x:c>
      <x:c r="E24" s="20" t="str">
        <x:v>open_seam_placeholder</x:v>
      </x:c>
      <x:c r="F24" s="20" t="str">
        <x:v>T4_placeholder_or_expert_judgment</x:v>
      </x:c>
      <x:c r="G24" s="20" t="str">
        <x:v>TCWW-S008;TCWW-S010;TCWW-S014;GOVERNANCE_CONTRACT</x:v>
      </x:c>
      <x:c r="H24" s="20" t="str">
        <x:v>Case and value evidence show omitted modes and exposure grains are material.</x:v>
      </x:c>
      <x:c r="I24" s="20" t="str">
        <x:v>ADOPT_FAIL_CLOSED</x:v>
      </x:c>
      <x:c r="J24" s="20" t="str">
        <x:v>unit-specific curves and values</x:v>
      </x:c>
    </x:row>
    <x:row r="25" ht="21.600000381469727" hidden="0" customHeight="1">
      <x:c r="A25" s="20" t="str">
        <x:v>TCWW1-P024 | scenario and annual metrics</x:v>
      </x:c>
      <x:c r="B25" s="20" t="str">
        <x:v>all_shared</x:v>
      </x:c>
      <x:c r="C25" s="20" t="str">
        <x:v>none</x:v>
      </x:c>
      <x:c r="D25" s="20" t="str">
        <x:v>withheld</x:v>
      </x:c>
      <x:c r="E25" s="20" t="str">
        <x:v>open_seam_placeholder</x:v>
      </x:c>
      <x:c r="F25" s="20" t="str">
        <x:v>T4_placeholder_or_expert_judgment</x:v>
      </x:c>
      <x:c r="G25" s="20" t="str">
        <x:v>GOVERNANCE_CONTRACT;HAZARD_CONSUMER_AUDIT</x:v>
      </x:c>
      <x:c r="H25" s="20" t="str">
        <x:v>Partial noncanonical scalar DR cannot become full-asset financial risk.</x:v>
      </x:c>
      <x:c r="I25" s="20" t="str">
        <x:v>ADOPT_FAIL_CLOSED</x:v>
      </x:c>
      <x:c r="J25" s="20" t="str">
        <x:v>canonical promotion plus complete prerequisites</x:v>
      </x:c>
    </x:row>
    <x:row r="26" ht="15" hidden="0" customHeight="1">
      <x:c r="A26" s="20" t="str"/>
      <x:c r="B26" s="20" t="str"/>
      <x:c r="C26" s="20" t="str"/>
      <x:c r="D26" s="20" t="str"/>
      <x:c r="E26" s="20" t="str"/>
      <x:c r="F26" s="20" t="str"/>
      <x:c r="G26" s="20" t="str"/>
      <x:c r="H26" s="20" t="str"/>
      <x:c r="I26" s="20" t="str"/>
      <x:c r="J26" s="20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8" hidden="0" customWidth="1"/>
    <x:col min="5" max="5" width="54" hidden="0" customWidth="1"/>
  </x:cols>
  <x:sheetData>
    <x:row r="1" ht="21.600000381469727" hidden="0" customHeight="1">
      <x:c r="A1" s="3" t="str">
        <x:v>Workbook QA</x:v>
      </x:c>
      <x:c r="B1" s="3"/>
      <x:c r="C1" s="3"/>
      <x:c r="D1" s="3"/>
      <x:c r="E1" s="3"/>
    </x:row>
    <x:row r="2" ht="15" hidden="0" customHeight="1">
      <x:c r="A2" s="7" t="str">
        <x:v>These formula checks complement the repository validator, JSON schema checks, source review, and visual render inspection.</x:v>
      </x:c>
      <x:c r="B2" s="7"/>
      <x:c r="C2" s="7"/>
      <x:c r="D2" s="7"/>
      <x:c r="E2" s="7"/>
    </x:row>
    <x:row r="3"/>
    <x:row r="4" ht="15" hidden="0" customHeight="1">
      <x:c r="A4" s="13" t="str">
        <x:v>Check</x:v>
      </x:c>
      <x:c r="B4" s="13" t="str">
        <x:v>Status</x:v>
      </x:c>
      <x:c r="C4" s="13" t="str">
        <x:v>Expected</x:v>
      </x:c>
      <x:c r="D4" s="13" t="str">
        <x:v>Workbook evidence</x:v>
      </x:c>
      <x:c r="E4" s="13" t="str">
        <x:v>Meaning</x:v>
      </x:c>
    </x:row>
    <x:row r="5" ht="15" hidden="0" customHeight="1">
      <x:c r="A5" s="20" t="str">
        <x:v>Three curve records</x:v>
      </x:c>
      <x:c r="B5" s="20" t="str">
        <x:f>IF('README'!B10=C5,"PASS","FAIL")</x:f>
        <x:v>PASS</x:v>
      </x:c>
      <x:c r="C5" s="20" t="n">
        <x:v>3</x:v>
      </x:c>
      <x:c r="D5" s="20" t="str">
        <x:v>README / Inputs</x:v>
      </x:c>
      <x:c r="E5" s="20" t="str">
        <x:v>All exact Jaimes archetypes are present</x:v>
      </x:c>
    </x:row>
    <x:row r="6" ht="15" hidden="0" customHeight="1">
      <x:c r="A6" s="20" t="str">
        <x:v>Every KAT passes</x:v>
      </x:c>
      <x:c r="B6" s="20" t="str">
        <x:f>IF(COUNTIF('KATs'!J5:J28,"PASS")=C6,"PASS","FAIL")</x:f>
        <x:v>PASS</x:v>
      </x:c>
      <x:c r="C6" s="20" t="n">
        <x:v>24</x:v>
      </x:c>
      <x:c r="D6" s="20" t="str">
        <x:v>KATs</x:v>
      </x:c>
      <x:c r="E6" s="20" t="str">
        <x:v>Published equation reproduced</x:v>
      </x:c>
    </x:row>
    <x:row r="7" ht="15" hidden="0" customHeight="1">
      <x:c r="A7" s="20" t="str">
        <x:v>D50 identities hold</x:v>
      </x:c>
      <x:c r="B7" s="20" t="str">
        <x:f>IF(AND(ABS('Inputs'!I5-('Inputs'!F5+'Inputs'!G5))&lt;0.000000001,ABS('Inputs'!I6-('Inputs'!F6+'Inputs'!G6))&lt;0.000000001,ABS('Inputs'!I7-('Inputs'!F7+'Inputs'!G7))&lt;0.000000001)=TRUE,"PASS","FAIL")</x:f>
        <x:v>PASS</x:v>
      </x:c>
      <x:c r="C7" s="20" t="n">
        <x:v>3</x:v>
      </x:c>
      <x:c r="D7" s="20" t="str">
        <x:v>Inputs</x:v>
      </x:c>
      <x:c r="E7" s="20" t="str">
        <x:v>V_at_DR50 = V_zero + delta_V50</x:v>
      </x:c>
    </x:row>
    <x:row r="8" ht="15" hidden="0" customHeight="1">
      <x:c r="A8" s="20" t="str">
        <x:v>Curves bounded</x:v>
      </x:c>
      <x:c r="B8" s="20" t="str">
        <x:f>IF(AND(MIN('Jaimes_Curves'!B5:D22)&gt;=0,MAX('Jaimes_Curves'!B5:D22)&lt;=1)=C8,"PASS","FAIL")</x:f>
        <x:v>PASS</x:v>
      </x:c>
      <x:c r="C8" s="21" t="b">
        <x:v>1</x:v>
      </x:c>
      <x:c r="D8" s="20" t="str">
        <x:v>Jaimes_Curves</x:v>
      </x:c>
      <x:c r="E8" s="20" t="str">
        <x:v>Audit values remain in [0,1]</x:v>
      </x:c>
    </x:row>
    <x:row r="9" ht="15" hidden="0" customHeight="1">
      <x:c r="A9" s="20" t="str">
        <x:v>Curves monotonic</x:v>
      </x:c>
      <x:c r="B9" s="20" t="str">
        <x:f>IF(AND('Jaimes_Curves'!B6&gt;='Jaimes_Curves'!B5,'Jaimes_Curves'!B7&gt;='Jaimes_Curves'!B6,'Jaimes_Curves'!B8&gt;='Jaimes_Curves'!B7,'Jaimes_Curves'!B9&gt;='Jaimes_Curves'!B8,'Jaimes_Curves'!B10&gt;='Jaimes_Curves'!B9,'Jaimes_Curves'!B11&gt;='Jaimes_Curves'!B10,'Jaimes_Curves'!B12&gt;='Jaimes_Curves'!B11,'Jaimes_Curves'!B13&gt;='Jaimes_Curves'!B12,'Jaimes_Curves'!B14&gt;='Jaimes_Curves'!B13,'Jaimes_Curves'!B15&gt;='Jaimes_Curves'!B14,'Jaimes_Curves'!B16&gt;='Jaimes_Curves'!B15,'Jaimes_Curves'!B17&gt;='Jaimes_Curves'!B16,'Jaimes_Curves'!B18&gt;='Jaimes_Curves'!B17,'Jaimes_Curves'!B19&gt;='Jaimes_Curves'!B18,'Jaimes_Curves'!B20&gt;='Jaimes_Curves'!B19,'Jaimes_Curves'!B21&gt;='Jaimes_Curves'!B20,'Jaimes_Curves'!B22&gt;='Jaimes_Curves'!B21,'Jaimes_Curves'!C6&gt;='Jaimes_Curves'!C5,'Jaimes_Curves'!C7&gt;='Jaimes_Curves'!C6,'Jaimes_Curves'!C8&gt;='Jaimes_Curves'!C7,'Jaimes_Curves'!C9&gt;='Jaimes_Curves'!C8,'Jaimes_Curves'!C10&gt;='Jaimes_Curves'!C9,'Jaimes_Curves'!C11&gt;='Jaimes_Curves'!C10,'Jaimes_Curves'!C12&gt;='Jaimes_Curves'!C11,'Jaimes_Curves'!C13&gt;='Jaimes_Curves'!C12,'Jaimes_Curves'!C14&gt;='Jaimes_Curves'!C13,'Jaimes_Curves'!C15&gt;='Jaimes_Curves'!C14,'Jaimes_Curves'!C16&gt;='Jaimes_Curves'!C15,'Jaimes_Curves'!C17&gt;='Jaimes_Curves'!C16,'Jaimes_Curves'!C18&gt;='Jaimes_Curves'!C17,'Jaimes_Curves'!C19&gt;='Jaimes_Curves'!C18,'Jaimes_Curves'!C20&gt;='Jaimes_Curves'!C19,'Jaimes_Curves'!C21&gt;='Jaimes_Curves'!C20,'Jaimes_Curves'!C22&gt;='Jaimes_Curves'!C21,'Jaimes_Curves'!D6&gt;='Jaimes_Curves'!D5,'Jaimes_Curves'!D7&gt;='Jaimes_Curves'!D6,'Jaimes_Curves'!D8&gt;='Jaimes_Curves'!D7,'Jaimes_Curves'!D9&gt;='Jaimes_Curves'!D8,'Jaimes_Curves'!D10&gt;='Jaimes_Curves'!D9,'Jaimes_Curves'!D11&gt;='Jaimes_Curves'!D10,'Jaimes_Curves'!D12&gt;='Jaimes_Curves'!D11,'Jaimes_Curves'!D13&gt;='Jaimes_Curves'!D12,'Jaimes_Curves'!D14&gt;='Jaimes_Curves'!D13,'Jaimes_Curves'!D15&gt;='Jaimes_Curves'!D14,'Jaimes_Curves'!D16&gt;='Jaimes_Curves'!D15,'Jaimes_Curves'!D17&gt;='Jaimes_Curves'!D16,'Jaimes_Curves'!D18&gt;='Jaimes_Curves'!D17,'Jaimes_Curves'!D19&gt;='Jaimes_Curves'!D18,'Jaimes_Curves'!D20&gt;='Jaimes_Curves'!D19,'Jaimes_Curves'!D21&gt;='Jaimes_Curves'!D20,'Jaimes_Curves'!D22&gt;='Jaimes_Curves'!D21)=C9,"PASS","FAIL")</x:f>
        <x:v>PASS</x:v>
      </x:c>
      <x:c r="C9" s="21" t="b">
        <x:v>1</x:v>
      </x:c>
      <x:c r="D9" s="20" t="str">
        <x:v>Jaimes_Curves</x:v>
      </x:c>
      <x:c r="E9" s="20" t="str">
        <x:v>Damage does not decline with intensity</x:v>
      </x:c>
    </x:row>
    <x:row r="10" ht="15" hidden="0" customHeight="1">
      <x:c r="A10" s="20" t="str">
        <x:v>One numeric failure unit</x:v>
      </x:c>
      <x:c r="B10" s="20" t="str">
        <x:f>IF(COUNTIF('Failure_Units'!E5:E14,"conditional_numeric_screening_curve")=C10,"PASS","FAIL")</x:f>
        <x:v>PASS</x:v>
      </x:c>
      <x:c r="C10" s="20" t="n">
        <x:v>1</x:v>
      </x:c>
      <x:c r="D10" s="20" t="str">
        <x:v>Failure_Units</x:v>
      </x:c>
      <x:c r="E10" s="20" t="str">
        <x:v>Partial coverage is explicit</x:v>
      </x:c>
    </x:row>
    <x:row r="11" ht="15" hidden="0" customHeight="1">
      <x:c r="A11" s="20" t="str">
        <x:v>Nine withheld units</x:v>
      </x:c>
      <x:c r="B11" s="20" t="str">
        <x:f>IF(COUNTIF('Failure_Units'!E5:E14,"withheld_not_zero")=C11,"PASS","FAIL")</x:f>
        <x:v>PASS</x:v>
      </x:c>
      <x:c r="C11" s="20" t="n">
        <x:v>9</x:v>
      </x:c>
      <x:c r="D11" s="20" t="str">
        <x:v>Failure_Units</x:v>
      </x:c>
      <x:c r="E11" s="20" t="str">
        <x:v>Uncovered plant units are null, not zero</x:v>
      </x:c>
    </x:row>
    <x:row r="12" ht="15" hidden="0" customHeight="1">
      <x:c r="A12" s="20" t="str">
        <x:v>Source register rows</x:v>
      </x:c>
      <x:c r="B12" s="20" t="str">
        <x:f>IF(COUNTA('Source_Register'!A2:A100)=C12,"PASS","FAIL")</x:f>
        <x:v>PASS</x:v>
      </x:c>
      <x:c r="C12" s="20" t="n">
        <x:v>12</x:v>
      </x:c>
      <x:c r="D12" s="20" t="str">
        <x:v>Source_Register</x:v>
      </x:c>
      <x:c r="E12" s="20" t="str">
        <x:v>Evidence register copied into workbook</x:v>
      </x:c>
    </x:row>
    <x:row r="13" ht="15" hidden="0" customHeight="1">
      <x:c r="A13" s="20" t="str">
        <x:v>Claim register rows</x:v>
      </x:c>
      <x:c r="B13" s="20" t="str">
        <x:f>IF(COUNTA('Claim_Register'!A2:A100)=C13,"PASS","FAIL")</x:f>
        <x:v>PASS</x:v>
      </x:c>
      <x:c r="C13" s="20" t="n">
        <x:v>20</x:v>
      </x:c>
      <x:c r="D13" s="20" t="str">
        <x:v>Claim_Register</x:v>
      </x:c>
      <x:c r="E13" s="20" t="str">
        <x:v>Claims and prohibitions preserved</x:v>
      </x:c>
    </x:row>
    <x:row r="14" ht="15" hidden="0" customHeight="1">
      <x:c r="A14" s="20" t="str">
        <x:v>Parameter rows</x:v>
      </x:c>
      <x:c r="B14" s="20" t="str">
        <x:f>IF(COUNTA('Parameter_Tiers'!A2:A100)=C14,"PASS","FAIL")</x:f>
        <x:v>PASS</x:v>
      </x:c>
      <x:c r="C14" s="20" t="n">
        <x:v>25</x:v>
      </x:c>
      <x:c r="D14" s="20" t="str">
        <x:v>Parameter_Tiers</x:v>
      </x:c>
      <x:c r="E14" s="20" t="str">
        <x:v>Every governed parameter/rule is tiered</x:v>
      </x:c>
    </x:row>
    <x:row r="15" ht="15" hidden="0" customHeight="1">
      <x:c r="A15" s="20" t="str">
        <x:v>Canonical flag false</x:v>
      </x:c>
      <x:c r="B15" s="20" t="str">
        <x:f>IF('README'!B11=C15,"PASS","FAIL")</x:f>
        <x:v>PASS</x:v>
      </x:c>
      <x:c r="C15" s="21" t="b">
        <x:v>0</x:v>
      </x:c>
      <x:c r="D15" s="20" t="str">
        <x:v>README</x:v>
      </x:c>
      <x:c r="E15" s="20" t="str">
        <x:v>Proposal cannot silently cut over</x:v>
      </x:c>
    </x:row>
    <x:row r="16" ht="15" hidden="0" customHeight="1">
      <x:c r="A16" s="20" t="str">
        <x:v>Scenario loss withheld</x:v>
      </x:c>
      <x:c r="B16" s="20" t="str">
        <x:f>IF('README'!B14=C16,"PASS","FAIL")</x:f>
        <x:v>PASS</x:v>
      </x:c>
      <x:c r="C16" s="20" t="str">
        <x:v>WITHHELD</x:v>
      </x:c>
      <x:c r="D16" s="20" t="str">
        <x:v>README</x:v>
      </x:c>
      <x:c r="E16" s="20" t="str">
        <x:v>Partial DR cannot become whole-plant loss</x:v>
      </x:c>
    </x:row>
    <x:row r="17" ht="15" hidden="0" customHeight="1">
      <x:c r="A17" s="20" t="str">
        <x:v>Selector tuples unique</x:v>
      </x:c>
      <x:c r="B17" s="20" t="str">
        <x:f>IF(AND('Inputs'!B5&lt;&gt;'Inputs'!B6,'Inputs'!B5&lt;&gt;'Inputs'!B7,'Inputs'!B6&lt;&gt;'Inputs'!B7)=C17,"PASS","FAIL")</x:f>
        <x:v>PASS</x:v>
      </x:c>
      <x:c r="C17" s="21" t="b">
        <x:v>1</x:v>
      </x:c>
      <x:c r="D17" s="20" t="str">
        <x:v>Inputs</x:v>
      </x:c>
      <x:c r="E17" s="20" t="str">
        <x:v>No duplicate or implicit selector route</x:v>
      </x:c>
    </x:row>
    <x:row r="18" ht="32.400001525878906" hidden="0" customHeight="1">
      <x:c r="A18" s="20" t="str">
        <x:v>1 MW discrepancy flagged</x:v>
      </x:c>
      <x:c r="B18" s="20" t="str">
        <x:f>IF('Inputs'!M5=C18,"PASS","FAIL")</x:f>
        <x:v>PASS</x:v>
      </x:c>
      <x:c r="C18" s="20" t="str">
        <x:v>SOURCE_1MW_HUB_HEIGHT_TABLE_44M_FIGURE_CAPTION_40M</x:v>
      </x:c>
      <x:c r="D18" s="20" t="str">
        <x:v>Inputs</x:v>
      </x:c>
      <x:c r="E18" s="20" t="str">
        <x:v>44 m choice preserves the 40/44 m source conflict</x:v>
      </x:c>
    </x:row>
    <x:row r="19" ht="15" hidden="0" customHeight="1">
      <x:c r="A19" s="20" t="str">
        <x:v>Gap and upper range withheld</x:v>
      </x:c>
      <x:c r="B19" s="20" t="str">
        <x:f>IF(COUNTIF('Jaimes_Curves'!E5:E22,"WITHHOLD_GAP")+COUNTIF('Jaimes_Curves'!E5:E22,"WITHHOLD_HIGH")=C19,"PASS","FAIL")</x:f>
        <x:v>PASS</x:v>
      </x:c>
      <x:c r="C19" s="20" t="n">
        <x:v>2</x:v>
      </x:c>
      <x:c r="D19" s="20" t="str">
        <x:v>Jaimes_Curves</x:v>
      </x:c>
      <x:c r="E19" s="20" t="str">
        <x:v>Audit ordinates do not become runtime values</x:v>
      </x:c>
    </x:row>
    <x:row r="20" ht="15" hidden="0" customHeight="1">
      <x:c r="A20" s="20" t="str">
        <x:v>Physical value reconciles</x:v>
      </x:c>
      <x:c r="B20" s="20" t="str">
        <x:f>IF('Value_Crosswalk'!E5+'Value_Crosswalk'!E7+'Value_Crosswalk'!E8+'Value_Crosswalk'!E9+'Value_Crosswalk'!E10+'Value_Crosswalk'!E11=C20,"PASS","FAIL")</x:f>
        <x:v>PASS</x:v>
      </x:c>
      <x:c r="C20" s="20" t="n">
        <x:v>1623</x:v>
      </x:c>
      <x:c r="D20" s="20" t="str">
        <x:v>Value_Crosswalk</x:v>
      </x:c>
      <x:c r="E20" s="20" t="str">
        <x:v>1090 + 120 + 72 + 47 + 100 + 194</x:v>
      </x:c>
    </x:row>
    <x:row r="21" ht="15" hidden="0" customHeight="1">
      <x:c r="A21" s="20" t="str">
        <x:v>Installed value reconciles</x:v>
      </x:c>
      <x:c r="B21" s="20" t="str">
        <x:f>IF('Value_Crosswalk'!E13=C21,"PASS","FAIL")</x:f>
        <x:v>PASS</x:v>
      </x:c>
      <x:c r="C21" s="20" t="n">
        <x:v>1968</x:v>
      </x:c>
      <x:c r="D21" s="20" t="str">
        <x:v>Value_Crosswalk</x:v>
      </x:c>
      <x:c r="E21" s="20" t="str">
        <x:v>Physical 1623 plus excluded 345</x:v>
      </x:c>
    </x:row>
    <x:row r="22" ht="15" hidden="0" customHeight="1">
      <x:c r="A22" s="20" t="str">
        <x:v>Only source-native denominator rows included</x:v>
      </x:c>
      <x:c r="B22" s="20" t="str">
        <x:f>IF(AND(COUNTIF('Value_Crosswalk'!H2:H13,"WT_JAIMES_TURBINE_TOWER_EXPOSURE_UNIT")=C22,COUNTIF('Value_Crosswalk'!N2:N13,"source_native_audit_only")=C22,COUNTIF('Value_Crosswalk'!N5:N13,"source_native_audit_only")=0),"PASS","FAIL")</x:f>
        <x:v>PASS</x:v>
      </x:c>
      <x:c r="C22" s="20" t="n">
        <x:v>3</x:v>
      </x:c>
      <x:c r="D22" s="20" t="str">
        <x:v>Value_Crosswalk</x:v>
      </x:c>
      <x:c r="E22" s="20" t="str">
        <x:v>No CWER row binds the Jaimes DR</x:v>
      </x:c>
    </x:row>
    <x:row r="23" ht="15" hidden="0" customHeight="1">
      <x:c r="A23" s="20" t="str">
        <x:v>Contract KAT mirror rows</x:v>
      </x:c>
      <x:c r="B23" s="20" t="str">
        <x:f>IF(COUNTA('KATs'!A34:A56)=C23,"PASS","FAIL")</x:f>
        <x:v>PASS</x:v>
      </x:c>
      <x:c r="C23" s="20" t="n">
        <x:v>23</x:v>
      </x:c>
      <x:c r="D23" s="20" t="str">
        <x:v>KATs</x:v>
      </x:c>
      <x:c r="E23" s="20" t="str">
        <x:v>Negative and fail-closed fixtures remain visible</x:v>
      </x:c>
    </x:row>
    <x:row r="24" ht="15" hidden="0" customHeight="1">
      <x:c r="A24" s="20" t="str">
        <x:v>Old-versus-new comparison rows</x:v>
      </x:c>
      <x:c r="B24" s="20" t="str">
        <x:f>IF(COUNTA('Old_vs_New'!A2:A100)=C24,"PASS","FAIL")</x:f>
        <x:v>PASS</x:v>
      </x:c>
      <x:c r="C24" s="20" t="n">
        <x:v>24</x:v>
      </x:c>
      <x:c r="D24" s="20" t="str">
        <x:v>Old_vs_New</x:v>
      </x:c>
      <x:c r="E24" s="20" t="str">
        <x:v>Baseline and legacy differences remain governed</x:v>
      </x:c>
    </x:row>
  </x:sheetData>
  <x:mergeCells>
    <x:mergeCell ref="A1:E1"/>
    <x:mergeCell ref="A2:E2"/>
  </x:mergeCells>
  <x:conditionalFormatting sqref="B5:B24">
    <x:cfRule type="containsText" dxfId="7" priority="1" operator="containsText" text="PASS"/>
    <x:cfRule type="containsText" dxfId="8" priority="2" operator="containsText" text="FAIL"/>
  </x:conditionalFormatting>
  <x:pageMargins left="0.7" right="0.7" top="0.75" bottom="0.75" header="0.3" footer="0.3"/>
</x:worksheet>
</file>