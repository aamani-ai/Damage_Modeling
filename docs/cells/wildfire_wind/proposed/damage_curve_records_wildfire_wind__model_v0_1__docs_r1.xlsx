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fd9f94b60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1bb8d5e15d04e0d"/>
    <x:sheet xmlns:r="http://schemas.openxmlformats.org/officeDocument/2006/relationships" name="Seven_Steps" sheetId="2" r:id="Re8a79076ff934cfb"/>
    <x:sheet xmlns:r="http://schemas.openxmlformats.org/officeDocument/2006/relationships" name="Asset_Value" sheetId="3" r:id="R0e2bfe70dc3f4e1b"/>
    <x:sheet xmlns:r="http://schemas.openxmlformats.org/officeDocument/2006/relationships" name="Value_Crosswalk" sheetId="4" r:id="Rd02f8aa80610409e"/>
    <x:sheet xmlns:r="http://schemas.openxmlformats.org/officeDocument/2006/relationships" name="Failure_Units" sheetId="5" r:id="Rc1444255ba8b43f0"/>
    <x:sheet xmlns:r="http://schemas.openxmlformats.org/officeDocument/2006/relationships" name="Candidate_Audit" sheetId="6" r:id="R16277452ddfa4e60"/>
    <x:sheet xmlns:r="http://schemas.openxmlformats.org/officeDocument/2006/relationships" name="Site_Adapter" sheetId="7" r:id="Rae7fb9138cbb4edf"/>
    <x:sheet xmlns:r="http://schemas.openxmlformats.org/officeDocument/2006/relationships" name="Legacy_Audit" sheetId="8" r:id="Rc1d8895d162c4f05"/>
    <x:sheet xmlns:r="http://schemas.openxmlformats.org/officeDocument/2006/relationships" name="Claim_Register" sheetId="9" r:id="Re373b7d822a5479c"/>
    <x:sheet xmlns:r="http://schemas.openxmlformats.org/officeDocument/2006/relationships" name="Source_Register" sheetId="10" r:id="R0d21ef1666e24bf8"/>
    <x:sheet xmlns:r="http://schemas.openxmlformats.org/officeDocument/2006/relationships" name="Parameter_Tiers" sheetId="11" r:id="R340e389bb7954744"/>
    <x:sheet xmlns:r="http://schemas.openxmlformats.org/officeDocument/2006/relationships" name="QA_Checks" sheetId="12" r:id="R28cefc58657449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%"/>
    <x:numFmt numFmtId="202" formatCode="#,##0.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56579"/>
      <x:name val="Carlito"/>
    </x:font>
    <x:font>
      <x:b/>
      <x:sz val="11"/>
      <x:color rgb="FFFFFFFF"/>
      <x:name val="Carlito"/>
    </x:font>
    <x:font>
      <x:sz val="10"/>
      <x:color rgb="FF26364A"/>
      <x:name val="Carlito"/>
    </x:font>
    <x:font>
      <x:b/>
      <x:sz val="11"/>
      <x:color rgb="FF26364A"/>
      <x:name val="Carlito"/>
    </x:font>
    <x:font>
      <x:b/>
      <x:sz val="10"/>
      <x:color rgb="FF19875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43B"/>
      </x:patternFill>
    </x:fill>
    <x:fill>
      <x:patternFill patternType="solid">
        <x:fgColor rgb="FFDCE8F7"/>
      </x:patternFill>
    </x:fill>
    <x:fill>
      <x:patternFill patternType="solid">
        <x:fgColor rgb="FF0F766E"/>
      </x:patternFill>
    </x:fill>
    <x:fill>
      <x:patternFill patternType="solid">
        <x:fgColor rgb="FFFCE8C5"/>
      </x:patternFill>
    </x:fill>
    <x:fill>
      <x:patternFill patternType="solid">
        <x:fgColor rgb="FFDCF3E5"/>
      </x:patternFill>
    </x:fill>
  </x:fills>
  <x:borders count="12">
    <x:border/>
    <x:border>
      <x:left style="thin">
        <x:color rgb="FFCFD8E3"/>
      </x:left>
      <x:top style="thin">
        <x:color rgb="FFCFD8E3"/>
      </x:top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bottom style="thin">
        <x:color rgb="FFCFD8E3"/>
      </x:bottom>
    </x:border>
    <x:border>
      <x:top style="thin">
        <x:color rgb="FFCFD8E3"/>
      </x:top>
    </x:border>
    <x:border>
      <x:left style="thin">
        <x:color rgb="FFD19A2B"/>
      </x:left>
      <x:top style="thin">
        <x:color rgb="FFD19A2B"/>
      </x:top>
    </x:border>
    <x:border>
      <x:top style="thin">
        <x:color rgb="FFD19A2B"/>
      </x:top>
    </x:border>
    <x:border>
      <x:right style="thin">
        <x:color rgb="FFD19A2B"/>
      </x:right>
      <x:top style="thin">
        <x:color rgb="FFD19A2B"/>
      </x:top>
    </x:border>
    <x:border>
      <x:left style="thin">
        <x:color rgb="FFD19A2B"/>
      </x:left>
      <x:bottom style="thin">
        <x:color rgb="FFD19A2B"/>
      </x:bottom>
    </x:border>
    <x:border>
      <x:bottom style="thin">
        <x:color rgb="FFD19A2B"/>
      </x:bottom>
    </x:border>
    <x:border>
      <x:right style="thin">
        <x:color rgb="FFD19A2B"/>
      </x:right>
      <x:bottom style="thin">
        <x:color rgb="FFD19A2B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38aa43dea4303" /><Relationship Type="http://schemas.openxmlformats.org/officeDocument/2006/relationships/theme" Target="/xl/theme/theme1.xml" Id="R6398760ee59d4dd5" /><Relationship Type="http://schemas.microsoft.com/office/2022/11/relationships/FeaturePropertyBag" Target="/xl/featurePropertyBag/featurePropertyBag.xml" Id="R471bbced527349f4" /><Relationship Type="http://schemas.openxmlformats.org/officeDocument/2006/relationships/sharedStrings" Target="/xl/sharedStrings.xml" Id="R7cde003f15ac4d62" /><Relationship Type="http://schemas.openxmlformats.org/officeDocument/2006/relationships/worksheet" Target="/xl/worksheets/sheet1.xml" Id="Rf1bb8d5e15d04e0d" /><Relationship Type="http://schemas.openxmlformats.org/officeDocument/2006/relationships/worksheet" Target="/xl/worksheets/sheet2.xml" Id="Re8a79076ff934cfb" /><Relationship Type="http://schemas.openxmlformats.org/officeDocument/2006/relationships/worksheet" Target="/xl/worksheets/sheet3.xml" Id="R0e2bfe70dc3f4e1b" /><Relationship Type="http://schemas.openxmlformats.org/officeDocument/2006/relationships/worksheet" Target="/xl/worksheets/sheet4.xml" Id="Rd02f8aa80610409e" /><Relationship Type="http://schemas.openxmlformats.org/officeDocument/2006/relationships/worksheet" Target="/xl/worksheets/sheet5.xml" Id="Rc1444255ba8b43f0" /><Relationship Type="http://schemas.openxmlformats.org/officeDocument/2006/relationships/worksheet" Target="/xl/worksheets/sheet6.xml" Id="R16277452ddfa4e60" /><Relationship Type="http://schemas.openxmlformats.org/officeDocument/2006/relationships/worksheet" Target="/xl/worksheets/sheet7.xml" Id="Rae7fb9138cbb4edf" /><Relationship Type="http://schemas.openxmlformats.org/officeDocument/2006/relationships/worksheet" Target="/xl/worksheets/sheet8.xml" Id="Rc1d8895d162c4f05" /><Relationship Type="http://schemas.openxmlformats.org/officeDocument/2006/relationships/worksheet" Target="/xl/worksheets/sheet9.xml" Id="Re373b7d822a5479c" /><Relationship Type="http://schemas.openxmlformats.org/officeDocument/2006/relationships/worksheet" Target="/xl/worksheets/sheet10.xml" Id="R0d21ef1666e24bf8" /><Relationship Type="http://schemas.openxmlformats.org/officeDocument/2006/relationships/worksheet" Target="/xl/worksheets/sheet11.xml" Id="R340e389bb7954744" /><Relationship Type="http://schemas.openxmlformats.org/officeDocument/2006/relationships/worksheet" Target="/xl/worksheets/sheet12.xml" Id="R28cefc58657449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10" hidden="0" customWidth="1"/>
    <x:col min="5" max="5" width="28" hidden="0" customWidth="1"/>
    <x:col min="6" max="6" width="58" hidden="0" customWidth="1"/>
  </x:cols>
  <x:sheetData>
    <x:row r="1" ht="26" customHeight="1">
      <x:c r="A1" s="2" t="str">
        <x:v>Wildfire × onshore wind — audit workbook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Proposed model v0.1/docs r1 • noncanonical • zero runtime curves • every damage/loss metric withheld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Identity</x:v>
      </x:c>
      <x:c r="B4" s="14" t="str">
        <x:v>Value</x:v>
      </x:c>
      <x:c r="C4" s="15" t="str">
        <x:v>Invariant</x:v>
      </x:c>
      <x:c r="D4" t="str">
        <x:v>Order</x:v>
      </x:c>
      <x:c r="E4" t="str">
        <x:v>Sheet</x:v>
      </x:c>
      <x:c r="F4" t="str">
        <x:v>Purpose</x:v>
      </x:c>
    </x:row>
    <x:row r="5">
      <x:c r="A5" s="27" t="str">
        <x:v>Cell ID</x:v>
      </x:c>
      <x:c r="B5" s="27" t="str">
        <x:v>wildfire_wind</x:v>
      </x:c>
      <x:c r="C5" s="27" t="str">
        <x:v>one governed hazard × asset cell</x:v>
      </x:c>
      <x:c r="D5" t="n">
        <x:v>1</x:v>
      </x:c>
      <x:c r="E5" t="str">
        <x:v>README</x:v>
      </x:c>
      <x:c r="F5" t="str">
        <x:v>Identity, status, and map</x:v>
      </x:c>
    </x:row>
    <x:row r="6">
      <x:c r="A6" s="28" t="str">
        <x:v>Primary pathway</x:v>
      </x:c>
      <x:c r="B6" s="28" t="str">
        <x:v>wildfire_thermal_attack</x:v>
      </x:c>
      <x:c r="C6" s="28" t="str">
        <x:v>firebrand and destructive-residue pathways remain distinct</x:v>
      </x:c>
      <x:c r="D6" t="n">
        <x:v>2</x:v>
      </x:c>
      <x:c r="E6" t="str">
        <x:v>Seven_Steps</x:v>
      </x:c>
      <x:c r="F6" t="str">
        <x:v>Gate-by-gate audit</x:v>
      </x:c>
    </x:row>
    <x:row r="7">
      <x:c r="A7" s="28" t="str">
        <x:v>Damage code ID</x:v>
      </x:c>
      <x:c r="B7" s="28" t="str">
        <x:v>WILDFIRE_WIND_PROPOSED_V0_1</x:v>
      </x:c>
      <x:c r="C7" s="28" t="str">
        <x:v>noncanonical scaffold</x:v>
      </x:c>
      <x:c r="D7" t="n">
        <x:v>3</x:v>
      </x:c>
      <x:c r="E7" t="str">
        <x:v>Asset_Value</x:v>
      </x:c>
      <x:c r="F7" t="str">
        <x:v>Reference value reconciliation</x:v>
      </x:c>
    </x:row>
    <x:row r="8">
      <x:c r="A8" s="28" t="str">
        <x:v>Semantic model</x:v>
      </x:c>
      <x:c r="B8" s="28" t="str">
        <x:v>model v0.1</x:v>
      </x:c>
      <x:c r="C8" s="28" t="str">
        <x:v>not v1.0 without runtime curve</x:v>
      </x:c>
      <x:c r="D8" t="n">
        <x:v>4</x:v>
      </x:c>
      <x:c r="E8" t="str">
        <x:v>Value_Crosswalk</x:v>
      </x:c>
      <x:c r="F8" t="str">
        <x:v>Row-level value mapping</x:v>
      </x:c>
    </x:row>
    <x:row r="9">
      <x:c r="A9" s="28" t="str">
        <x:v>Documentation</x:v>
      </x:c>
      <x:c r="B9" s="28" t="str">
        <x:v>docs r1</x:v>
      </x:c>
      <x:c r="C9" s="28" t="str">
        <x:v>proof trail only</x:v>
      </x:c>
      <x:c r="D9" t="n">
        <x:v>5</x:v>
      </x:c>
      <x:c r="E9" t="str">
        <x:v>Failure_Units</x:v>
      </x:c>
      <x:c r="F9" t="str">
        <x:v>Physical/spatial units and blockers</x:v>
      </x:c>
    </x:row>
    <x:row r="10">
      <x:c r="A10" s="28" t="str">
        <x:v>Lifecycle</x:v>
      </x:c>
      <x:c r="B10" s="28" t="str">
        <x:v>scaffold / proposed / pressure-tested</x:v>
      </x:c>
      <x:c r="C10" s="28" t="str">
        <x:v>repository presence is not release</x:v>
      </x:c>
      <x:c r="D10" t="n">
        <x:v>6</x:v>
      </x:c>
      <x:c r="E10" t="str">
        <x:v>Candidate_Audit</x:v>
      </x:c>
      <x:c r="F10" t="str">
        <x:v>Candidate numerical evidence disposition</x:v>
      </x:c>
    </x:row>
    <x:row r="11">
      <x:c r="A11" s="28" t="str">
        <x:v>Runtime curve count</x:v>
      </x:c>
      <x:c r="B11" s="28" t="n">
        <x:v>0</x:v>
      </x:c>
      <x:c r="C11" s="28" t="str">
        <x:v>must remain zero</x:v>
      </x:c>
      <x:c r="D11" t="n">
        <x:v>7</x:v>
      </x:c>
      <x:c r="E11" t="str">
        <x:v>Site_Adapter</x:v>
      </x:c>
      <x:c r="F11" t="str">
        <x:v>Field roles and fail-closed behavior</x:v>
      </x:c>
    </x:row>
    <x:row r="12">
      <x:c r="A12" s="28" t="str">
        <x:v>Canonical runtime artifact</x:v>
      </x:c>
      <x:c r="B12" s="29" t="b">
        <x:v>0</x:v>
      </x:c>
      <x:c r="C12" s="28" t="str">
        <x:v>must remain false</x:v>
      </x:c>
      <x:c r="D12" t="n">
        <x:v>8</x:v>
      </x:c>
      <x:c r="E12" t="str">
        <x:v>Legacy_Audit</x:v>
      </x:c>
      <x:c r="F12" t="str">
        <x:v>Rejected/migration evidence</x:v>
      </x:c>
    </x:row>
    <x:row r="13">
      <x:c r="A13" s="28" t="str">
        <x:v>Runtime reason</x:v>
      </x:c>
      <x:c r="B13" s="28" t="str">
        <x:v>NO_RUNTIME_CURVE</x:v>
      </x:c>
      <x:c r="C13" s="28" t="str">
        <x:v>null is not zero</x:v>
      </x:c>
      <x:c r="D13" t="n">
        <x:v>9</x:v>
      </x:c>
      <x:c r="E13" t="str">
        <x:v>Claim_Register</x:v>
      </x:c>
      <x:c r="F13" t="str">
        <x:v>Claims and transfer limits</x:v>
      </x:c>
    </x:row>
    <x:row r="14">
      <x:c r="A14" s="30" t="str">
        <x:v>Package release</x:v>
      </x:c>
      <x:c r="B14" s="30" t="str">
        <x:v>unreleased</x:v>
      </x:c>
      <x:c r="C14" s="30" t="str">
        <x:v>no consumer pin</x:v>
      </x:c>
      <x:c r="D14" t="n">
        <x:v>10</x:v>
      </x:c>
      <x:c r="E14" t="str">
        <x:v>Source_Register</x:v>
      </x:c>
      <x:c r="F14" t="str">
        <x:v>Citations, locators, and tiers</x:v>
      </x:c>
    </x:row>
    <x:row r="15">
      <x:c r="A15"/>
      <x:c r="B15"/>
      <x:c r="C15"/>
      <x:c r="D15" t="n">
        <x:v>11</x:v>
      </x:c>
      <x:c r="E15" t="str">
        <x:v>Parameter_Tiers</x:v>
      </x:c>
      <x:c r="F15" t="str">
        <x:v>Parameters, status, and triggers</x:v>
      </x:c>
    </x:row>
    <x:row r="16">
      <x:c r="A16"/>
      <x:c r="B16"/>
      <x:c r="C16"/>
      <x:c r="D16" t="n">
        <x:v>12</x:v>
      </x:c>
      <x:c r="E16" t="str">
        <x:v>QA_Checks</x:v>
      </x:c>
      <x:c r="F16" t="str">
        <x:v>Formula-driven integrity assertions</x:v>
      </x:c>
    </x:row>
    <x:row r="17" ht="28" customHeight="1">
      <x:c r="A17" s="39" t="str">
        <x:v>Interpretation guardrail: FSim classes, wildland-fire heating measurements, firebrand experiments, blade-material tests, internal turbine-fire cases, and legacy logistics are inputs to audit—not external-wildfire economic DR or loss outputs.</x:v>
      </x:c>
      <x:c r="B17" s="40"/>
      <x:c r="C17" s="40"/>
      <x:c r="D17" s="40"/>
      <x:c r="E17" s="40"/>
      <x:c r="F17" s="40"/>
      <x:c r="G17" s="40"/>
      <x:c r="H17" s="41"/>
    </x:row>
    <x:row r="18" ht="28" customHeight="1">
      <x:c r="A18" s="42"/>
      <x:c r="B18" s="43"/>
      <x:c r="C18" s="43"/>
      <x:c r="D18" s="43"/>
      <x:c r="E18" s="43"/>
      <x:c r="F18" s="43"/>
      <x:c r="G18" s="43"/>
      <x:c r="H18" s="44"/>
    </x:row>
  </x:sheetData>
  <x:mergeCells>
    <x:mergeCell ref="A1:H1"/>
    <x:mergeCell ref="A2:H2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30" hidden="0" customWidth="1"/>
    <x:col min="4" max="4" width="52" hidden="0" customWidth="1"/>
    <x:col min="5" max="5" width="44" hidden="0" customWidth="1"/>
    <x:col min="6" max="6" width="40" hidden="0" customWidth="1"/>
  </x:cols>
  <x:sheetData>
    <x:row r="1" ht="26" customHeight="1">
      <x:c r="A1" s="2" t="str">
        <x:v>Seven-step audit</x:v>
      </x:c>
      <x:c r="B1" s="2"/>
      <x:c r="C1" s="2"/>
      <x:c r="D1" s="2"/>
      <x:c r="E1" s="2"/>
      <x:c r="F1" s="2"/>
    </x:row>
    <x:row r="2" ht="22" customHeight="1">
      <x:c r="A2" s="4" t="str">
        <x:v>Every step has an explicit outcome; the final result is withholding, not a provisional curve</x:v>
      </x:c>
      <x:c r="B2" s="4"/>
      <x:c r="C2" s="4"/>
      <x:c r="D2" s="4"/>
      <x:c r="E2" s="4"/>
      <x:c r="F2" s="4"/>
    </x:row>
    <x:row r="4">
      <x:c r="A4" s="13" t="str">
        <x:v>Step</x:v>
      </x:c>
      <x:c r="B4" s="14" t="str">
        <x:v>Question</x:v>
      </x:c>
      <x:c r="C4" s="14" t="str">
        <x:v>Status</x:v>
      </x:c>
      <x:c r="D4" s="14" t="str">
        <x:v>Evidence/result</x:v>
      </x:c>
      <x:c r="E4" s="14" t="str">
        <x:v>Blocking seam</x:v>
      </x:c>
      <x:c r="F4" s="15" t="str">
        <x:v>Promotion output</x:v>
      </x:c>
    </x:row>
    <x:row r="5">
      <x:c r="A5" s="27" t="n">
        <x:v>1</x:v>
      </x:c>
      <x:c r="B5" s="27" t="str">
        <x:v>Define asset and boundary</x:v>
      </x:c>
      <x:c r="C5" s="27" t="str">
        <x:v>PASS_REFERENCE_ARCHETYPE_ONLY</x:v>
      </x:c>
      <x:c r="D5" s="27" t="str">
        <x:v>Exogenous wildfire physical destruction; outage, BI, PSPS, routine cleaning and later hazards excluded</x:v>
      </x:c>
      <x:c r="E5" s="27" t="str">
        <x:v>Site/OEM configuration external</x:v>
      </x:c>
      <x:c r="F5" s="27" t="str">
        <x:v>Approved scope/pathway</x:v>
      </x:c>
    </x:row>
    <x:row r="6">
      <x:c r="A6" s="28" t="n">
        <x:v>2</x:v>
      </x:c>
      <x:c r="B6" s="28" t="str">
        <x:v>Decompose failure units</x:v>
      </x:c>
      <x:c r="C6" s="28" t="str">
        <x:v>PARTIAL_DEPENDENCY_SAFE_SKELETON</x:v>
      </x:c>
      <x:c r="D6" s="28" t="str">
        <x:v>Repeated turbine-fire assembly plus separately located/decomposed BOP subjects</x:v>
      </x:c>
      <x:c r="E6" s="28" t="str">
        <x:v>Exact BOM, ownership and dependency states</x:v>
      </x:c>
      <x:c r="F6" s="28" t="str">
        <x:v>Approved unit/dependency map</x:v>
      </x:c>
    </x:row>
    <x:row r="7">
      <x:c r="A7" s="28" t="n">
        <x:v>3</x:v>
      </x:c>
      <x:c r="B7" s="28" t="str">
        <x:v>Choose y-axis/value basis</x:v>
      </x:c>
      <x:c r="C7" s="28" t="str">
        <x:v>PASS_REFERENCE_BASIS</x:v>
      </x:c>
      <x:c r="D7" s="28" t="str">
        <x:v>Same-unit direct cost ratio; CWER reference anatomy</x:v>
      </x:c>
      <x:c r="E7" s="28" t="str">
        <x:v>Site/unit values external</x:v>
      </x:c>
      <x:c r="F7" s="28" t="str">
        <x:v>Frozen ordinate and denominator</x:v>
      </x:c>
    </x:row>
    <x:row r="8">
      <x:c r="A8" s="28" t="n">
        <x:v>4</x:v>
      </x:c>
      <x:c r="B8" s="28" t="str">
        <x:v>Split value rows</x:v>
      </x:c>
      <x:c r="C8" s="28" t="str">
        <x:v>PARTIAL_ROW_GROUPS_ONLY</x:v>
      </x:c>
      <x:c r="D8" s="28" t="str">
        <x:v>All CWER reference rows reconciled</x:v>
      </x:c>
      <x:c r="E8" s="28" t="str">
        <x:v>Tower, 72 USD/kW electrical and mixed civil allocation</x:v>
      </x:c>
      <x:c r="F8" s="28" t="str">
        <x:v>Exact unit/SOV split</x:v>
      </x:c>
    </x:row>
    <x:row r="9">
      <x:c r="A9" s="28" t="n">
        <x:v>5</x:v>
      </x:c>
      <x:c r="B9" s="28" t="str">
        <x:v>Allocate value/exposure</x:v>
      </x:c>
      <x:c r="C9" s="28" t="str">
        <x:v>PARTIAL_FAIL_CLOSED</x:v>
      </x:c>
      <x:c r="D9" s="28" t="str">
        <x:v>Per-turbine point; line/network; GSU yard; support once</x:v>
      </x:c>
      <x:c r="E9" s="28" t="str">
        <x:v>Actual geometry, ownership, at-risk shares</x:v>
      </x:c>
      <x:c r="F9" s="28" t="str">
        <x:v>Site adapter with measurements</x:v>
      </x:c>
    </x:row>
    <x:row r="10">
      <x:c r="A10" s="28" t="n">
        <x:v>6</x:v>
      </x:c>
      <x:c r="B10" s="28" t="str">
        <x:v>Build site/event adapter</x:v>
      </x:c>
      <x:c r="C10" s="28" t="str">
        <x:v>SPECIFIED_NOT_PARAMETERIZED</x:v>
      </x:c>
      <x:c r="D10" s="28" t="str">
        <x:v>FSim context, thermal/firebrand bridge fields, selectors, conditioners and exposure separated</x:v>
      </x:c>
      <x:c r="E10" s="28" t="str">
        <x:v>No validated landscape-fire-to-unit dose bridge</x:v>
      </x:c>
      <x:c r="F10" s="28" t="str">
        <x:v>Versioned bridge + KATs</x:v>
      </x:c>
    </x:row>
    <x:row r="11">
      <x:c r="A11" s="30" t="n">
        <x:v>7</x:v>
      </x:c>
      <x:c r="B11" s="30" t="str">
        <x:v>Apply curves/reconcile loss</x:v>
      </x:c>
      <x:c r="C11" s="30" t="str">
        <x:v>WITHHELD_NO_RUNTIME_CURVE</x:v>
      </x:c>
      <x:c r="D11" s="30" t="str">
        <x:v>curve_records=[]; all metrics withheld</x:v>
      </x:c>
      <x:c r="E11" s="30" t="str">
        <x:v>No matched occurrence state/cost chain</x:v>
      </x:c>
      <x:c r="F11" s="30" t="str">
        <x:v>Reviewed model v1.0 runtime package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4" hidden="0" customWidth="1"/>
    <x:col min="5" max="5" width="62" hidden="0" customWidth="1"/>
  </x:cols>
  <x:sheetData>
    <x:row r="1" ht="26" customHeight="1">
      <x:c r="A1" s="2" t="str">
        <x:v>Wind reference value reconciliation</x:v>
      </x:c>
      <x:c r="B1" s="2"/>
      <x:c r="C1" s="2"/>
      <x:c r="D1" s="2"/>
      <x:c r="E1" s="2"/>
    </x:row>
    <x:row r="2" ht="22" customHeight="1">
      <x:c r="A2" s="4" t="str">
        <x:v>NREL CWER 2024 • 2023 USD/kW • anatomy only, never vulnerability or a site appraisal</x:v>
      </x:c>
      <x:c r="B2" s="4"/>
      <x:c r="C2" s="4"/>
      <x:c r="D2" s="4"/>
      <x:c r="E2" s="4"/>
    </x:row>
    <x:row r="4">
      <x:c r="A4" s="13" t="str">
        <x:v>Layer</x:v>
      </x:c>
      <x:c r="B4" s="15" t="str">
        <x:v>2023 USD/kW</x:v>
      </x:c>
      <x:c r="D4" s="13" t="str">
        <x:v>Control</x:v>
      </x:c>
      <x:c r="E4" s="15" t="str">
        <x:v>Rule</x:v>
      </x:c>
    </x:row>
    <x:row r="5">
      <x:c r="A5" s="27" t="str">
        <x:v>Blade hardware</x:v>
      </x:c>
      <x:c r="B5" s="45" t="n">
        <x:v>282</x:v>
      </x:c>
      <x:c r="D5" s="27" t="str">
        <x:v>Turbine denominator</x:v>
      </x:c>
      <x:c r="E5" s="27" t="str">
        <x:v>Dependency-safe same-turbine assembly value after final disposition</x:v>
      </x:c>
    </x:row>
    <x:row r="6">
      <x:c r="A6" s="28" t="str">
        <x:v>Other turbine equipment</x:v>
      </x:c>
      <x:c r="B6" s="46" t="n">
        <x:v>808</x:v>
      </x:c>
      <x:c r="D6" s="28" t="str">
        <x:v>Electrical pool</x:v>
      </x:c>
      <x:c r="E6" s="28" t="str">
        <x:v>Split pad, collection, GSU and controls; never allocate equally by default</x:v>
      </x:c>
    </x:row>
    <x:row r="7">
      <x:c r="A7" s="28" t="str">
        <x:v>Turbine equipment total</x:v>
      </x:c>
      <x:c r="B7" s="46" t="n">
        <x:f>SUM(B5:B6)</x:f>
        <x:v>1090</x:v>
      </x:c>
      <x:c r="D7" s="28" t="str">
        <x:v>Support</x:v>
      </x:c>
      <x:c r="E7" s="28" t="str">
        <x:v>Allocate fieldwork and logistics once after disposition</x:v>
      </x:c>
    </x:row>
    <x:row r="8">
      <x:c r="A8" s="28" t="str">
        <x:v>Foundation + civil + electrical</x:v>
      </x:c>
      <x:c r="B8" s="46" t="n">
        <x:v>239</x:v>
      </x:c>
      <x:c r="D8" s="28" t="str">
        <x:v>Excluded</x:v>
      </x:c>
      <x:c r="E8" s="28" t="str">
        <x:v>Never reintroduced as physical damage</x:v>
      </x:c>
    </x:row>
    <x:row r="9">
      <x:c r="A9" s="28" t="str">
        <x:v>Support/transport once</x:v>
      </x:c>
      <x:c r="B9" s="46" t="n">
        <x:v>294</x:v>
      </x:c>
      <x:c r="D9" s="28" t="str">
        <x:v>Exposure</x:v>
      </x:c>
      <x:c r="E9" s="28" t="str">
        <x:v>Turbine points and separately located BOP; no lease-polygon default</x:v>
      </x:c>
    </x:row>
    <x:row r="10">
      <x:c r="A10" s="28" t="str">
        <x:v>Physical reference</x:v>
      </x:c>
      <x:c r="B10" s="46" t="n">
        <x:f>SUM(B7:B9)</x:f>
        <x:v>1623</x:v>
      </x:c>
      <x:c r="D10" s="30" t="str">
        <x:v>Site override</x:v>
      </x:c>
      <x:c r="E10" s="30" t="str">
        <x:v>Required before any scenario loss</x:v>
      </x:c>
    </x:row>
    <x:row r="11">
      <x:c r="A11" s="28" t="str">
        <x:v>Excluded soft/sunk/nonphysical</x:v>
      </x:c>
      <x:c r="B11" s="46" t="n">
        <x:v>345</x:v>
      </x:c>
    </x:row>
    <x:row r="12">
      <x:c r="A12" s="28" t="str">
        <x:v>Installed reference</x:v>
      </x:c>
      <x:c r="B12" s="46" t="n">
        <x:f>SUM(B10:B11)</x:f>
        <x:v>1968</x:v>
      </x:c>
    </x:row>
    <x:row r="13">
      <x:c r="A13" s="28" t="str">
        <x:v>Turbine equipment / physical share</x:v>
      </x:c>
      <x:c r="B13" s="47" t="n">
        <x:f>B7/B10</x:f>
        <x:v>0.6715958102279729</x:v>
      </x:c>
    </x:row>
    <x:row r="14">
      <x:c r="A14" s="30" t="str">
        <x:v>Turbine equipment / installed share</x:v>
      </x:c>
      <x:c r="B14" s="48" t="n">
        <x:f>B7/B12</x:f>
        <x:v>0.5538617886178862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22" hidden="0" customWidth="1"/>
    <x:col min="5" max="5" width="42" hidden="0" customWidth="1"/>
    <x:col min="6" max="6" width="24" hidden="0" customWidth="1"/>
    <x:col min="7" max="7" width="14" hidden="0" customWidth="1"/>
    <x:col min="8" max="8" width="24" hidden="0" customWidth="1"/>
    <x:col min="9" max="9" width="60" hidden="0" customWidth="1"/>
  </x:cols>
  <x:sheetData>
    <x:row r="1" ht="26" customHeight="1">
      <x:c r="A1" s="2" t="str">
        <x:v>Row-level value crosswalk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4" t="str">
        <x:v>Every reference row has one treatment; mixed, support, and excluded value remain visible</x:v>
      </x:c>
      <x:c r="B2" s="4"/>
      <x:c r="C2" s="4"/>
      <x:c r="D2" s="4"/>
      <x:c r="E2" s="4"/>
      <x:c r="F2" s="4"/>
      <x:c r="G2" s="4"/>
      <x:c r="H2" s="4"/>
      <x:c r="I2" s="4"/>
    </x:row>
    <x:row r="4">
      <x:c r="A4" s="13" t="str">
        <x:v>Row ID</x:v>
      </x:c>
      <x:c r="B4" s="14" t="str">
        <x:v>Label</x:v>
      </x:c>
      <x:c r="C4" s="14" t="str">
        <x:v>Value</x:v>
      </x:c>
      <x:c r="D4" s="14" t="str">
        <x:v>Unit</x:v>
      </x:c>
      <x:c r="E4" s="14" t="str">
        <x:v>Failure unit(s)</x:v>
      </x:c>
      <x:c r="F4" s="14" t="str">
        <x:v>Role</x:v>
      </x:c>
      <x:c r="G4" s="14" t="str">
        <x:v>Direct denom?</x:v>
      </x:c>
      <x:c r="H4" s="14" t="str">
        <x:v>Status</x:v>
      </x:c>
      <x:c r="I4" s="15" t="str">
        <x:v>Guardrail</x:v>
      </x:c>
    </x:row>
    <x:row r="5">
      <x:c r="A5" s="27" t="str">
        <x:v>WIND_VALUE_002_BLADE</x:v>
      </x:c>
      <x:c r="B5" s="27" t="str">
        <x:v>Blades</x:v>
      </x:c>
      <x:c r="C5" s="49" t="n">
        <x:v>282</x:v>
      </x:c>
      <x:c r="D5" s="27" t="str">
        <x:v>2023_USD_per_kW</x:v>
      </x:c>
      <x:c r="E5" s="27" t="str">
        <x:v>WT_TURBINE_FIRE_ASSEMBLY</x:v>
      </x:c>
      <x:c r="F5" s="27" t="str">
        <x:v>direct_vulnerable_value</x:v>
      </x:c>
      <x:c r="G5" s="27" t="str">
        <x:v>true</x:v>
      </x:c>
      <x:c r="H5" s="27" t="str">
        <x:v>mapped_no_curve</x:v>
      </x:c>
      <x:c r="I5" s="27" t="str">
        <x:v>Do not add blade replacement after terminal turbine-equipment replacement or transfer blade-test response to the full row.</x:v>
      </x:c>
    </x:row>
    <x:row r="6">
      <x:c r="A6" s="28" t="str">
        <x:v>WIND_VALUE_003_PITCH</x:v>
      </x:c>
      <x:c r="B6" s="28" t="str">
        <x:v>Pitch assembly</x:v>
      </x:c>
      <x:c r="C6" s="50" t="n">
        <x:v>13</x:v>
      </x:c>
      <x:c r="D6" s="28" t="str">
        <x:v>2023_USD_per_kW</x:v>
      </x:c>
      <x:c r="E6" s="28" t="str">
        <x:v>WT_TURBINE_FIRE_ASSEMBLY</x:v>
      </x:c>
      <x:c r="F6" s="28" t="str">
        <x:v>direct_vulnerable_value</x:v>
      </x:c>
      <x:c r="G6" s="28" t="str">
        <x:v>true</x:v>
      </x:c>
      <x:c r="H6" s="28" t="str">
        <x:v>mapped_no_curve</x:v>
      </x:c>
      <x:c r="I6" s="28" t="str">
        <x:v>Do not charge pitch value because pitch state changes exposure and again under assembly replacement.</x:v>
      </x:c>
    </x:row>
    <x:row r="7">
      <x:c r="A7" s="28" t="str">
        <x:v>WIND_VALUE_004_HUB</x:v>
      </x:c>
      <x:c r="B7" s="28" t="str">
        <x:v>Hub assembly</x:v>
      </x:c>
      <x:c r="C7" s="50" t="n">
        <x:v>42</x:v>
      </x:c>
      <x:c r="D7" s="28" t="str">
        <x:v>2023_USD_per_kW</x:v>
      </x:c>
      <x:c r="E7" s="28" t="str">
        <x:v>WT_TURBINE_FIRE_ASSEMBLY</x:v>
      </x:c>
      <x:c r="F7" s="28" t="str">
        <x:v>direct_vulnerable_value</x:v>
      </x:c>
      <x:c r="G7" s="28" t="str">
        <x:v>true</x:v>
      </x:c>
      <x:c r="H7" s="28" t="str">
        <x:v>mapped_no_curve</x:v>
      </x:c>
      <x:c r="I7" s="28" t="str">
        <x:v>Do not infer hub ignition from blade specimens or internal-fire incidents.</x:v>
      </x:c>
    </x:row>
    <x:row r="8">
      <x:c r="A8" s="28" t="str">
        <x:v>WIND_VALUE_005_NACELLE_STRUCTURE</x:v>
      </x:c>
      <x:c r="B8" s="28" t="str">
        <x:v>Nacelle structural assembly</x:v>
      </x:c>
      <x:c r="C8" s="50" t="n">
        <x:v>76</x:v>
      </x:c>
      <x:c r="D8" s="28" t="str">
        <x:v>2023_USD_per_kW</x:v>
      </x:c>
      <x:c r="E8" s="28" t="str">
        <x:v>WT_TURBINE_FIRE_ASSEMBLY</x:v>
      </x:c>
      <x:c r="F8" s="28" t="str">
        <x:v>direct_vulnerable_value</x:v>
      </x:c>
      <x:c r="G8" s="28" t="str">
        <x:v>true</x:v>
      </x:c>
      <x:c r="H8" s="28" t="str">
        <x:v>mapped_no_curve</x:v>
      </x:c>
      <x:c r="I8" s="28" t="str">
        <x:v>Do not treat the full nacelle row as receiving ground-level flux or independently add it after terminal replacement.</x:v>
      </x:c>
    </x:row>
    <x:row r="9">
      <x:c r="A9" s="28" t="str">
        <x:v>WIND_VALUE_006_DRIVETRAIN</x:v>
      </x:c>
      <x:c r="B9" s="28" t="str">
        <x:v>Drivetrain assembly</x:v>
      </x:c>
      <x:c r="C9" s="50" t="n">
        <x:v>236</x:v>
      </x:c>
      <x:c r="D9" s="28" t="str">
        <x:v>2023_USD_per_kW</x:v>
      </x:c>
      <x:c r="E9" s="28" t="str">
        <x:v>WT_TURBINE_FIRE_ASSEMBLY</x:v>
      </x:c>
      <x:c r="F9" s="28" t="str">
        <x:v>direct_vulnerable_value</x:v>
      </x:c>
      <x:c r="G9" s="28" t="str">
        <x:v>true</x:v>
      </x:c>
      <x:c r="H9" s="28" t="str">
        <x:v>mapped_no_curve</x:v>
      </x:c>
      <x:c r="I9" s="28" t="str">
        <x:v>Do not infer external-wildfire loss from generic internal-fire fuel load or outage.</x:v>
      </x:c>
    </x:row>
    <x:row r="10">
      <x:c r="A10" s="28" t="str">
        <x:v>WIND_VALUE_007_POWER_ELECTRONICS</x:v>
      </x:c>
      <x:c r="B10" s="28" t="str">
        <x:v>Nacelle electrical assembly</x:v>
      </x:c>
      <x:c r="C10" s="50" t="n">
        <x:v>137</x:v>
      </x:c>
      <x:c r="D10" s="28" t="str">
        <x:v>2023_USD_per_kW</x:v>
      </x:c>
      <x:c r="E10" s="28" t="str">
        <x:v>WT_TURBINE_FIRE_ASSEMBLY</x:v>
      </x:c>
      <x:c r="F10" s="28" t="str">
        <x:v>direct_vulnerable_value</x:v>
      </x:c>
      <x:c r="G10" s="28" t="str">
        <x:v>true</x:v>
      </x:c>
      <x:c r="H10" s="28" t="str">
        <x:v>mapped_no_curve</x:v>
      </x:c>
      <x:c r="I10" s="28" t="str">
        <x:v>Do not turn smoke presence, trip or telemetry loss into physical destruction.</x:v>
      </x:c>
    </x:row>
    <x:row r="11">
      <x:c r="A11" s="28" t="str">
        <x:v>WIND_VALUE_008_YAW</x:v>
      </x:c>
      <x:c r="B11" s="28" t="str">
        <x:v>Yaw assembly</x:v>
      </x:c>
      <x:c r="C11" s="50" t="n">
        <x:v>28</x:v>
      </x:c>
      <x:c r="D11" s="28" t="str">
        <x:v>2023_USD_per_kW</x:v>
      </x:c>
      <x:c r="E11" s="28" t="str">
        <x:v>WT_TURBINE_FIRE_ASSEMBLY</x:v>
      </x:c>
      <x:c r="F11" s="28" t="str">
        <x:v>direct_vulnerable_value</x:v>
      </x:c>
      <x:c r="G11" s="28" t="str">
        <x:v>true</x:v>
      </x:c>
      <x:c r="H11" s="28" t="str">
        <x:v>mapped_no_curve</x:v>
      </x:c>
      <x:c r="I11" s="28" t="str">
        <x:v>Do not charge yaw value because azimuth enters the local-load bridge.</x:v>
      </x:c>
    </x:row>
    <x:row r="12">
      <x:c r="A12" s="28" t="str">
        <x:v>WIND_VALUE_009_TOWER</x:v>
      </x:c>
      <x:c r="B12" s="28" t="str">
        <x:v>Tower module</x:v>
      </x:c>
      <x:c r="C12" s="50" t="n">
        <x:v>276</x:v>
      </x:c>
      <x:c r="D12" s="28" t="str">
        <x:v>2023_USD_per_kW</x:v>
      </x:c>
      <x:c r="E12" s="28" t="str">
        <x:v>WT_TURBINE_FIRE_ASSEMBLY</x:v>
      </x:c>
      <x:c r="F12" s="28" t="str">
        <x:v>direct_vulnerable_value</x:v>
      </x:c>
      <x:c r="G12" s="28" t="str">
        <x:v>true</x:v>
      </x:c>
      <x:c r="H12" s="28" t="str">
        <x:v>mapped_no_curve</x:v>
      </x:c>
      <x:c r="I12" s="28" t="str">
        <x:v>Do not apply a fixed hub-height attenuation or call steel/noncombustible construction immune.</x:v>
      </x:c>
    </x:row>
    <x:row r="13">
      <x:c r="A13" s="28" t="str">
        <x:v>WIND_VALUE_010_FOUNDATION</x:v>
      </x:c>
      <x:c r="B13" s="28" t="str">
        <x:v>Foundation</x:v>
      </x:c>
      <x:c r="C13" s="50" t="n">
        <x:v>120</x:v>
      </x:c>
      <x:c r="D13" s="28" t="str">
        <x:v>2023_USD_per_kW</x:v>
      </x:c>
      <x:c r="E13" s="28" t="str">
        <x:v>WT_FOUNDATION</x:v>
      </x:c>
      <x:c r="F13" s="28" t="str">
        <x:v>geometry_material_review</x:v>
      </x:c>
      <x:c r="G13" s="28" t="str">
        <x:v>false</x:v>
      </x:c>
      <x:c r="H13" s="28" t="str">
        <x:v>withheld</x:v>
      </x:c>
      <x:c r="I13" s="28" t="str">
        <x:v>Do not assign zero from burial/noncombustibility or add post-fire erosion/scour to thermal attack.</x:v>
      </x:c>
    </x:row>
    <x:row r="14">
      <x:c r="A14" s="28" t="str">
        <x:v>WIND_VALUE_011_CIVIL</x:v>
      </x:c>
      <x:c r="B14" s="28" t="str">
        <x:v>Site access, staging, and facilities</x:v>
      </x:c>
      <x:c r="C14" s="50" t="n">
        <x:v>47</x:v>
      </x:c>
      <x:c r="D14" s="28" t="str">
        <x:v>2023_USD_per_kW</x:v>
      </x:c>
      <x:c r="E14" s="28" t="str">
        <x:v>WT_CIVIL_INFRA</x:v>
      </x:c>
      <x:c r="F14" s="28" t="str">
        <x:v>split_required</x:v>
      </x:c>
      <x:c r="G14" s="28" t="str">
        <x:v>false</x:v>
      </x:c>
      <x:c r="H14" s="28" t="str">
        <x:v>withheld</x:v>
      </x:c>
      <x:c r="I14" s="28" t="str">
        <x:v>Do not include vegetation remediation or scale mixed civil by turbine DR/exposure.</x:v>
      </x:c>
    </x:row>
    <x:row r="15">
      <x:c r="A15" s="28" t="str">
        <x:v>WIND_VALUE_012_ELECTRICAL</x:v>
      </x:c>
      <x:c r="B15" s="28" t="str">
        <x:v>Electrical infrastructure</x:v>
      </x:c>
      <x:c r="C15" s="50" t="n">
        <x:v>72</x:v>
      </x:c>
      <x:c r="D15" s="28" t="str">
        <x:v>2023_USD_per_kW</x:v>
      </x:c>
      <x:c r="E15" s="28" t="str">
        <x:v>WT_PAD_ELECTRICAL|WT_COLLECTION_NETWORK|WT_GSU_MAIN_TRANSFORMER|WT_GSU_SWITCHGEAR_BUS|WT_GSU_PROTECTION_CONTROL_DC|WT_GSU_CABLE_TERMINATIONS|WT_CONTROL_MET_OM</x:v>
      </x:c>
      <x:c r="F15" s="28" t="str">
        <x:v>split_required</x:v>
      </x:c>
      <x:c r="G15" s="28" t="str">
        <x:v>false</x:v>
      </x:c>
      <x:c r="H15" s="28" t="str">
        <x:v>withheld</x:v>
      </x:c>
      <x:c r="I15" s="28" t="str">
        <x:v>Do not use 72 USD/kW as a GSU value, duplicate one shared yard per turbine, or apply one electrical DR.</x:v>
      </x:c>
    </x:row>
    <x:row r="16">
      <x:c r="A16" s="28" t="str">
        <x:v>WIND_VALUE_013_FIELDWORK</x:v>
      </x:c>
      <x:c r="B16" s="28" t="str">
        <x:v>Assembly and installation</x:v>
      </x:c>
      <x:c r="C16" s="50" t="n">
        <x:v>100</x:v>
      </x:c>
      <x:c r="D16" s="28" t="str">
        <x:v>2023_USD_per_kW</x:v>
      </x:c>
      <x:c r="E16" s="28" t="str">
        <x:v>SUPPORT_FIELDWORK</x:v>
      </x:c>
      <x:c r="F16" s="28" t="str">
        <x:v>support_once</x:v>
      </x:c>
      <x:c r="G16" s="28" t="str">
        <x:v>false</x:v>
      </x:c>
      <x:c r="H16" s="28" t="str">
        <x:v>mapped_support_rule_open</x:v>
      </x:c>
      <x:c r="I16" s="28" t="str">
        <x:v>No independent wildfire fragility and no automatic proportional scaling in model v0.1.</x:v>
      </x:c>
    </x:row>
    <x:row r="17">
      <x:c r="A17" s="28" t="str">
        <x:v>WIND_VALUE_014_TRANSPORT</x:v>
      </x:c>
      <x:c r="B17" s="28" t="str">
        <x:v>Wind turbine transport</x:v>
      </x:c>
      <x:c r="C17" s="50" t="n">
        <x:v>194</x:v>
      </x:c>
      <x:c r="D17" s="28" t="str">
        <x:v>2023_USD_per_kW</x:v>
      </x:c>
      <x:c r="E17" s="28" t="str">
        <x:v>SUPPORT_TRANSPORT_LOGISTICS</x:v>
      </x:c>
      <x:c r="F17" s="28" t="str">
        <x:v>support_once</x:v>
      </x:c>
      <x:c r="G17" s="28" t="str">
        <x:v>false</x:v>
      </x:c>
      <x:c r="H17" s="28" t="str">
        <x:v>mapped_support_rule_open</x:v>
      </x:c>
      <x:c r="I17" s="28" t="str">
        <x:v>Do not include in intrinsic DR denominator and add again downstream.</x:v>
      </x:c>
    </x:row>
    <x:row r="18">
      <x:c r="A18" s="28" t="str">
        <x:v>WIND_VALUE_015_ENGINEERING_DEVELOPMENT</x:v>
      </x:c>
      <x:c r="B18" s="28" t="str">
        <x:v>Engineering and development</x:v>
      </x:c>
      <x:c r="C18" s="50" t="n">
        <x:v>36</x:v>
      </x:c>
      <x:c r="D18" s="28" t="str">
        <x:v>2023_USD_per_kW</x:v>
      </x:c>
      <x:c r="E18" s="28" t="str">
        <x:v>OUTSIDE_PHYSICAL_CELL</x:v>
      </x:c>
      <x:c r="F18" s="28" t="str">
        <x:v>excluded</x:v>
      </x:c>
      <x:c r="G18" s="28" t="str">
        <x:v>false</x:v>
      </x:c>
      <x:c r="H18" s="28" t="str">
        <x:v>excluded</x:v>
      </x:c>
      <x:c r="I18" s="28" t="str">
        <x:v>Do not reintroduce without an explicit insured-value boundary.</x:v>
      </x:c>
    </x:row>
    <x:row r="19">
      <x:c r="A19" s="28" t="str">
        <x:v>WIND_VALUE_016_PROJECT_MANAGEMENT</x:v>
      </x:c>
      <x:c r="B19" s="28" t="str">
        <x:v>Project management</x:v>
      </x:c>
      <x:c r="C19" s="50" t="n">
        <x:v>14</x:v>
      </x:c>
      <x:c r="D19" s="28" t="str">
        <x:v>2023_USD_per_kW</x:v>
      </x:c>
      <x:c r="E19" s="28" t="str">
        <x:v>OUTSIDE_PHYSICAL_CELL</x:v>
      </x:c>
      <x:c r="F19" s="28" t="str">
        <x:v>excluded</x:v>
      </x:c>
      <x:c r="G19" s="28" t="str">
        <x:v>false</x:v>
      </x:c>
      <x:c r="H19" s="28" t="str">
        <x:v>excluded</x:v>
      </x:c>
      <x:c r="I19" s="28" t="str">
        <x:v>Do not reintroduce through support scaling.</x:v>
      </x:c>
    </x:row>
    <x:row r="20">
      <x:c r="A20" s="28" t="str">
        <x:v>WIND_VALUE_017_FINANCE</x:v>
      </x:c>
      <x:c r="B20" s="28" t="str">
        <x:v>Construction finance</x:v>
      </x:c>
      <x:c r="C20" s="50" t="n">
        <x:v>111</x:v>
      </x:c>
      <x:c r="D20" s="28" t="str">
        <x:v>2023_USD_per_kW</x:v>
      </x:c>
      <x:c r="E20" s="28" t="str">
        <x:v>OUTSIDE_PHYSICAL_CELL</x:v>
      </x:c>
      <x:c r="F20" s="28" t="str">
        <x:v>excluded</x:v>
      </x:c>
      <x:c r="G20" s="28" t="str">
        <x:v>false</x:v>
      </x:c>
      <x:c r="H20" s="28" t="str">
        <x:v>excluded</x:v>
      </x:c>
      <x:c r="I20" s="28" t="str">
        <x:v>Financial cost is not repair value.</x:v>
      </x:c>
    </x:row>
    <x:row r="21">
      <x:c r="A21" s="28" t="str">
        <x:v>WIND_VALUE_018_CONTINGENCY</x:v>
      </x:c>
      <x:c r="B21" s="28" t="str">
        <x:v>Contingency</x:v>
      </x:c>
      <x:c r="C21" s="50" t="n">
        <x:v>54</x:v>
      </x:c>
      <x:c r="D21" s="28" t="str">
        <x:v>2023_USD_per_kW</x:v>
      </x:c>
      <x:c r="E21" s="28" t="str">
        <x:v>OUTSIDE_PHYSICAL_CELL</x:v>
      </x:c>
      <x:c r="F21" s="28" t="str">
        <x:v>excluded</x:v>
      </x:c>
      <x:c r="G21" s="28" t="str">
        <x:v>false</x:v>
      </x:c>
      <x:c r="H21" s="28" t="str">
        <x:v>excluded</x:v>
      </x:c>
      <x:c r="I21" s="28" t="str">
        <x:v>Do not use as curve uncertainty or support automatically.</x:v>
      </x:c>
    </x:row>
    <x:row r="22">
      <x:c r="A22" s="28" t="str">
        <x:v>WIND_VALUE_019_WARRANTY</x:v>
      </x:c>
      <x:c r="B22" s="28" t="str">
        <x:v>Wind turbine warranty</x:v>
      </x:c>
      <x:c r="C22" s="50" t="n">
        <x:v>130</x:v>
      </x:c>
      <x:c r="D22" s="28" t="str">
        <x:v>2023_USD_per_kW</x:v>
      </x:c>
      <x:c r="E22" s="28" t="str">
        <x:v>OUTSIDE_PHYSICAL_CELL</x:v>
      </x:c>
      <x:c r="F22" s="28" t="str">
        <x:v>excluded</x:v>
      </x:c>
      <x:c r="G22" s="28" t="str">
        <x:v>false</x:v>
      </x:c>
      <x:c r="H22" s="28" t="str">
        <x:v>excluded</x:v>
      </x:c>
      <x:c r="I22" s="28" t="str">
        <x:v>Warranty value is not replacement damage.</x:v>
      </x:c>
    </x:row>
    <x:row r="23">
      <x:c r="A23" s="28" t="str">
        <x:v>TURBINE_EQUIPMENT_TOTAL</x:v>
      </x:c>
      <x:c r="B23" s="28" t="str">
        <x:v>Turbine equipment assembly reference</x:v>
      </x:c>
      <x:c r="C23" s="50" t="n">
        <x:v>1090</x:v>
      </x:c>
      <x:c r="D23" s="28" t="str">
        <x:v>2023_USD_per_kW</x:v>
      </x:c>
      <x:c r="E23" s="28" t="str">
        <x:v>WT_TURBINE_FIRE_ASSEMBLY</x:v>
      </x:c>
      <x:c r="F23" s="28" t="str">
        <x:v>direct_vulnerable_value</x:v>
      </x:c>
      <x:c r="G23" s="28" t="str">
        <x:v>true</x:v>
      </x:c>
      <x:c r="H23" s="28" t="str">
        <x:v>mapped_no_curve</x:v>
      </x:c>
      <x:c r="I23" s="28" t="str">
        <x:v>Do not independently sum rotor/nacelle/tower after a terminal assembly state.</x:v>
      </x:c>
    </x:row>
    <x:row r="24">
      <x:c r="A24" s="28" t="str">
        <x:v>FOUNDATION_REFERENCE_TOTAL</x:v>
      </x:c>
      <x:c r="B24" s="28" t="str">
        <x:v>Foundation reference</x:v>
      </x:c>
      <x:c r="C24" s="50" t="n">
        <x:v>120</x:v>
      </x:c>
      <x:c r="D24" s="28" t="str">
        <x:v>2023_USD_per_kW</x:v>
      </x:c>
      <x:c r="E24" s="28" t="str">
        <x:v>WT_FOUNDATION</x:v>
      </x:c>
      <x:c r="F24" s="28" t="str">
        <x:v>geometry_material_review</x:v>
      </x:c>
      <x:c r="G24" s="28" t="str">
        <x:v>false</x:v>
      </x:c>
      <x:c r="H24" s="28" t="str">
        <x:v>withheld</x:v>
      </x:c>
      <x:c r="I24" s="28" t="str">
        <x:v>Withheld is not a numerical zero.</x:v>
      </x:c>
    </x:row>
    <x:row r="25">
      <x:c r="A25" s="28" t="str">
        <x:v>CIVIL_ELECTRICAL_REFERENCE_TOTAL</x:v>
      </x:c>
      <x:c r="B25" s="28" t="str">
        <x:v>Civil plus mixed electrical</x:v>
      </x:c>
      <x:c r="C25" s="50" t="n">
        <x:v>119</x:v>
      </x:c>
      <x:c r="D25" s="28" t="str">
        <x:v>2023_USD_per_kW</x:v>
      </x:c>
      <x:c r="E25" s="28" t="str">
        <x:v>MULTIPLE_WITHHELD_UNITS</x:v>
      </x:c>
      <x:c r="F25" s="28" t="str">
        <x:v>split_required</x:v>
      </x:c>
      <x:c r="G25" s="28" t="str">
        <x:v>false</x:v>
      </x:c>
      <x:c r="H25" s="28" t="str">
        <x:v>withheld</x:v>
      </x:c>
      <x:c r="I25" s="28" t="str">
        <x:v>Do not pool into turbine assembly or one facility DR.</x:v>
      </x:c>
    </x:row>
    <x:row r="26">
      <x:c r="A26" s="28" t="str">
        <x:v>WITHHELD_DIRECT_OTHER_TOTAL</x:v>
      </x:c>
      <x:c r="B26" s="28" t="str">
        <x:v>Foundation plus civil plus external electrical</x:v>
      </x:c>
      <x:c r="C26" s="50" t="n">
        <x:v>239</x:v>
      </x:c>
      <x:c r="D26" s="28" t="str">
        <x:v>2023_USD_per_kW</x:v>
      </x:c>
      <x:c r="E26" s="28" t="str">
        <x:v>MULTIPLE_WITHHELD_UNITS</x:v>
      </x:c>
      <x:c r="F26" s="28" t="str">
        <x:v>split_required</x:v>
      </x:c>
      <x:c r="G26" s="28" t="str">
        <x:v>false</x:v>
      </x:c>
      <x:c r="H26" s="28" t="str">
        <x:v>withheld</x:v>
      </x:c>
      <x:c r="I26" s="28" t="str">
        <x:v>Do not treat as zero or inherit turbine/solar response.</x:v>
      </x:c>
    </x:row>
    <x:row r="27">
      <x:c r="A27" s="28" t="str">
        <x:v>SUPPORT_TOTAL</x:v>
      </x:c>
      <x:c r="B27" s="28" t="str">
        <x:v>Fieldwork plus transport/logistics</x:v>
      </x:c>
      <x:c r="C27" s="50" t="n">
        <x:v>294</x:v>
      </x:c>
      <x:c r="D27" s="28" t="str">
        <x:v>2023_USD_per_kW</x:v>
      </x:c>
      <x:c r="E27" s="28" t="str">
        <x:v>SUPPORT_ONCE</x:v>
      </x:c>
      <x:c r="F27" s="28" t="str">
        <x:v>support_once</x:v>
      </x:c>
      <x:c r="G27" s="28" t="str">
        <x:v>false</x:v>
      </x:c>
      <x:c r="H27" s="28" t="str">
        <x:v>mapped_support_rule_open</x:v>
      </x:c>
      <x:c r="I27" s="28" t="str">
        <x:v>Do not give support its own DR or scale twice.</x:v>
      </x:c>
    </x:row>
    <x:row r="28">
      <x:c r="A28" s="28" t="str">
        <x:v>PHYSICAL_REFERENCE_TOTAL</x:v>
      </x:c>
      <x:c r="B28" s="28" t="str">
        <x:v>Physical replaceable reference basis</x:v>
      </x:c>
      <x:c r="C28" s="50" t="n">
        <x:v>1623</x:v>
      </x:c>
      <x:c r="D28" s="28" t="str">
        <x:v>2023_USD_per_kW</x:v>
      </x:c>
      <x:c r="E28" s="28" t="str">
        <x:v>REFERENCE_DENOMINATOR_ONLY</x:v>
      </x:c>
      <x:c r="F28" s="28" t="str">
        <x:v>reference</x:v>
      </x:c>
      <x:c r="G28" s="28" t="str">
        <x:v>false</x:v>
      </x:c>
      <x:c r="H28" s="28" t="str">
        <x:v>reconciled</x:v>
      </x:c>
      <x:c r="I28" s="28" t="str">
        <x:v>No pooled physical-base DR may bypass unit/exposure/support rules.</x:v>
      </x:c>
    </x:row>
    <x:row r="29">
      <x:c r="A29" s="28" t="str">
        <x:v>EXCLUDED_TOTAL</x:v>
      </x:c>
      <x:c r="B29" s="28" t="str">
        <x:v>Sunk/soft/nonphysical excluded</x:v>
      </x:c>
      <x:c r="C29" s="50" t="n">
        <x:v>345</x:v>
      </x:c>
      <x:c r="D29" s="28" t="str">
        <x:v>2023_USD_per_kW</x:v>
      </x:c>
      <x:c r="E29" s="28" t="str">
        <x:v>OUTSIDE_PHYSICAL_CELL</x:v>
      </x:c>
      <x:c r="F29" s="28" t="str">
        <x:v>excluded</x:v>
      </x:c>
      <x:c r="G29" s="28" t="str">
        <x:v>false</x:v>
      </x:c>
      <x:c r="H29" s="28" t="str">
        <x:v>reconciled</x:v>
      </x:c>
      <x:c r="I29" s="28" t="str">
        <x:v>Do not reintroduce through damage or support scaling.</x:v>
      </x:c>
    </x:row>
    <x:row r="30">
      <x:c r="A30" s="30" t="str">
        <x:v>INSTALLED_REFERENCE_TOTAL</x:v>
      </x:c>
      <x:c r="B30" s="30" t="str">
        <x:v>Installed CAPEX reference basis</x:v>
      </x:c>
      <x:c r="C30" s="51" t="n">
        <x:v>1968</x:v>
      </x:c>
      <x:c r="D30" s="30" t="str">
        <x:v>2023_USD_per_kW</x:v>
      </x:c>
      <x:c r="E30" s="30" t="str">
        <x:v>REFERENCE_REPORTING_DENOMINATOR</x:v>
      </x:c>
      <x:c r="F30" s="30" t="str">
        <x:v>reference</x:v>
      </x:c>
      <x:c r="G30" s="30" t="str">
        <x:v>false</x:v>
      </x:c>
      <x:c r="H30" s="30" t="str">
        <x:v>reconciled</x:v>
      </x:c>
      <x:c r="I30" s="30" t="str">
        <x:v>No implicit full-TIV curve or loss is published.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50" hidden="0" customWidth="1"/>
    <x:col min="4" max="4" width="34" hidden="0" customWidth="1"/>
    <x:col min="5" max="5" width="40" hidden="0" customWidth="1"/>
    <x:col min="6" max="6" width="18" hidden="0" customWidth="1"/>
    <x:col min="7" max="7" width="40" hidden="0" customWidth="1"/>
    <x:col min="8" max="8" width="54" hidden="0" customWidth="1"/>
  </x:cols>
  <x:sheetData>
    <x:row r="1" ht="26" customHeight="1">
      <x:c r="A1" s="2" t="str">
        <x:v>Failure-unit and spatial-grain registry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Withheld is not zero; support is not vulnerable hardware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Failure unit</x:v>
      </x:c>
      <x:c r="B4" s="14" t="str">
        <x:v>Subsystem</x:v>
      </x:c>
      <x:c r="C4" s="14" t="str">
        <x:v>Component/boundary</x:v>
      </x:c>
      <x:c r="D4" s="14" t="str">
        <x:v>Pathway</x:v>
      </x:c>
      <x:c r="E4" s="14" t="str">
        <x:v>Treatment</x:v>
      </x:c>
      <x:c r="F4" s="14" t="str">
        <x:v>Ordinate</x:v>
      </x:c>
      <x:c r="G4" s="14" t="str">
        <x:v>Exposure grain</x:v>
      </x:c>
      <x:c r="H4" s="15" t="str">
        <x:v>Open split / blocker</x:v>
      </x:c>
    </x:row>
    <x:row r="5">
      <x:c r="A5" s="27" t="str">
        <x:v>WT_TURBINE_FIRE_ASSEMBLY</x:v>
      </x:c>
      <x:c r="B5" s="27" t="str">
        <x:v>REPEATED TURBINE</x:v>
      </x:c>
      <x:c r="C5" s="27" t="str">
        <x:v>ROTOR NACELLE TOWER SHELL BASE AND INTERNAL SERVICES DEPENDENCY SAFE ASSEMBLY</x:v>
      </x:c>
      <x:c r="D5" s="27" t="str">
        <x:v>wildfire_thermal_attack
wildfire_firebrand_ignition
wildfire_residue_destructive_contamination</x:v>
      </x:c>
      <x:c r="E5" s="27" t="str">
        <x:v>candidate primary dependency safe assembly no curve</x:v>
      </x:c>
      <x:c r="F5" s="27" t="str">
        <x:v>withheld</x:v>
      </x:c>
      <x:c r="G5" s="27" t="str">
        <x:v>per turbine point with named vertical component zones</x:v>
      </x:c>
      <x:c r="H5" s="27" t="str">
        <x:v>Mutually exclusive repair, major repair, and replacement states plus zone-specific local attack.</x:v>
      </x:c>
    </x:row>
    <x:row r="6">
      <x:c r="A6" s="28" t="str">
        <x:v>WT_PAD_ELECTRICAL</x:v>
      </x:c>
      <x:c r="B6" s="28" t="str">
        <x:v>PLANT ELECTRICAL</x:v>
      </x:c>
      <x:c r="C6" s="28" t="str">
        <x:v>TURBINE PAD TRANSFORMER SWITCHGEAR ENCLOSURES AND EXPOSED APPARATUS</x:v>
      </x:c>
      <x:c r="D6" s="28" t="str">
        <x:v>wildfire_thermal_attack
wildfire_firebrand_ignition
wildfire_residue_destructive_contamination</x:v>
      </x:c>
      <x:c r="E6" s="28" t="str">
        <x:v>decomposition and local exposure gate no curve</x:v>
      </x:c>
      <x:c r="F6" s="28" t="str">
        <x:v>withheld</x:v>
      </x:c>
      <x:c r="G6" s="28" t="str">
        <x:v>per turbine point or pad polygon</x:v>
      </x:c>
      <x:c r="H6" s="28" t="str">
        <x:v>BOM, enclosure, ownership, value, delivered load, and disposition.</x:v>
      </x:c>
    </x:row>
    <x:row r="7">
      <x:c r="A7" s="28" t="str">
        <x:v>WT_COLLECTION_NETWORK</x:v>
      </x:c>
      <x:c r="B7" s="28" t="str">
        <x:v>PLANT ELECTRICAL</x:v>
      </x:c>
      <x:c r="C7" s="28" t="str">
        <x:v>BURIED EXPOSED OR OVERHEAD COLLECTION SEGMENTS JOINTS AND TERMINATIONS</x:v>
      </x:c>
      <x:c r="D7" s="28" t="str">
        <x:v>wildfire_thermal_attack
wildfire_firebrand_ignition
wildfire_residue_destructive_contamination</x:v>
      </x:c>
      <x:c r="E7" s="28" t="str">
        <x:v>topology and construction split required no curve</x:v>
      </x:c>
      <x:c r="F7" s="28" t="str">
        <x:v>withheld</x:v>
      </x:c>
      <x:c r="G7" s="28" t="str">
        <x:v>named point and line network segments</x:v>
      </x:c>
      <x:c r="H7" s="28" t="str">
        <x:v>Buried, exposed, and overhead construction, direct attack, and segment value.</x:v>
      </x:c>
    </x:row>
    <x:row r="8">
      <x:c r="A8" s="28" t="str">
        <x:v>WT_GSU_MAIN_TRANSFORMER</x:v>
      </x:c>
      <x:c r="B8" s="28" t="str">
        <x:v>GSU SUBSTATION</x:v>
      </x:c>
      <x:c r="C8" s="28" t="str">
        <x:v>PROJECT GSU MAIN POWER TRANSFORMER AND INTRINSIC AUXILIARIES</x:v>
      </x:c>
      <x:c r="D8" s="28" t="str">
        <x:v>wildfire_thermal_attack
wildfire_firebrand_ignition
wildfire_residue_destructive_contamination</x:v>
      </x:c>
      <x:c r="E8" s="28" t="str">
        <x:v>component inventory ownership and state gate no curve</x:v>
      </x:c>
      <x:c r="F8" s="28" t="str">
        <x:v>withheld</x:v>
      </x:c>
      <x:c r="G8" s="28" t="str">
        <x:v>actual transformer point or footprint in shared yard</x:v>
      </x:c>
      <x:c r="H8" s="28" t="str">
        <x:v>Main tank, bushings, cooling, oil containment, auxiliaries, disposition, and value.</x:v>
      </x:c>
    </x:row>
    <x:row r="9">
      <x:c r="A9" s="28" t="str">
        <x:v>WT_GSU_SWITCHGEAR_BUS</x:v>
      </x:c>
      <x:c r="B9" s="28" t="str">
        <x:v>GSU SUBSTATION</x:v>
      </x:c>
      <x:c r="C9" s="28" t="str">
        <x:v>SWITCHGEAR BREAKERS DISCONNECTS BUS AND EXPOSED YARD APPARATUS</x:v>
      </x:c>
      <x:c r="D9" s="28" t="str">
        <x:v>wildfire_thermal_attack
wildfire_firebrand_ignition
wildfire_residue_destructive_contamination</x:v>
      </x:c>
      <x:c r="E9" s="28" t="str">
        <x:v>component inventory ownership and state gate no curve</x:v>
      </x:c>
      <x:c r="F9" s="28" t="str">
        <x:v>withheld</x:v>
      </x:c>
      <x:c r="G9" s="28" t="str">
        <x:v>named component points or yard subpolygons</x:v>
      </x:c>
      <x:c r="H9" s="28" t="str">
        <x:v>Voltage class, enclosure, exposed/indoor construction, disposition, and value.</x:v>
      </x:c>
    </x:row>
    <x:row r="10">
      <x:c r="A10" s="28" t="str">
        <x:v>WT_GSU_PROTECTION_CONTROL_DC</x:v>
      </x:c>
      <x:c r="B10" s="28" t="str">
        <x:v>GSU SUBSTATION</x:v>
      </x:c>
      <x:c r="C10" s="28" t="str">
        <x:v>PROTECTION RELAY CONTROL SCADA COMMUNICATIONS STATION SERVICE AND DC POWER</x:v>
      </x:c>
      <x:c r="D10" s="28" t="str">
        <x:v>wildfire_thermal_attack
wildfire_firebrand_ignition
wildfire_residue_destructive_contamination</x:v>
      </x:c>
      <x:c r="E10" s="28" t="str">
        <x:v>component inventory building state and dependency gate no curve</x:v>
      </x:c>
      <x:c r="F10" s="28" t="str">
        <x:v>withheld</x:v>
      </x:c>
      <x:c r="G10" s="28" t="str">
        <x:v>control building room cabinet or named component</x:v>
      </x:c>
      <x:c r="H10" s="28" t="str">
        <x:v>Building protection, HVAC/filtration, cabinets, station service, DC system, dependency, and value.</x:v>
      </x:c>
    </x:row>
    <x:row r="11">
      <x:c r="A11" s="28" t="str">
        <x:v>WT_GSU_CABLE_TERMINATIONS</x:v>
      </x:c>
      <x:c r="B11" s="28" t="str">
        <x:v>GSU SUBSTATION</x:v>
      </x:c>
      <x:c r="C11" s="28" t="str">
        <x:v>CABLE TERMINATIONS PULL BOXES CONDUIT ENTRIES AND INGRESS PATHS</x:v>
      </x:c>
      <x:c r="D11" s="28" t="str">
        <x:v>wildfire_thermal_attack
wildfire_firebrand_ignition
wildfire_residue_destructive_contamination</x:v>
      </x:c>
      <x:c r="E11" s="28" t="str">
        <x:v>construction ingress path and value gate no curve</x:v>
      </x:c>
      <x:c r="F11" s="28" t="str">
        <x:v>withheld</x:v>
      </x:c>
      <x:c r="G11" s="28" t="str">
        <x:v>termination point or named pathway segment</x:v>
      </x:c>
      <x:c r="H11" s="28" t="str">
        <x:v>Construction, openings, cable material, exposure, inspected disposition, and value.</x:v>
      </x:c>
    </x:row>
    <x:row r="12">
      <x:c r="A12" s="28" t="str">
        <x:v>WT_CONTROL_MET_OM</x:v>
      </x:c>
      <x:c r="B12" s="28" t="str">
        <x:v>PLANT CONTROLS AND OPERATIONS</x:v>
      </x:c>
      <x:c r="C12" s="28" t="str">
        <x:v>CONTROL BUILDING MET STATIONS OM BUILDINGS AND EXPOSED INSTRUMENTS</x:v>
      </x:c>
      <x:c r="D12" s="28" t="str">
        <x:v>wildfire_thermal_attack
wildfire_firebrand_ignition
wildfire_residue_destructive_contamination</x:v>
      </x:c>
      <x:c r="E12" s="28" t="str">
        <x:v>subject inventory and building protection split no curve</x:v>
      </x:c>
      <x:c r="F12" s="28" t="str">
        <x:v>withheld</x:v>
      </x:c>
      <x:c r="G12" s="28" t="str">
        <x:v>separate points or building polygons</x:v>
      </x:c>
      <x:c r="H12" s="28" t="str">
        <x:v>Met, control, O&amp;M, stored spares, dependencies, ownership, value, and response.</x:v>
      </x:c>
    </x:row>
    <x:row r="13">
      <x:c r="A13" s="28" t="str">
        <x:v>WT_FOUNDATION</x:v>
      </x:c>
      <x:c r="B13" s="28" t="str">
        <x:v>FOUNDATION</x:v>
      </x:c>
      <x:c r="C13" s="28" t="str">
        <x:v>TURBINE FOUNDATION AND BASE INTERFACE</x:v>
      </x:c>
      <x:c r="D13" s="28" t="str">
        <x:v>wildfire_thermal_attack
wildfire_firebrand_ignition
wildfire_residue_destructive_contamination</x:v>
      </x:c>
      <x:c r="E13" s="28" t="str">
        <x:v>geometry screened no curve not zero</x:v>
      </x:c>
      <x:c r="F13" s="28" t="str">
        <x:v>withheld</x:v>
      </x:c>
      <x:c r="G13" s="28" t="str">
        <x:v>per turbine point and base interface</x:v>
      </x:c>
      <x:c r="H13" s="28" t="str">
        <x:v>Direct wildfire path remains unqualified; post-fire erosion or flood is a separate pathway.</x:v>
      </x:c>
    </x:row>
    <x:row r="14">
      <x:c r="A14" s="28" t="str">
        <x:v>WT_CIVIL_INFRA</x:v>
      </x:c>
      <x:c r="B14" s="28" t="str">
        <x:v>PLANT CIVIL</x:v>
      </x:c>
      <x:c r="C14" s="28" t="str">
        <x:v>ROADS CRANE PADS BUILDINGS FENCES DRAINAGE AND VEGETATION CONTROL MIXED</x:v>
      </x:c>
      <x:c r="D14" s="28" t="str">
        <x:v>wildfire_thermal_attack
wildfire_firebrand_ignition
wildfire_residue_destructive_contamination</x:v>
      </x:c>
      <x:c r="E14" s="28" t="str">
        <x:v>mixed subject split and pathway gate no curve</x:v>
      </x:c>
      <x:c r="F14" s="28" t="str">
        <x:v>withheld</x:v>
      </x:c>
      <x:c r="G14" s="28" t="str">
        <x:v>named line network point or polygon subjects</x:v>
      </x:c>
      <x:c r="H14" s="28" t="str">
        <x:v>Direct physical subjects versus mitigation controls, access, and post-fire consequences.</x:v>
      </x:c>
    </x:row>
    <x:row r="15">
      <x:c r="A15" s="28" t="str">
        <x:v>SUPPORT_FIELDWORK</x:v>
      </x:c>
      <x:c r="B15" s="28" t="str">
        <x:v>SUPPORT</x:v>
      </x:c>
      <x:c r="C15" s="28" t="str">
        <x:v>INSPECTION ACCESS ASSEMBLY INSTALLATION AND SITE FIELDWORK</x:v>
      </x:c>
      <x:c r="D15" s="28" t="str">
        <x:v>all_shared</x:v>
      </x:c>
      <x:c r="E15" s="28" t="str">
        <x:v>support cost allocate once after disposition no curve</x:v>
      </x:c>
      <x:c r="F15" s="28" t="str">
        <x:v>not applicable</x:v>
      </x:c>
      <x:c r="G15" s="28" t="str">
        <x:v>post damage repair or replacement scope</x:v>
      </x:c>
      <x:c r="H15" s="28" t="str">
        <x:v>Claims or site allocation rule; never assign an independent wildfire damage ratio.</x:v>
      </x:c>
    </x:row>
    <x:row r="16">
      <x:c r="A16" s="30" t="str">
        <x:v>SUPPORT_TRANSPORT_LOGISTICS</x:v>
      </x:c>
      <x:c r="B16" s="30" t="str">
        <x:v>SUPPORT</x:v>
      </x:c>
      <x:c r="C16" s="30" t="str">
        <x:v>TRANSPORT CRANE HEAVY LIFT AND REPLACEMENT LOGISTICS</x:v>
      </x:c>
      <x:c r="D16" s="30" t="str">
        <x:v>all_shared</x:v>
      </x:c>
      <x:c r="E16" s="30" t="str">
        <x:v>support cost allocate once after disposition no curve</x:v>
      </x:c>
      <x:c r="F16" s="30" t="str">
        <x:v>not applicable</x:v>
      </x:c>
      <x:c r="G16" s="30" t="str">
        <x:v>post damage replacement scope</x:v>
      </x:c>
      <x:c r="H16" s="30" t="str">
        <x:v>Distance, crane, access, heavy-lift, and replacement rule; no independent wildfire DR.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8" hidden="0" customWidth="1"/>
    <x:col min="3" max="3" width="54" hidden="0" customWidth="1"/>
    <x:col min="4" max="4" width="24" hidden="0" customWidth="1"/>
    <x:col min="5" max="5" width="20" hidden="0" customWidth="1"/>
    <x:col min="6" max="6" width="18" hidden="0" customWidth="1"/>
    <x:col min="7" max="7" width="22" hidden="0" customWidth="1"/>
    <x:col min="8" max="8" width="60" hidden="0" customWidth="1"/>
  </x:cols>
  <x:sheetData>
    <x:row r="1" ht="26" customHeight="1">
      <x:c r="A1" s="2" t="str">
        <x:v>Numerical candidate audit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Numbers remain in source-native audit context and never become runtime economic DR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Candidate</x:v>
      </x:c>
      <x:c r="B4" s="14" t="str">
        <x:v>Endpoint</x:v>
      </x:c>
      <x:c r="C4" s="14" t="str">
        <x:v>Useful variables/result</x:v>
      </x:c>
      <x:c r="D4" s="14" t="str">
        <x:v>Target match</x:v>
      </x:c>
      <x:c r="E4" s="14" t="str">
        <x:v>Economic endpoint?</x:v>
      </x:c>
      <x:c r="F4" s="14" t="str">
        <x:v>Runtime enabled</x:v>
      </x:c>
      <x:c r="G4" s="14" t="str">
        <x:v>Decision</x:v>
      </x:c>
      <x:c r="H4" s="15" t="str">
        <x:v>Reason</x:v>
      </x:c>
    </x:row>
    <x:row r="5">
      <x:c r="A5" s="27" t="str">
        <x:v>FSim conditional flame-length classes</x:v>
      </x:c>
      <x:c r="B5" s="27" t="str">
        <x:v>Regional wildfire frequency/intensity context</x:v>
      </x:c>
      <x:c r="C5" s="27" t="str">
        <x:v>Six conditional classes at 270 m support; burn probability separate</x:v>
      </x:c>
      <x:c r="D5" s="27" t="str">
        <x:v>hazard only</x:v>
      </x:c>
      <x:c r="E5" s="27" t="str">
        <x:v>no</x:v>
      </x:c>
      <x:c r="F5" s="56" t="b">
        <x:v>0</x:v>
      </x:c>
      <x:c r="G5" s="27" t="str">
        <x:v>context only</x:v>
      </x:c>
      <x:c r="H5" s="27" t="str">
        <x:v>Class is not unit heat flux, duration, firebrand dose or DR</x:v>
      </x:c>
    </x:row>
    <x:row r="6">
      <x:c r="A6" s="28" t="str">
        <x:v>USFS wildland heating measurements</x:v>
      </x:c>
      <x:c r="B6" s="28" t="str">
        <x:v>Radiant/convective flux-time histories</x:v>
      </x:c>
      <x:c r="C6" s="28" t="str">
        <x:v>Fuel and environment materially change peak and sustained heating</x:v>
      </x:c>
      <x:c r="D6" s="28" t="str">
        <x:v>mechanism only</x:v>
      </x:c>
      <x:c r="E6" s="28" t="str">
        <x:v>no</x:v>
      </x:c>
      <x:c r="F6" s="29" t="b">
        <x:v>0</x:v>
      </x:c>
      <x:c r="G6" s="28" t="str">
        <x:v>candidate bridge evidence</x:v>
      </x:c>
      <x:c r="H6" s="28" t="str">
        <x:v>No universal FSim-to-component-zone transfer</x:v>
      </x:c>
    </x:row>
    <x:row r="7">
      <x:c r="A7" s="28" t="str">
        <x:v>NIST firebrand experiments</x:v>
      </x:c>
      <x:c r="B7" s="28" t="str">
        <x:v>Particle/deposition heat transfer</x:v>
      </x:c>
      <x:c r="C7" s="28" t="str">
        <x:v>Flux/count, size/mass, state, wind, accumulation and contact matter</x:v>
      </x:c>
      <x:c r="D7" s="28" t="str">
        <x:v>mechanism only</x:v>
      </x:c>
      <x:c r="E7" s="28" t="str">
        <x:v>no</x:v>
      </x:c>
      <x:c r="F7" s="29" t="b">
        <x:v>0</x:v>
      </x:c>
      <x:c r="G7" s="28" t="str">
        <x:v>separate pathway evidence</x:v>
      </x:c>
      <x:c r="H7" s="28" t="str">
        <x:v>No wind-unit ignition probability or cost</x:v>
      </x:c>
    </x:row>
    <x:row r="8">
      <x:c r="A8" s="28" t="str">
        <x:v>Blade-composite fire tests</x:v>
      </x:c>
      <x:c r="B8" s="28" t="str">
        <x:v>Specific coupon pyrolysis/ignition response</x:v>
      </x:c>
      <x:c r="C8" s="28" t="str">
        <x:v>Incident heat flux, time, resin and geometry are load-bearing</x:v>
      </x:c>
      <x:c r="D8" s="28" t="str">
        <x:v>material partial</x:v>
      </x:c>
      <x:c r="E8" s="28" t="str">
        <x:v>no</x:v>
      </x:c>
      <x:c r="F8" s="29" t="b">
        <x:v>0</x:v>
      </x:c>
      <x:c r="G8" s="28" t="str">
        <x:v>candidate only</x:v>
      </x:c>
      <x:c r="H8" s="28" t="str">
        <x:v>Coupon endpoint is not blade disposition or economic DR</x:v>
      </x:c>
    </x:row>
    <x:row r="9">
      <x:c r="A9" s="28" t="str">
        <x:v>AFAC Waterloo observation</x:v>
      </x:c>
      <x:c r="B9" s="28" t="str">
        <x:v>One bushfire burned beneath turbines</x:v>
      </x:c>
      <x:c r="C9" s="28" t="str">
        <x:v>No infrastructure damage reported in one unquantified event</x:v>
      </x:c>
      <x:c r="D9" s="28" t="str">
        <x:v>event partial</x:v>
      </x:c>
      <x:c r="E9" s="28" t="str">
        <x:v>no</x:v>
      </x:c>
      <x:c r="F9" s="29" t="b">
        <x:v>0</x:v>
      </x:c>
      <x:c r="G9" s="28" t="str">
        <x:v>boundary evidence</x:v>
      </x:c>
      <x:c r="H9" s="28" t="str">
        <x:v>Cannot calibrate a zero region or probability</x:v>
      </x:c>
    </x:row>
    <x:row r="10">
      <x:c r="A10" s="30" t="str">
        <x:v>Legacy rotor/nacelle/tower logistics</x:v>
      </x:c>
      <x:c r="B10" s="30" t="str">
        <x:v>Invented heat bridge and three response functions</x:v>
      </x:c>
      <x:c r="C10" s="30" t="str">
        <x:v>Formula/table contradictions; wrong causal evidence; no BOP</x:v>
      </x:c>
      <x:c r="D10" s="30" t="str">
        <x:v>none</x:v>
      </x:c>
      <x:c r="E10" s="30" t="str">
        <x:v>wrong</x:v>
      </x:c>
      <x:c r="F10" s="57" t="b">
        <x:v>0</x:v>
      </x:c>
      <x:c r="G10" s="30" t="str">
        <x:v>reject</x:v>
      </x:c>
      <x:c r="H10" s="30" t="str">
        <x:v>Cannot seed threshold, slope, cap, unit response or KAT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48" hidden="0" customWidth="1"/>
    <x:col min="4" max="4" width="18" hidden="0" customWidth="1"/>
    <x:col min="5" max="5" width="24" hidden="0" customWidth="1"/>
    <x:col min="6" max="6" width="28" hidden="0" customWidth="1"/>
    <x:col min="7" max="7" width="56" hidden="0" customWidth="1"/>
  </x:cols>
  <x:sheetData>
    <x:row r="1" ht="26" customHeight="1">
      <x:c r="A1" s="2" t="str">
        <x:v>Site/event adapter</x:v>
      </x:c>
      <x:c r="B1" s="2"/>
      <x:c r="C1" s="2"/>
      <x:c r="D1" s="2"/>
      <x:c r="E1" s="2"/>
      <x:c r="F1" s="2"/>
      <x:c r="G1" s="2"/>
    </x:row>
    <x:row r="2" ht="22" customHeight="1">
      <x:c r="A2" s="4" t="str">
        <x:v>One causal treatment per field; unknown protection or exposure never earns credit</x:v>
      </x:c>
      <x:c r="B2" s="4"/>
      <x:c r="C2" s="4"/>
      <x:c r="D2" s="4"/>
      <x:c r="E2" s="4"/>
      <x:c r="F2" s="4"/>
      <x:c r="G2" s="4"/>
    </x:row>
    <x:row r="4">
      <x:c r="A4" s="13" t="str">
        <x:v>Field/group</x:v>
      </x:c>
      <x:c r="B4" s="14" t="str">
        <x:v>Role</x:v>
      </x:c>
      <x:c r="C4" s="14" t="str">
        <x:v>Examples</x:v>
      </x:c>
      <x:c r="D4" s="14" t="str">
        <x:v>Required future?</x:v>
      </x:c>
      <x:c r="E4" s="14" t="str">
        <x:v>v0.1 behavior</x:v>
      </x:c>
      <x:c r="F4" s="14" t="str">
        <x:v>Missing/default</x:v>
      </x:c>
      <x:c r="G4" s="15" t="str">
        <x:v>Double-count guardrail</x:v>
      </x:c>
    </x:row>
    <x:row r="5">
      <x:c r="A5" s="27" t="str">
        <x:v>Identity</x:v>
      </x:c>
      <x:c r="B5" s="27" t="str">
        <x:v>pathway/event</x:v>
      </x:c>
      <x:c r="C5" s="27" t="str">
        <x:v>event_id, event_family_id, pathway_id</x:v>
      </x:c>
      <x:c r="D5" s="27" t="str">
        <x:v>yes</x:v>
      </x:c>
      <x:c r="E5" s="27" t="str">
        <x:v>validate only</x:v>
      </x:c>
      <x:c r="F5" s="27" t="str">
        <x:v>reject/withhold</x:v>
      </x:c>
      <x:c r="G5" s="27" t="str">
        <x:v>Never infer thermal, firebrand or residue pathway from one scalar</x:v>
      </x:c>
    </x:row>
    <x:row r="6">
      <x:c r="A6" s="28" t="str">
        <x:v>Regional wildfire context</x:v>
      </x:c>
      <x:c r="B6" s="28" t="str">
        <x:v>source hazard</x:v>
      </x:c>
      <x:c r="C6" s="28" t="str">
        <x:v>FSim burn probability and conditional flame-length class</x:v>
      </x:c>
      <x:c r="D6" s="28" t="str">
        <x:v>yes</x:v>
      </x:c>
      <x:c r="E6" s="28" t="str">
        <x:v>capture only</x:v>
      </x:c>
      <x:c r="F6" s="28" t="str">
        <x:v>no midpoint/default</x:v>
      </x:c>
      <x:c r="G6" s="28" t="str">
        <x:v>Frequency remains in Hazard; class is not delivered demand</x:v>
      </x:c>
    </x:row>
    <x:row r="7">
      <x:c r="A7" s="28" t="str">
        <x:v>Thermal attack history</x:v>
      </x:c>
      <x:c r="B7" s="28" t="str">
        <x:v>bridge inputs</x:v>
      </x:c>
      <x:c r="C7" s="28" t="str">
        <x:v>radiant/convective flux, gas temperature/velocity, flame contact, duration</x:v>
      </x:c>
      <x:c r="D7" s="28" t="str">
        <x:v>yes</x:v>
      </x:c>
      <x:c r="E7" s="28" t="str">
        <x:v>disabled</x:v>
      </x:c>
      <x:c r="F7" s="28" t="str">
        <x:v>withhold</x:v>
      </x:c>
      <x:c r="G7" s="28" t="str">
        <x:v>One qualified local bridge; do not sum duplicated heat representations</x:v>
      </x:c>
    </x:row>
    <x:row r="8">
      <x:c r="A8" s="28" t="str">
        <x:v>Firebrand attack history</x:v>
      </x:c>
      <x:c r="B8" s="28" t="str">
        <x:v>bridge inputs</x:v>
      </x:c>
      <x:c r="C8" s="28" t="str">
        <x:v>particle flux/count, size/mass/state, deposition, accumulation, ingress</x:v>
      </x:c>
      <x:c r="D8" s="28" t="str">
        <x:v>yes</x:v>
      </x:c>
      <x:c r="E8" s="28" t="str">
        <x:v>disabled</x:v>
      </x:c>
      <x:c r="F8" s="28" t="str">
        <x:v>withhold</x:v>
      </x:c>
      <x:c r="G8" s="28" t="str">
        <x:v>Separate pathway; no uniform-heating shortcut</x:v>
      </x:c>
    </x:row>
    <x:row r="9">
      <x:c r="A9" s="28" t="str">
        <x:v>Unit identity and BOM</x:v>
      </x:c>
      <x:c r="B9" s="28" t="str">
        <x:v>selector</x:v>
      </x:c>
      <x:c r="C9" s="28" t="str">
        <x:v>turbine/OEM, blade resin, nacelle enclosure, pad/GSU equipment, cable burial</x:v>
      </x:c>
      <x:c r="D9" s="28" t="str">
        <x:v>yes</x:v>
      </x:c>
      <x:c r="E9" s="28" t="str">
        <x:v>capture only</x:v>
      </x:c>
      <x:c r="F9" s="28" t="str">
        <x:v>unknown no curve</x:v>
      </x:c>
      <x:c r="G9" s="28" t="str">
        <x:v>No solar or generic-building family fallback</x:v>
      </x:c>
    </x:row>
    <x:row r="10">
      <x:c r="A10" s="28" t="str">
        <x:v>Event-time state</x:v>
      </x:c>
      <x:c r="B10" s="28" t="str">
        <x:v>conditioner</x:v>
      </x:c>
      <x:c r="C10" s="28" t="str">
        <x:v>wind, shutdown/de-energization, vent/enclosure, suppression state</x:v>
      </x:c>
      <x:c r="D10" s="28" t="str">
        <x:v>yes</x:v>
      </x:c>
      <x:c r="E10" s="28" t="str">
        <x:v>capture only</x:v>
      </x:c>
      <x:c r="F10" s="28" t="str">
        <x:v>unknown no credit</x:v>
      </x:c>
      <x:c r="G10" s="28" t="str">
        <x:v>Feed bridge/response once; no duplicate multiplier</x:v>
      </x:c>
    </x:row>
    <x:row r="11">
      <x:c r="A11" s="28" t="str">
        <x:v>Delivered unit demand</x:v>
      </x:c>
      <x:c r="B11" s="28" t="str">
        <x:v>derived exposure</x:v>
      </x:c>
      <x:c r="C11" s="28" t="str">
        <x:v>component-zone heat history, flame contact and firebrand state</x:v>
      </x:c>
      <x:c r="D11" s="28" t="str">
        <x:v>yes</x:v>
      </x:c>
      <x:c r="E11" s="28" t="str">
        <x:v>disabled</x:v>
      </x:c>
      <x:c r="F11" s="28" t="str">
        <x:v>withhold</x:v>
      </x:c>
      <x:c r="G11" s="28" t="str">
        <x:v>Do not treat FSim class as this field</x:v>
      </x:c>
    </x:row>
    <x:row r="12">
      <x:c r="A12" s="28" t="str">
        <x:v>Turbine exposure</x:v>
      </x:c>
      <x:c r="B12" s="28" t="str">
        <x:v>subject geometry</x:v>
      </x:c>
      <x:c r="C12" s="28" t="str">
        <x:v>per-turbine point, elevation zones, lower-tip height, setback</x:v>
      </x:c>
      <x:c r="D12" s="28" t="str">
        <x:v>yes</x:v>
      </x:c>
      <x:c r="E12" s="28" t="str">
        <x:v>capture only</x:v>
      </x:c>
      <x:c r="F12" s="28" t="str">
        <x:v>no lease default</x:v>
      </x:c>
      <x:c r="G12" s="28" t="str">
        <x:v>One shared wildfire event; no independent fire draw per turbine</x:v>
      </x:c>
    </x:row>
    <x:row r="13">
      <x:c r="A13" s="28" t="str">
        <x:v>BOP exposure</x:v>
      </x:c>
      <x:c r="B13" s="28" t="str">
        <x:v>subject geometry</x:v>
      </x:c>
      <x:c r="C13" s="28" t="str">
        <x:v>pad points, collection segments, GSU yard and control/O&amp;M footprints</x:v>
      </x:c>
      <x:c r="D13" s="28" t="str">
        <x:v>yes</x:v>
      </x:c>
      <x:c r="E13" s="28" t="str">
        <x:v>capture only</x:v>
      </x:c>
      <x:c r="F13" s="28" t="str">
        <x:v>withhold</x:v>
      </x:c>
      <x:c r="G13" s="28" t="str">
        <x:v>Never model BOP as one extra turbine or duplicate GSU</x:v>
      </x:c>
    </x:row>
    <x:row r="14">
      <x:c r="A14" s="30" t="str">
        <x:v>Value/support</x:v>
      </x:c>
      <x:c r="B14" s="30" t="str">
        <x:v>value/allocation</x:v>
      </x:c>
      <x:c r="C14" s="30" t="str">
        <x:v>same-unit value; fieldwork/transport once</x:v>
      </x:c>
      <x:c r="D14" s="30" t="str">
        <x:v>yes</x:v>
      </x:c>
      <x:c r="E14" s="30" t="str">
        <x:v>reference only</x:v>
      </x:c>
      <x:c r="F14" s="30" t="str">
        <x:v>withhold loss</x:v>
      </x:c>
      <x:c r="G14" s="30" t="str">
        <x:v>No support DR plus scaling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30" hidden="0" customWidth="1"/>
    <x:col min="4" max="4" width="54" hidden="0" customWidth="1"/>
    <x:col min="5" max="5" width="26" hidden="0" customWidth="1"/>
    <x:col min="6" max="6" width="42" hidden="0" customWidth="1"/>
    <x:col min="7" max="7" width="52" hidden="0" customWidth="1"/>
    <x:col min="8" max="8" width="34" hidden="0" customWidth="1"/>
  </x:cols>
  <x:sheetData>
    <x:row r="1" ht="26" customHeight="1">
      <x:c r="A1" s="2" t="str">
        <x:v>Legacy and neighboring-material audit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Legacy input is evidence to audit, not authority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Item</x:v>
      </x:c>
      <x:c r="B4" s="14" t="str">
        <x:v>Origin</x:v>
      </x:c>
      <x:c r="C4" s="14" t="str">
        <x:v>Check</x:v>
      </x:c>
      <x:c r="D4" s="14" t="str">
        <x:v>Result</x:v>
      </x:c>
      <x:c r="E4" s="14" t="str">
        <x:v>Runtime disposition</x:v>
      </x:c>
      <x:c r="F4" s="14" t="str">
        <x:v>Permitted reuse</x:v>
      </x:c>
      <x:c r="G4" s="14" t="str">
        <x:v>Prohibited reuse</x:v>
      </x:c>
      <x:c r="H4" s="15" t="str">
        <x:v>Update trigger</x:v>
      </x:c>
    </x:row>
    <x:row r="5">
      <x:c r="A5" s="27" t="str">
        <x:v>Hazard wildfire-wind plan</x:v>
      </x:c>
      <x:c r="B5" s="27" t="str">
        <x:v>Hazard_modeling pinned consumer plan</x:v>
      </x:c>
      <x:c r="C5" s="27" t="str">
        <x:v>geometry and assumptions</x:v>
      </x:c>
      <x:c r="D5" s="27" t="str">
        <x:v>Shared FSim event context useful; scalar hub-height attenuation and old three curves unsupported</x:v>
      </x:c>
      <x:c r="E5" s="27" t="str">
        <x:v>adopt boundary only</x:v>
      </x:c>
      <x:c r="F5" s="27" t="str">
        <x:v>event identity and geometry contract</x:v>
      </x:c>
      <x:c r="G5" s="27" t="str">
        <x:v>scientific calibration or runtime loading</x:v>
      </x:c>
      <x:c r="H5" s="27" t="str">
        <x:v>reviewed canonical artifact</x:v>
      </x:c>
    </x:row>
    <x:row r="6">
      <x:c r="A6" s="28" t="str">
        <x:v>Legacy three logistics</x:v>
      </x:c>
      <x:c r="B6" s="28" t="str">
        <x:v>old damage-curve repo pinned commit</x:v>
      </x:c>
      <x:c r="C6" s="28" t="str">
        <x:v>independent recomputation</x:v>
      </x:c>
      <x:c r="D6" s="28" t="str">
        <x:v>Rotor/nacelle/tower functions contradict displayed tables and omit BOP</x:v>
      </x:c>
      <x:c r="E6" s="28" t="str">
        <x:v>reject</x:v>
      </x:c>
      <x:c r="F6" s="28" t="str">
        <x:v>negative regression only</x:v>
      </x:c>
      <x:c r="G6" s="28" t="str">
        <x:v>all ordinates, shapes, thresholds and caps</x:v>
      </x:c>
      <x:c r="H6" s="28" t="str">
        <x:v>new matched evidence</x:v>
      </x:c>
    </x:row>
    <x:row r="7">
      <x:c r="A7" s="28" t="str">
        <x:v>Fixed q=0.35I/d bridge</x:v>
      </x:c>
      <x:c r="B7" s="28" t="str">
        <x:v>old damage-curve repo</x:v>
      </x:c>
      <x:c r="C7" s="28" t="str">
        <x:v>physical transfer check</x:v>
      </x:c>
      <x:c r="D7" s="28" t="str">
        <x:v>d=10 m and height attenuation were not validated to component zones</x:v>
      </x:c>
      <x:c r="E7" s="28" t="str">
        <x:v>reject</x:v>
      </x:c>
      <x:c r="F7" s="28" t="str">
        <x:v>migration warning</x:v>
      </x:c>
      <x:c r="G7" s="28" t="str">
        <x:v>heat-flux or height modifier reuse</x:v>
      </x:c>
      <x:c r="H7" s="28" t="str">
        <x:v>validated local bridge</x:v>
      </x:c>
    </x:row>
    <x:row r="8">
      <x:c r="A8" s="28" t="str">
        <x:v>Residential distance proxy</x:v>
      </x:c>
      <x:c r="B8" s="28" t="str">
        <x:v>Learning vault pinned commit</x:v>
      </x:c>
      <x:c r="C8" s="28" t="str">
        <x:v>direction and asset check</x:v>
      </x:c>
      <x:c r="D8" s="28" t="str">
        <x:v>Positive-k logistic increases damage with distance and is wrong asset</x:v>
      </x:c>
      <x:c r="E8" s="28" t="str">
        <x:v>reject</x:v>
      </x:c>
      <x:c r="F8" s="28" t="str">
        <x:v>negative regression only</x:v>
      </x:c>
      <x:c r="G8" s="28" t="str">
        <x:v>formula, parameters or values</x:v>
      </x:c>
      <x:c r="H8" s="28" t="str">
        <x:v>new wind evidence</x:v>
      </x:c>
    </x:row>
    <x:row r="9">
      <x:c r="A9" s="28" t="str">
        <x:v>Wildfire-solar screening curves</x:v>
      </x:c>
      <x:c r="B9" s="28" t="str">
        <x:v>wildfire_solar current</x:v>
      </x:c>
      <x:c r="C9" s="28" t="str">
        <x:v>asset/endpoint transfer</x:v>
      </x:c>
      <x:c r="D9" s="28" t="str">
        <x:v>FSim semantics reusable; PV response and value weights are not</x:v>
      </x:c>
      <x:c r="E9" s="28" t="str">
        <x:v>reject fallback</x:v>
      </x:c>
      <x:c r="F9" s="28" t="str">
        <x:v>hazard vocabulary and source lineage</x:v>
      </x:c>
      <x:c r="G9" s="28" t="str">
        <x:v>numeric curves or component ranking</x:v>
      </x:c>
      <x:c r="H9" s="28" t="str">
        <x:v>exact wind transfer evidence</x:v>
      </x:c>
    </x:row>
    <x:row r="10">
      <x:c r="A10" s="30" t="str">
        <x:v>Internal turbine-fire evidence</x:v>
      </x:c>
      <x:c r="B10" s="30" t="str">
        <x:v>reviews, BSEE and events</x:v>
      </x:c>
      <x:c r="C10" s="30" t="str">
        <x:v>causal-direction check</x:v>
      </x:c>
      <x:c r="D10" s="30" t="str">
        <x:v>Useful for anatomy/propagation/disposition; ignition cause differs</x:v>
      </x:c>
      <x:c r="E10" s="30" t="str">
        <x:v>adjacent only</x:v>
      </x:c>
      <x:c r="F10" s="30" t="str">
        <x:v>dependency states and fire-load anatomy</x:v>
      </x:c>
      <x:c r="G10" s="30" t="str">
        <x:v>external wildfire occurrence probability or DR</x:v>
      </x:c>
      <x:c r="H10" s="30" t="str">
        <x:v>attributed exogenous-wildfire cases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4" hidden="0" customWidth="1"/>
    <x:col min="3" max="3" width="24" hidden="0" customWidth="1"/>
    <x:col min="4" max="4" width="28" hidden="0" customWidth="1"/>
    <x:col min="5" max="5" width="38" hidden="0" customWidth="1"/>
    <x:col min="6" max="6" width="32" hidden="0" customWidth="1"/>
    <x:col min="7" max="7" width="30" hidden="0" customWidth="1"/>
    <x:col min="8" max="8" width="20" hidden="0" customWidth="1"/>
    <x:col min="9" max="9" width="54" hidden="0" customWidth="1"/>
    <x:col min="10" max="10" width="54" hidden="0" customWidth="1"/>
    <x:col min="11" max="11" width="40" hidden="0" customWidth="1"/>
  </x:cols>
  <x:sheetData>
    <x:row r="1" ht="26" customHeight="1">
      <x:c r="A1" s="2" t="str">
        <x:v>Claim and parameter provenance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4" t="str">
        <x:v>Every load-bearing claim has sources, locator, transfer limits, decision, and trigger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>
      <x:c r="A4" s="13" t="str">
        <x:v>Claim ID</x:v>
      </x:c>
      <x:c r="B4" s="14" t="str">
        <x:v>Claim</x:v>
      </x:c>
      <x:c r="C4" s="14" t="str">
        <x:v>Type</x:v>
      </x:c>
      <x:c r="D4" s="14" t="str">
        <x:v>Source IDs</x:v>
      </x:c>
      <x:c r="E4" s="14" t="str">
        <x:v>Locator</x:v>
      </x:c>
      <x:c r="F4" s="14" t="str">
        <x:v>Tier</x:v>
      </x:c>
      <x:c r="G4" s="14" t="str">
        <x:v>Rule</x:v>
      </x:c>
      <x:c r="H4" s="14" t="str">
        <x:v>Status</x:v>
      </x:c>
      <x:c r="I4" s="14" t="str">
        <x:v>Permitted inference</x:v>
      </x:c>
      <x:c r="J4" s="14" t="str">
        <x:v>Prohibited inference</x:v>
      </x:c>
      <x:c r="K4" s="15" t="str">
        <x:v>Update trigger</x:v>
      </x:c>
    </x:row>
    <x:row r="5">
      <x:c r="A5" s="27" t="str">
        <x:v>WW-C001</x:v>
      </x:c>
      <x:c r="B5" s="27" t="str">
        <x:v>This cell is limited to exogenous wildfire attack on wind-farm equipment; equipment-origin, electrical, lightning, maintenance, and other endogenous fires are not substitute calibration cases.</x:v>
      </x:c>
      <x:c r="C5" s="27" t="str">
        <x:v>governance_decision</x:v>
      </x:c>
      <x:c r="D5" s="27" t="str">
        <x:v>GOVERNANCE_CONTRACT;WW-S008;WW-S016</x:v>
      </x:c>
      <x:c r="E5" s="27" t="str">
        <x:v>cell boundary; incident-source limits</x:v>
      </x:c>
      <x:c r="F5" s="27" t="str">
        <x:v>T4_placeholder_or_expert_judgment</x:v>
      </x:c>
      <x:c r="G5" s="27" t="str">
        <x:v>fire_origin=exogenous_wildfire</x:v>
      </x:c>
      <x:c r="H5" s="27" t="str">
        <x:v>adopt</x:v>
      </x:c>
      <x:c r="I5" s="27" t="str">
        <x:v>Use internal-fire evidence only for anatomy, propagation, and post-ignition disposition context.</x:v>
      </x:c>
      <x:c r="J5" s="27" t="str">
        <x:v>Estimate external-wildfire ignition probability or DR from endogenous fire incidents.</x:v>
      </x:c>
      <x:c r="K5" s="27" t="str">
        <x:v>A reviewed transfer study proves exact equivalence for a named post-ignition state.</x:v>
      </x:c>
    </x:row>
    <x:row r="6">
      <x:c r="A6" s="28" t="str">
        <x:v>WW-C002</x:v>
      </x:c>
      <x:c r="B6" s="28" t="str">
        <x:v>Thermal attack, firebrand ignition, and destructive residue contamination are separate pathways and must not silently share one response.</x:v>
      </x:c>
      <x:c r="C6" s="28" t="str">
        <x:v>governance_decision</x:v>
      </x:c>
      <x:c r="D6" s="28" t="str">
        <x:v>WW-S003;WW-S005;WW-S006;WW-S010;GOVERNANCE_CONTRACT</x:v>
      </x:c>
      <x:c r="E6" s="28" t="str">
        <x:v>pathway and endpoint records</x:v>
      </x:c>
      <x:c r="F6" s="28" t="str">
        <x:v>T4_placeholder_or_expert_judgment</x:v>
      </x:c>
      <x:c r="G6" s="28" t="str">
        <x:v>three_exact_pathway_ids</x:v>
      </x:c>
      <x:c r="H6" s="28" t="str">
        <x:v>adopt</x:v>
      </x:c>
      <x:c r="I6" s="28" t="str">
        <x:v>Preserve one event family while modeling each causal pathway separately.</x:v>
      </x:c>
      <x:c r="J6" s="28" t="str">
        <x:v>Collapse radiation, convection, flame contact, firebrand ingress, and residue into one generic wildfire severity curve.</x:v>
      </x:c>
      <x:c r="K6" s="28" t="str">
        <x:v>A governed pathway redesign with demonstrated equivalence passes review.</x:v>
      </x:c>
    </x:row>
    <x:row r="7">
      <x:c r="A7" s="28" t="str">
        <x:v>WW-C003</x:v>
      </x:c>
      <x:c r="B7" s="28" t="str">
        <x:v>FSim burn probability and six conditional flame-length probability classes are source-hazard fields at 270 m support.</x:v>
      </x:c>
      <x:c r="C7" s="28" t="str">
        <x:v>direct_observation</x:v>
      </x:c>
      <x:c r="D7" s="28" t="str">
        <x:v>WW-S001</x:v>
      </x:c>
      <x:c r="E7" s="28" t="str">
        <x:v>metadata identification and conditional FLP attributes</x:v>
      </x:c>
      <x:c r="F7" s="28" t="str">
        <x:v>T2_public_lab_standard_or_physics</x:v>
      </x:c>
      <x:c r="G7" s="28" t="str">
        <x:v>FSim_source_semantics</x:v>
      </x:c>
      <x:c r="H7" s="28" t="str">
        <x:v>adopt</x:v>
      </x:c>
      <x:c r="I7" s="28" t="str">
        <x:v>Capture exact product/version, spatial support, burn probability, and the six conditional classes.</x:v>
      </x:c>
      <x:c r="J7" s="28" t="str">
        <x:v>Create unreported class midpoints or treat the fields as equipment load, exposure fraction, or damage probability.</x:v>
      </x:c>
      <x:c r="K7" s="28" t="str">
        <x:v>USFS changes the product definition or a new governed product is adopted.</x:v>
      </x:c>
    </x:row>
    <x:row r="8">
      <x:c r="A8" s="28" t="str">
        <x:v>WW-C004</x:v>
      </x:c>
      <x:c r="B8" s="28" t="str">
        <x:v>Fireline intensity in kW/m and FSim flame-length classes are not delivered equipment heat flux in kW/m2.</x:v>
      </x:c>
      <x:c r="C8" s="28" t="str">
        <x:v>source_interpretation</x:v>
      </x:c>
      <x:c r="D8" s="28" t="str">
        <x:v>WW-S001;WW-S002;WW-S003;WW-S004</x:v>
      </x:c>
      <x:c r="E8" s="28" t="str">
        <x:v>FSim attributes; FARSITE definition; field-heating results</x:v>
      </x:c>
      <x:c r="F8" s="28" t="str">
        <x:v>T2_public_lab_standard_or_physics</x:v>
      </x:c>
      <x:c r="G8" s="28" t="str">
        <x:v>landscape_to_local_attack_guardrail</x:v>
      </x:c>
      <x:c r="H8" s="28" t="str">
        <x:v>adopt</x:v>
      </x:c>
      <x:c r="I8" s="28" t="str">
        <x:v>Use these fields as upstream fire-behavior inputs to a separately validated local-attack bridge.</x:v>
      </x:c>
      <x:c r="J8" s="28" t="str">
        <x:v>Apply a fixed-distance scalar, height attenuation, or direct curve lookup to equipment.</x:v>
      </x:c>
      <x:c r="K8" s="28" t="str">
        <x:v>A versioned bridge with validation, uncertainty, and KATs passes.</x:v>
      </x:c>
    </x:row>
    <x:row r="9">
      <x:c r="A9" s="28" t="str">
        <x:v>WW-C005</x:v>
      </x:c>
      <x:c r="B9" s="28" t="str">
        <x:v>Delivered thermal attack requires time-resolved radiant and convective heating, duration, and where relevant direct flame contact and gas state.</x:v>
      </x:c>
      <x:c r="C9" s="28" t="str">
        <x:v>source_interpretation</x:v>
      </x:c>
      <x:c r="D9" s="28" t="str">
        <x:v>WW-S003;WW-S004</x:v>
      </x:c>
      <x:c r="E9" s="28" t="str">
        <x:v>methods and time-resolved field-heating results</x:v>
      </x:c>
      <x:c r="F9" s="28" t="str">
        <x:v>T2_public_lab_standard_or_physics</x:v>
      </x:c>
      <x:c r="G9" s="28" t="str">
        <x:v>thermal_attack_history</x:v>
      </x:c>
      <x:c r="H9" s="28" t="str">
        <x:v>adopt</x:v>
      </x:c>
      <x:c r="I9" s="28" t="str">
        <x:v>Define future local demand as explicit radiation, convection, flame-contact, duration, temperature, and velocity fields.</x:v>
      </x:c>
      <x:c r="J9" s="28" t="str">
        <x:v>Represent all thermal attacks by one peak or universal attenuation factor.</x:v>
      </x:c>
      <x:c r="K9" s="28" t="str">
        <x:v>A validated reduced-order demand object proves sufficiency.</x:v>
      </x:c>
    </x:row>
    <x:row r="10">
      <x:c r="A10" s="28" t="str">
        <x:v>WW-C006</x:v>
      </x:c>
      <x:c r="B10" s="28" t="str">
        <x:v>Firebrand attack requires particle size or mass, combustion state, flux or count, deposition or accumulation, ingress, substrate/contact, wind, and time.</x:v>
      </x:c>
      <x:c r="C10" s="28" t="str">
        <x:v>source_interpretation</x:v>
      </x:c>
      <x:c r="D10" s="28" t="str">
        <x:v>WW-S005;WW-S006</x:v>
      </x:c>
      <x:c r="E10" s="28" t="str">
        <x:v>individual-firebrand and pile thermal-footprint experiments</x:v>
      </x:c>
      <x:c r="F10" s="28" t="str">
        <x:v>T2_public_lab_standard_or_physics</x:v>
      </x:c>
      <x:c r="G10" s="28" t="str">
        <x:v>firebrand_attack_history</x:v>
      </x:c>
      <x:c r="H10" s="28" t="str">
        <x:v>adopt</x:v>
      </x:c>
      <x:c r="I10" s="28" t="str">
        <x:v>Specify a future deposition/ingress/contact history at the receiving equipment zone.</x:v>
      </x:c>
      <x:c r="J10" s="28" t="str">
        <x:v>Use flame length, one particle peak flux, or generic ember presence as ignition probability or DR.</x:v>
      </x:c>
      <x:c r="K10" s="28" t="str">
        <x:v>A target-equipment bridge and population response qualify.</x:v>
      </x:c>
    </x:row>
    <x:row r="11">
      <x:c r="A11" s="28" t="str">
        <x:v>WW-C007</x:v>
      </x:c>
      <x:c r="B11" s="28" t="str">
        <x:v>Residue belongs in this physical-destruction cell only when it causes an inspected conductive, corrosive, or otherwise destructive equipment disposition.</x:v>
      </x:c>
      <x:c r="C11" s="28" t="str">
        <x:v>source_interpretation</x:v>
      </x:c>
      <x:c r="D11" s="28" t="str">
        <x:v>WW-S010;GOVERNANCE_CONTRACT</x:v>
      </x:c>
      <x:c r="E11" s="28" t="str">
        <x:v>NEMA sections 1, 3, and 4; physical-destruction boundary</x:v>
      </x:c>
      <x:c r="F11" s="28" t="str">
        <x:v>T2_public_lab_standard_or_physics</x:v>
      </x:c>
      <x:c r="G11" s="28" t="str">
        <x:v>residue_endpoint_boundary</x:v>
      </x:c>
      <x:c r="H11" s="28" t="str">
        <x:v>adopt_with_limits</x:v>
      </x:c>
      <x:c r="I11" s="28" t="str">
        <x:v>Capture residue composition, dose, wetness/conductivity, penetration, corrosion, and inspected disposition.</x:v>
      </x:c>
      <x:c r="J11" s="28" t="str">
        <x:v>Treat smoke presence, soot, odor, generic ash fouling, cleaning, derating, or downtime as physical DR.</x:v>
      </x:c>
      <x:c r="K11" s="28" t="str">
        <x:v>A source-backed destructive residue state/cost chain is reviewed.</x:v>
      </x:c>
    </x:row>
    <x:row r="12">
      <x:c r="A12" s="28" t="str">
        <x:v>WW-C008</x:v>
      </x:c>
      <x:c r="B12" s="28" t="str">
        <x:v>Blade-material tests establish combustible-matrix mechanisms and relevant flux/time/selectors but not full-blade economic vulnerability.</x:v>
      </x:c>
      <x:c r="C12" s="28" t="str">
        <x:v>direct_observation</x:v>
      </x:c>
      <x:c r="D12" s="28" t="str">
        <x:v>WW-S007</x:v>
      </x:c>
      <x:c r="E12" s="28" t="str">
        <x:v>specimen description; 15-75 kW/m2 cone-calorimeter methods/results</x:v>
      </x:c>
      <x:c r="F12" s="28" t="str">
        <x:v>T2_public_lab_standard_or_physics</x:v>
      </x:c>
      <x:c r="G12" s="28" t="str">
        <x:v>blade_material_mechanism</x:v>
      </x:c>
      <x:c r="H12" s="28" t="str">
        <x:v>retain_candidate_only</x:v>
      </x:c>
      <x:c r="I12" s="28" t="str">
        <x:v>Use resin/construction, incident flux, duration, and specimen endpoint to design future tests.</x:v>
      </x:c>
      <x:c r="J12" s="28" t="str">
        <x:v>Transfer specimen ignition, heat release, or smoke results to full-blade state probabilities, structural disposition, or cost.</x:v>
      </x:c>
      <x:c r="K12" s="28" t="str">
        <x:v>Representative full-scale or validated scaling plus disposition/cost evidence passes.</x:v>
      </x:c>
    </x:row>
    <x:row r="13">
      <x:c r="A13" s="28" t="str">
        <x:v>WW-C009</x:v>
      </x:c>
      <x:c r="B13" s="28" t="str">
        <x:v>Wind turbines contain physically distinct rotor, nacelle, tower, base, cable/power-takeoff, and protection zones whose fire damage can propagate dependently.</x:v>
      </x:c>
      <x:c r="C13" s="28" t="str">
        <x:v>source_interpretation</x:v>
      </x:c>
      <x:c r="D13" s="28" t="str">
        <x:v>WW-S008;WW-S016</x:v>
      </x:c>
      <x:c r="E13" s="28" t="str">
        <x:v>technical-assessment anatomy and named post-fire component disposition</x:v>
      </x:c>
      <x:c r="F13" s="28" t="str">
        <x:v>T3_engineering_proxy_or_adjacent_empirical</x:v>
      </x:c>
      <x:c r="G13" s="28" t="str">
        <x:v>turbine_zone_dependency</x:v>
      </x:c>
      <x:c r="H13" s="28" t="str">
        <x:v>adopt_with_limits</x:v>
      </x:c>
      <x:c r="I13" s="28" t="str">
        <x:v>Use zone observations to define one dependency-safe turbine assembly state system.</x:v>
      </x:c>
      <x:c r="J13" s="28" t="str">
        <x:v>Assign independent additive terminal losses to overlapping blade, nacelle, and upper-tower scopes.</x:v>
      </x:c>
      <x:c r="K13" s="28" t="str">
        <x:v>A finer source-backed denominator and mutually exclusive state system is approved.</x:v>
      </x:c>
    </x:row>
    <x:row r="14">
      <x:c r="A14" s="28" t="str">
        <x:v>WW-C010</x:v>
      </x:c>
      <x:c r="B14" s="28" t="str">
        <x:v>Internal/lightning/electrical wind-turbine fires are adjacent disposition evidence, not exogenous-wildfire calibration.</x:v>
      </x:c>
      <x:c r="C14" s="28" t="str">
        <x:v>source_interpretation</x:v>
      </x:c>
      <x:c r="D14" s="28" t="str">
        <x:v>WW-S008;WW-S016</x:v>
      </x:c>
      <x:c r="E14" s="28" t="str">
        <x:v>incident tables and operator event summary</x:v>
      </x:c>
      <x:c r="F14" s="28" t="str">
        <x:v>T3_engineering_proxy_or_adjacent_empirical</x:v>
      </x:c>
      <x:c r="G14" s="28" t="str">
        <x:v>endogenous_fire_transfer_guardrail</x:v>
      </x:c>
      <x:c r="H14" s="28" t="str">
        <x:v>adopt</x:v>
      </x:c>
      <x:c r="I14" s="28" t="str">
        <x:v>Use named damaged components and propagation sequences as pressure-test context.</x:v>
      </x:c>
      <x:c r="J14" s="28" t="str">
        <x:v>Infer external attack, ignition probability, event severity, or representative cost.</x:v>
      </x:c>
      <x:c r="K14" s="28" t="str">
        <x:v>A causal transfer study establishes a common post-ignition state conditional on the same local state.</x:v>
      </x:c>
    </x:row>
    <x:row r="15">
      <x:c r="A15" s="28" t="str">
        <x:v>WW-C011</x:v>
      </x:c>
      <x:c r="B15" s="28" t="str">
        <x:v>A site-specific onshore assessment confirms external bushfire materiality for turbines and ancillary electrical facilities while explicitly leaving equipment impact unresolved.</x:v>
      </x:c>
      <x:c r="C15" s="28" t="str">
        <x:v>direct_observation</x:v>
      </x:c>
      <x:c r="D15" s="28" t="str">
        <x:v>WW-S009</x:v>
      </x:c>
      <x:c r="E15" s="28" t="str">
        <x:v>report sections 2.8-2.10 and 3.2-3.4</x:v>
      </x:c>
      <x:c r="F15" s="28" t="str">
        <x:v>T3_engineering_proxy_or_adjacent_empirical</x:v>
      </x:c>
      <x:c r="G15" s="28" t="str">
        <x:v>onshore_materiality_and_unknown_response</x:v>
      </x:c>
      <x:c r="H15" s="28" t="str">
        <x:v>adopt_with_limits</x:v>
      </x:c>
      <x:c r="I15" s="28" t="str">
        <x:v>Retain onshore spatial subjects, flame/radiant/debris fields, controls, and the explicit unknown endpoint.</x:v>
      </x:c>
      <x:c r="J15" s="28" t="str">
        <x:v>Infer a numerical loss, representative exposure fraction, or survival credit.</x:v>
      </x:c>
      <x:c r="K15" s="28" t="str">
        <x:v>A matched onshore event/inspection/cost record is captured.</x:v>
      </x:c>
    </x:row>
    <x:row r="16">
      <x:c r="A16" s="28" t="str">
        <x:v>WW-C012</x:v>
      </x:c>
      <x:c r="B16" s="28" t="str">
        <x:v>AFAC, CFA, and FM guidance identify site planning, access, water, vegetation, separation, shutdown, containment, and protection fields but do not quantify universal damage credits.</x:v>
      </x:c>
      <x:c r="C16" s="28" t="str">
        <x:v>source_interpretation</x:v>
      </x:c>
      <x:c r="D16" s="28" t="str">
        <x:v>WW-S011;WW-S012;WW-S013</x:v>
      </x:c>
      <x:c r="E16" s="28" t="str">
        <x:v>planning, preparedness, vegetation, containment, and protection sections</x:v>
      </x:c>
      <x:c r="F16" s="28" t="str">
        <x:v>T2_public_lab_standard_or_physics</x:v>
      </x:c>
      <x:c r="G16" s="28" t="str">
        <x:v>site_control_field_catalog</x:v>
      </x:c>
      <x:c r="H16" s="28" t="str">
        <x:v>adopt_with_limits</x:v>
      </x:c>
      <x:c r="I16" s="28" t="str">
        <x:v>Capture exact jurisdiction, edition, design, installed state, maintenance, availability, and event evidence.</x:v>
      </x:c>
      <x:c r="J16" s="28" t="str">
        <x:v>Apply compliance, clearance, water, access, or protection as a generic DR multiplier or proof of survival.</x:v>
      </x:c>
      <x:c r="K16" s="28" t="str">
        <x:v>Matched loss data or controlled tests quantify a named control and validity domain.</x:v>
      </x:c>
    </x:row>
    <x:row r="17">
      <x:c r="A17" s="28" t="str">
        <x:v>WW-C013</x:v>
      </x:c>
      <x:c r="B17" s="28" t="str">
        <x:v>DNV fire-protection certification is an applicability selector and evidence field, not a wildfire efficacy coefficient.</x:v>
      </x:c>
      <x:c r="C17" s="28" t="str">
        <x:v>source_interpretation</x:v>
      </x:c>
      <x:c r="D17" s="28" t="str">
        <x:v>WW-S014</x:v>
      </x:c>
      <x:c r="E17" s="28" t="str">
        <x:v>public certification scope</x:v>
      </x:c>
      <x:c r="F17" s="28" t="str">
        <x:v>T2_public_lab_standard_or_physics</x:v>
      </x:c>
      <x:c r="G17" s="28" t="str">
        <x:v>fire_protection_certification_selector</x:v>
      </x:c>
      <x:c r="H17" s="28" t="str">
        <x:v>adopt_with_limits</x:v>
      </x:c>
      <x:c r="I17" s="28" t="str">
        <x:v>Capture system identity, certificate/edition, installed/available/maintained state, and protected zones.</x:v>
      </x:c>
      <x:c r="J17" s="28" t="str">
        <x:v>Assume suppression success, automatic loss reduction, or equivalence across systems.</x:v>
      </x:c>
      <x:c r="K17" s="28" t="str">
        <x:v>Product/system-specific wildfire efficacy evidence qualifies.</x:v>
      </x:c>
    </x:row>
    <x:row r="18">
      <x:c r="A18" s="28" t="str">
        <x:v>WW-C014</x:v>
      </x:c>
      <x:c r="B18" s="28" t="str">
        <x:v>NEMA guidance supports post-fire evaluate, replace, or recondition disposition labels for electrical equipment, not pre-event fragility or cost.</x:v>
      </x:c>
      <x:c r="C18" s="28" t="str">
        <x:v>source_interpretation</x:v>
      </x:c>
      <x:c r="D18" s="28" t="str">
        <x:v>WW-S010</x:v>
      </x:c>
      <x:c r="E18" s="28" t="str">
        <x:v>sections 1 and 4.1-4.13</x:v>
      </x:c>
      <x:c r="F18" s="28" t="str">
        <x:v>T2_public_lab_standard_or_physics</x:v>
      </x:c>
      <x:c r="G18" s="28" t="str">
        <x:v>electrical_disposition_vocabulary</x:v>
      </x:c>
      <x:c r="H18" s="28" t="str">
        <x:v>adopt_with_limits</x:v>
      </x:c>
      <x:c r="I18" s="28" t="str">
        <x:v>Design inspected switchgear, transformer, cable, electronics, battery, and residue states.</x:v>
      </x:c>
      <x:c r="J18" s="28" t="str">
        <x:v>Assign disposition probability, attack threshold, repair ratio, or cost from the guidance.</x:v>
      </x:c>
      <x:c r="K18" s="28" t="str">
        <x:v>Matched wildfire inspections and same-unit invoices become available.</x:v>
      </x:c>
    </x:row>
    <x:row r="19">
      <x:c r="A19" s="28" t="str">
        <x:v>WW-C015</x:v>
      </x:c>
      <x:c r="B19" s="28" t="str">
        <x:v>The repeated turbine is one dependency-safe failure-unit assembly while pad, collection, GSU, controls, foundation, and civil subjects remain separate units.</x:v>
      </x:c>
      <x:c r="C19" s="28" t="str">
        <x:v>governance_decision</x:v>
      </x:c>
      <x:c r="D19" s="28" t="str">
        <x:v>WW-S008;WW-S016;NREL_CWER_2024;GOVERNANCE_CONTRACT</x:v>
      </x:c>
      <x:c r="E19" s="28" t="str">
        <x:v>asset anatomy, value rows, and failure-unit rules</x:v>
      </x:c>
      <x:c r="F19" s="28" t="str">
        <x:v>T4_placeholder_or_expert_judgment</x:v>
      </x:c>
      <x:c r="G19" s="28" t="str">
        <x:v>twelve_failure_unit_design</x:v>
      </x:c>
      <x:c r="H19" s="28" t="str">
        <x:v>adopt</x:v>
      </x:c>
      <x:c r="I19" s="28" t="str">
        <x:v>Use the exact 12 IDs and charge direct value once under mutually exclusive or nested states.</x:v>
      </x:c>
      <x:c r="J19" s="28" t="str">
        <x:v>Duplicate a shared system under every turbine or sum overlapping terminal turbine states.</x:v>
      </x:c>
      <x:c r="K19" s="28" t="str">
        <x:v>A reviewed anatomy/value revision changes a unit boundary.</x:v>
      </x:c>
    </x:row>
    <x:row r="20">
      <x:c r="A20" s="28" t="str">
        <x:v>WW-C016</x:v>
      </x:c>
      <x:c r="B20" s="28" t="str">
        <x:v>The GSU substation requires separate main-transformer, switchgear/bus, protection-control/DC, and cable-termination units even though the source value row remains unresolved.</x:v>
      </x:c>
      <x:c r="C20" s="28" t="str">
        <x:v>governance_decision</x:v>
      </x:c>
      <x:c r="D20" s="28" t="str">
        <x:v>WW-S008;WW-S010;GOVERNANCE_CONTRACT</x:v>
      </x:c>
      <x:c r="E20" s="28" t="str">
        <x:v>substation anatomy, disposition categories, and shared-component rules</x:v>
      </x:c>
      <x:c r="F20" s="28" t="str">
        <x:v>T4_placeholder_or_expert_judgment</x:v>
      </x:c>
      <x:c r="G20" s="28" t="str">
        <x:v>GSU_failure_unit_split</x:v>
      </x:c>
      <x:c r="H20" s="28" t="str">
        <x:v>adopt</x:v>
      </x:c>
      <x:c r="I20" s="28" t="str">
        <x:v>Bind each apparatus unit once to the shared yard and keep its value unknown until a site BOM/SOV split exists.</x:v>
      </x:c>
      <x:c r="J20" s="28" t="str">
        <x:v>Treat the GSU as another turbine, duplicate it per resource unit, or allocate the aggregate 72 USD/kW row without a method.</x:v>
      </x:c>
      <x:c r="K20" s="28" t="str">
        <x:v>A site BOM/SOV and source-backed response permit a reviewed regrouping.</x:v>
      </x:c>
    </x:row>
    <x:row r="21">
      <x:c r="A21" s="28" t="str">
        <x:v>WW-C017</x:v>
      </x:c>
      <x:c r="B21" s="28" t="str">
        <x:v>Exposure must bind actual turbine points/rotor volumes, pad points, collection lines, a shared GSU yard, control/building subjects, and civil networks at their natural spatial grain.</x:v>
      </x:c>
      <x:c r="C21" s="28" t="str">
        <x:v>governance_decision</x:v>
      </x:c>
      <x:c r="D21" s="28" t="str">
        <x:v>WW-S009;GOVERNANCE_CONTRACT</x:v>
      </x:c>
      <x:c r="E21" s="28" t="str">
        <x:v>site subjects and spatial-exposure rules</x:v>
      </x:c>
      <x:c r="F21" s="28" t="str">
        <x:v>T4_placeholder_or_expert_judgment</x:v>
      </x:c>
      <x:c r="G21" s="28" t="str">
        <x:v>subject_grain_exposure</x:v>
      </x:c>
      <x:c r="H21" s="28" t="str">
        <x:v>adopt</x:v>
      </x:c>
      <x:c r="I21" s="28" t="str">
        <x:v>Intersect each failure-unit subject with a compatible local-attack or exposure representation.</x:v>
      </x:c>
      <x:c r="J21" s="28" t="str">
        <x:v>Broadcast one site/lease exposure value to all hardware or use one geometry for different roles.</x:v>
      </x:c>
      <x:c r="K21" s="28" t="str">
        <x:v>Exact site geometries and a governed coupling method are supplied.</x:v>
      </x:c>
    </x:row>
    <x:row r="22">
      <x:c r="A22" s="28" t="str">
        <x:v>WW-C018</x:v>
      </x:c>
      <x:c r="B22" s="28" t="str">
        <x:v>A lease, permitted, or development polygon is not a physical equipment footprint or full-value exposure envelope.</x:v>
      </x:c>
      <x:c r="C22" s="28" t="str">
        <x:v>governance_decision</x:v>
      </x:c>
      <x:c r="D22" s="28" t="str">
        <x:v>WW-S009;GOVERNANCE_CONTRACT</x:v>
      </x:c>
      <x:c r="E22" s="28" t="str">
        <x:v>site-boundary and exposure-grain rules</x:v>
      </x:c>
      <x:c r="F22" s="28" t="str">
        <x:v>T4_placeholder_or_expert_judgment</x:v>
      </x:c>
      <x:c r="G22" s="28" t="str">
        <x:v>lease_polygon_full_exposure=prohibited</x:v>
      </x:c>
      <x:c r="H22" s="28" t="str">
        <x:v>adopt</x:v>
      </x:c>
      <x:c r="I22" s="28" t="str">
        <x:v>Retain each geometry with its explicit role and use actual equipment/network geometry for loss.</x:v>
      </x:c>
      <x:c r="J22" s="28" t="str">
        <x:v>Treat every physical value bucket as touched because wildfire intersects the lease.</x:v>
      </x:c>
      <x:c r="K22" s="28" t="str">
        <x:v>Never, absent evidence that exact physical subjects and values coincide with that geometry.</x:v>
      </x:c>
    </x:row>
    <x:row r="23">
      <x:c r="A23" s="28" t="str">
        <x:v>WW-C019</x:v>
      </x:c>
      <x:c r="B23" s="28" t="str">
        <x:v>The NREL CWER ledger is reference value anatomy only and supplies no wildfire response, site exposure, or site appraisal.</x:v>
      </x:c>
      <x:c r="C23" s="28" t="str">
        <x:v>direct_observation</x:v>
      </x:c>
      <x:c r="D23" s="28" t="str">
        <x:v>NREL_CWER_2024</x:v>
      </x:c>
      <x:c r="E23" s="28" t="str">
        <x:v>Wind_Map rows 2:19 and report p.28</x:v>
      </x:c>
      <x:c r="F23" s="28" t="str">
        <x:v>T2_public_lab_standard_or_physics</x:v>
      </x:c>
      <x:c r="G23" s="28" t="str">
        <x:v>value_reference_only</x:v>
      </x:c>
      <x:c r="H23" s="28" t="str">
        <x:v>adopt_with_limits</x:v>
      </x:c>
      <x:c r="I23" s="28" t="str">
        <x:v>Reconcile turbine, other physical, support, excluded, and installed reference values.</x:v>
      </x:c>
      <x:c r="J23" s="28" t="str">
        <x:v>Use a value share as a vulnerability cap, exposure fraction, site SOV, or loss estimate.</x:v>
      </x:c>
      <x:c r="K23" s="28" t="str">
        <x:v>CWER changes or a site ledger supersedes it.</x:v>
      </x:c>
    </x:row>
    <x:row r="24">
      <x:c r="A24" s="28" t="str">
        <x:v>WW-C020</x:v>
      </x:c>
      <x:c r="B24" s="28" t="str">
        <x:v>The 72 USD/kW electrical reference row cannot be allocated across pad, collection, GSU apparatus, and control/met/O&amp;M without a site-specific method.</x:v>
      </x:c>
      <x:c r="C24" s="28" t="str">
        <x:v>governance_decision</x:v>
      </x:c>
      <x:c r="D24" s="28" t="str">
        <x:v>NREL_CWER_2024;GOVERNANCE_CONTRACT</x:v>
      </x:c>
      <x:c r="E24" s="28" t="str">
        <x:v>Wind_Map row 12 and value-allocation rules</x:v>
      </x:c>
      <x:c r="F24" s="28" t="str">
        <x:v>T4_placeholder_or_expert_judgment</x:v>
      </x:c>
      <x:c r="G24" s="28" t="str">
        <x:v>electrical_value_split_required</x:v>
      </x:c>
      <x:c r="H24" s="28" t="str">
        <x:v>adopt</x:v>
      </x:c>
      <x:c r="I24" s="28" t="str">
        <x:v>Keep all seven mapped electrical failure units visible with withheld unit values.</x:v>
      </x:c>
      <x:c r="J24" s="28" t="str">
        <x:v>Use 72 USD/kW for each unit, call it the GSU value, or split evenly.</x:v>
      </x:c>
      <x:c r="K24" s="28" t="str">
        <x:v>A reviewed site BOM/SOV or documented allocation arrives.</x:v>
      </x:c>
    </x:row>
    <x:row r="25">
      <x:c r="A25" s="28" t="str">
        <x:v>WW-C021</x:v>
      </x:c>
      <x:c r="B25" s="28" t="str">
        <x:v>Fieldwork and transport/logistics are allocated once after final direct damaged units and disposition are known.</x:v>
      </x:c>
      <x:c r="C25" s="28" t="str">
        <x:v>governance_decision</x:v>
      </x:c>
      <x:c r="D25" s="28" t="str">
        <x:v>NREL_CWER_2024;GOVERNANCE_CONTRACT</x:v>
      </x:c>
      <x:c r="E25" s="28" t="str">
        <x:v>Wind_Map rows 13-14 and support-once rule</x:v>
      </x:c>
      <x:c r="F25" s="28" t="str">
        <x:v>T4_placeholder_or_expert_judgment</x:v>
      </x:c>
      <x:c r="G25" s="28" t="str">
        <x:v>support_once_rule</x:v>
      </x:c>
      <x:c r="H25" s="28" t="str">
        <x:v>adopt</x:v>
      </x:c>
      <x:c r="I25" s="28" t="str">
        <x:v>Keep intrinsic unit DR separate from reinstatement/support allocation.</x:v>
      </x:c>
      <x:c r="J25" s="28" t="str">
        <x:v>Give support an independent wildfire DR and also scale it with direct loss.</x:v>
      </x:c>
      <x:c r="K25" s="28" t="str">
        <x:v>Claims/site evidence qualifies a non-duplicative allocation rule.</x:v>
      </x:c>
    </x:row>
    <x:row r="26">
      <x:c r="A26" s="28" t="str">
        <x:v>WW-C022</x:v>
      </x:c>
      <x:c r="B26" s="28" t="str">
        <x:v>Foundation response is withheld, not set to numerical zero, while material, surface/anchor/seal exposure, and local dose remain unresolved.</x:v>
      </x:c>
      <x:c r="C26" s="28" t="str">
        <x:v>governance_decision</x:v>
      </x:c>
      <x:c r="D26" s="28" t="str">
        <x:v>GOVERNANCE_CONTRACT;NREL_CWER_2024</x:v>
      </x:c>
      <x:c r="E26" s="28" t="str">
        <x:v>withhold-not-caveat rule and Wind_Map row 10</x:v>
      </x:c>
      <x:c r="F26" s="28" t="str">
        <x:v>T4_placeholder_or_expert_judgment</x:v>
      </x:c>
      <x:c r="G26" s="28" t="str">
        <x:v>foundation_no_false_zero</x:v>
      </x:c>
      <x:c r="H26" s="28" t="str">
        <x:v>adopt</x:v>
      </x:c>
      <x:c r="I26" s="28" t="str">
        <x:v>Retain the foundation unit and geometry/material review state.</x:v>
      </x:c>
      <x:c r="J26" s="28" t="str">
        <x:v>Call buried or noncombustible construction immune or import post-fire erosion/scour into thermal attack.</x:v>
      </x:c>
      <x:c r="K26" s="28" t="str">
        <x:v>A reviewed near-zero or nonzero study at the correct endpoint passes.</x:v>
      </x:c>
    </x:row>
    <x:row r="27">
      <x:c r="A27" s="28" t="str">
        <x:v>WW-C023</x:v>
      </x:c>
      <x:c r="B27" s="28" t="str">
        <x:v>The wildfire_solar package may contribute shared FSim semantics and governance vocabulary but not solar response ordinates, weights, caps, or value shares.</x:v>
      </x:c>
      <x:c r="C27" s="28" t="str">
        <x:v>governance_decision</x:v>
      </x:c>
      <x:c r="D27" s="28" t="str">
        <x:v>WW-S018;GOVERNANCE_CONTRACT</x:v>
      </x:c>
      <x:c r="E27" s="28" t="str">
        <x:v>neighboring-cell scope and transfer controls</x:v>
      </x:c>
      <x:c r="F27" s="28" t="str">
        <x:v>T3_engineering_proxy_or_adjacent_empirical</x:v>
      </x:c>
      <x:c r="G27" s="28" t="str">
        <x:v>solar_response_transfer=prohibited</x:v>
      </x:c>
      <x:c r="H27" s="28" t="str">
        <x:v>adopt</x:v>
      </x:c>
      <x:c r="I27" s="28" t="str">
        <x:v>Reuse source discovery and source-hazard semantics after independent registration.</x:v>
      </x:c>
      <x:c r="J27" s="28" t="str">
        <x:v>Copy the solar screening table because the hazard is wildfire.</x:v>
      </x:c>
      <x:c r="K27" s="28" t="str">
        <x:v>An exact cross-asset transfer study and governed decision pass.</x:v>
      </x:c>
    </x:row>
    <x:row r="28">
      <x:c r="A28" s="28" t="str">
        <x:v>WW-C024</x:v>
      </x:c>
      <x:c r="B28" s="28" t="str">
        <x:v>The legacy rotor, nacelle, and tower logistics are rejected from runtime and candidate parameter use.</x:v>
      </x:c>
      <x:c r="C28" s="28" t="str">
        <x:v>legacy_audit</x:v>
      </x:c>
      <x:c r="D28" s="28" t="str">
        <x:v>WW-S017</x:v>
      </x:c>
      <x:c r="E28" s="28" t="str">
        <x:v>legacy research sections 2-9 and master-curve entries</x:v>
      </x:c>
      <x:c r="F28" s="28" t="str">
        <x:v>T4_placeholder_or_expert_judgment</x:v>
      </x:c>
      <x:c r="G28" s="28" t="str">
        <x:v>legacy_curve_rejection</x:v>
      </x:c>
      <x:c r="H28" s="28" t="str">
        <x:v>reject</x:v>
      </x:c>
      <x:c r="I28" s="28" t="str">
        <x:v>Use only as negative regression, source-discovery, and migration-warning material.</x:v>
      </x:c>
      <x:c r="J28" s="28" t="str">
        <x:v>Reuse fixed 10 m flux conversion, height attenuation, curve form, thresholds, caps, or ordinates.</x:v>
      </x:c>
      <x:c r="K28" s="28" t="str">
        <x:v>No trigger; replace with a newly governed evidence chain.</x:v>
      </x:c>
    </x:row>
    <x:row r="29">
      <x:c r="A29" s="28" t="str">
        <x:v>WW-C025</x:v>
      </x:c>
      <x:c r="B29" s="28" t="str">
        <x:v>No public matched exogenous local-demand to inspected disposition to same-unit direct-cost chain was located within the bounded review.</x:v>
      </x:c>
      <x:c r="C29" s="28" t="str">
        <x:v>bounded_negative_evidence</x:v>
      </x:c>
      <x:c r="D29" s="28" t="str">
        <x:v>BOUNDED_SEARCH_LOG</x:v>
      </x:c>
      <x:c r="E29" s="28" t="str">
        <x:v>search surfaces, qualification tests, and results by missing link</x:v>
      </x:c>
      <x:c r="F29" s="28" t="str">
        <x:v>T3_engineering_proxy_or_adjacent_empirical</x:v>
      </x:c>
      <x:c r="G29" s="28" t="str">
        <x:v>NO_RUNTIME_CURVE</x:v>
      </x:c>
      <x:c r="H29" s="28" t="str">
        <x:v>adopt_with_limits</x:v>
      </x:c>
      <x:c r="I29" s="28" t="str">
        <x:v>Support fail-closed model v0.1 and prioritize data acquisition.</x:v>
      </x:c>
      <x:c r="J29" s="28" t="str">
        <x:v>Claim universal absence or convert adjacent/internal-fire evidence into calibration.</x:v>
      </x:c>
      <x:c r="K29" s="28" t="str">
        <x:v>A qualifying dataset, owner record, or governed elicitation is reviewed.</x:v>
      </x:c>
    </x:row>
    <x:row r="30">
      <x:c r="A30" s="28" t="str">
        <x:v>WW-C026</x:v>
      </x:c>
      <x:c r="B30" s="28" t="str">
        <x:v>Model v0.1 publishes zero curves and withholds failure-unit DR, scenario loss, EAL, PML, VaR, and TVaR with NO_RUNTIME_CURVE.</x:v>
      </x:c>
      <x:c r="C30" s="28" t="str">
        <x:v>governance_decision</x:v>
      </x:c>
      <x:c r="D30" s="28" t="str">
        <x:v>GOVERNANCE_CONTRACT;BOUNDED_SEARCH_LOG</x:v>
      </x:c>
      <x:c r="E30" s="28" t="str">
        <x:v>fail-closed capability and negative-evidence records</x:v>
      </x:c>
      <x:c r="F30" s="28" t="str">
        <x:v>T4_placeholder_or_expert_judgment</x:v>
      </x:c>
      <x:c r="G30" s="28" t="str">
        <x:v>runtime_curve_count=0</x:v>
      </x:c>
      <x:c r="H30" s="28" t="str">
        <x:v>adopt</x:v>
      </x:c>
      <x:c r="I30" s="28" t="str">
        <x:v>Validate identities and metadata while emitting stable null/withheld results.</x:v>
      </x:c>
      <x:c r="J30" s="28" t="str">
        <x:v>Emit a caveated, borrowed, or provisional numerical response.</x:v>
      </x:c>
      <x:c r="K30" s="28" t="str">
        <x:v>A reviewed model-v1.0 release and consumer migration complete.</x:v>
      </x:c>
    </x:row>
    <x:row r="31">
      <x:c r="A31" s="28" t="str">
        <x:v>WW-C027</x:v>
      </x:c>
      <x:c r="B31" s="28" t="str">
        <x:v>A future screening-grade curve still requires an explicit Tier-4 business decision, bounded elicitation, transparent uncertainty, and release review.</x:v>
      </x:c>
      <x:c r="C31" s="28" t="str">
        <x:v>governance_decision</x:v>
      </x:c>
      <x:c r="D31" s="28" t="str">
        <x:v>GOVERNANCE_CONTRACT</x:v>
      </x:c>
      <x:c r="E31" s="28" t="str">
        <x:v>evidence-tier, release, and screening-grade rules</x:v>
      </x:c>
      <x:c r="F31" s="28" t="str">
        <x:v>T4_placeholder_or_expert_judgment</x:v>
      </x:c>
      <x:c r="G31" s="28" t="str">
        <x:v>screening_model_governance</x:v>
      </x:c>
      <x:c r="H31" s="28" t="str">
        <x:v>adopt</x:v>
      </x:c>
      <x:c r="I31" s="28" t="str">
        <x:v>Develop a clearly labeled screening candidate if coverage need justifies the tradeoff.</x:v>
      </x:c>
      <x:c r="J31" s="28" t="str">
        <x:v>Treat workflow completion or expert judgment as automatic v1 promotion.</x:v>
      </x:c>
      <x:c r="K31" s="28" t="str">
        <x:v>A named decision owner approves a governed screening specification.</x:v>
      </x:c>
    </x:row>
    <x:row r="32">
      <x:c r="A32" s="28" t="str">
        <x:v>WW-C028</x:v>
      </x:c>
      <x:c r="B32" s="28" t="str">
        <x:v>Unknown vegetation, clearance, fire-protection, shutdown, de-energization, suppression, access, or water state receives no favorable numerical credit.</x:v>
      </x:c>
      <x:c r="C32" s="28" t="str">
        <x:v>governance_decision</x:v>
      </x:c>
      <x:c r="D32" s="28" t="str">
        <x:v>WW-S011;WW-S012;WW-S013;WW-S014;GOVERNANCE_CONTRACT</x:v>
      </x:c>
      <x:c r="E32" s="28" t="str">
        <x:v>control-source and missing-state rules</x:v>
      </x:c>
      <x:c r="F32" s="28" t="str">
        <x:v>T4_placeholder_or_expert_judgment</x:v>
      </x:c>
      <x:c r="G32" s="28" t="str">
        <x:v>unknown_control_no_credit</x:v>
      </x:c>
      <x:c r="H32" s="28" t="str">
        <x:v>adopt</x:v>
      </x:c>
      <x:c r="I32" s="28" t="str">
        <x:v>Capture unknown explicitly and withhold any dependent response.</x:v>
      </x:c>
      <x:c r="J32" s="28" t="str">
        <x:v>Default to compliant/protected or apply a generic worst-case multiplier.</x:v>
      </x:c>
      <x:c r="K32" s="28" t="str">
        <x:v>A reviewed default policy and calibrated state effect pass.</x:v>
      </x:c>
    </x:row>
    <x:row r="33">
      <x:c r="A33" s="28" t="str">
        <x:v>WW-C029</x:v>
      </x:c>
      <x:c r="B33" s="28" t="str">
        <x:v>Fieldwork and transport/logistics are support records, not physical failure units with intrinsic wildfire DR.</x:v>
      </x:c>
      <x:c r="C33" s="28" t="str">
        <x:v>governance_decision</x:v>
      </x:c>
      <x:c r="D33" s="28" t="str">
        <x:v>NREL_CWER_2024;GOVERNANCE_CONTRACT</x:v>
      </x:c>
      <x:c r="E33" s="28" t="str">
        <x:v>Wind_Map rows 13-14 and unit/value standards</x:v>
      </x:c>
      <x:c r="F33" s="28" t="str">
        <x:v>T4_placeholder_or_expert_judgment</x:v>
      </x:c>
      <x:c r="G33" s="28" t="str">
        <x:v>support_not_intrinsic_DR</x:v>
      </x:c>
      <x:c r="H33" s="28" t="str">
        <x:v>adopt</x:v>
      </x:c>
      <x:c r="I33" s="28" t="str">
        <x:v>Reference support records after direct disposition and allocate once.</x:v>
      </x:c>
      <x:c r="J33" s="28" t="str">
        <x:v>Expose support to wildfire as hardware or report a support damage curve.</x:v>
      </x:c>
      <x:c r="K33" s="28" t="str">
        <x:v>A future contract deliberately defines a separate physical support asset.</x:v>
      </x:c>
    </x:row>
    <x:row r="34">
      <x:c r="A34" s="30" t="str">
        <x:v>WW-C030</x:v>
      </x:c>
      <x:c r="B34" s="30" t="str">
        <x:v>Generic smoke, soot, or ash exposure without destructive inspected evidence does not qualify physical DR, and business interruption or derating is outside the curve.</x:v>
      </x:c>
      <x:c r="C34" s="30" t="str">
        <x:v>governance_decision</x:v>
      </x:c>
      <x:c r="D34" s="30" t="str">
        <x:v>WW-S010;GOVERNANCE_CONTRACT</x:v>
      </x:c>
      <x:c r="E34" s="30" t="str">
        <x:v>NEMA residue discussion and physical-destruction scope</x:v>
      </x:c>
      <x:c r="F34" s="30" t="str">
        <x:v>T4_placeholder_or_expert_judgment</x:v>
      </x:c>
      <x:c r="G34" s="30" t="str">
        <x:v>residue_and_disruption_exclusion</x:v>
      </x:c>
      <x:c r="H34" s="30" t="str">
        <x:v>adopt</x:v>
      </x:c>
      <x:c r="I34" s="30" t="str">
        <x:v>Route ordinary cleaning/monitoring to a separate service process and BI/derating to downstream disruption.</x:v>
      </x:c>
      <x:c r="J34" s="30" t="str">
        <x:v>Charge generic contamination, outage, loss of telemetry, or lost generation as direct destruction.</x:v>
      </x:c>
      <x:c r="K34" s="30" t="str">
        <x:v>A destructive equipment-specific residue disposition/cost chain passes.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58" hidden="0" customWidth="1"/>
    <x:col min="4" max="4" width="44" hidden="0" customWidth="1"/>
    <x:col min="5" max="5" width="26" hidden="0" customWidth="1"/>
    <x:col min="6" max="6" width="32" hidden="0" customWidth="1"/>
    <x:col min="7" max="7" width="54" hidden="0" customWidth="1"/>
    <x:col min="8" max="8" width="54" hidden="0" customWidth="1"/>
    <x:col min="9" max="9" width="54" hidden="0" customWidth="1"/>
    <x:col min="10" max="10" width="24" hidden="0" customWidth="1"/>
    <x:col min="11" max="11" width="44" hidden="0" customWidth="1"/>
  </x:cols>
  <x:sheetData>
    <x:row r="1" ht="26" customHeight="1">
      <x:c r="A1" s="2" t="str">
        <x:v>Source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4" t="str">
        <x:v>Primary/authoritative evidence where available; each source has explicit permitted and prohibited inference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>
      <x:c r="A4" s="13" t="str">
        <x:v>Source ID</x:v>
      </x:c>
      <x:c r="B4" s="14" t="str">
        <x:v>Citation</x:v>
      </x:c>
      <x:c r="C4" s="14" t="str">
        <x:v>URL/path</x:v>
      </x:c>
      <x:c r="D4" s="14" t="str">
        <x:v>Locator</x:v>
      </x:c>
      <x:c r="E4" s="14" t="str">
        <x:v>Role</x:v>
      </x:c>
      <x:c r="F4" s="14" t="str">
        <x:v>Tier</x:v>
      </x:c>
      <x:c r="G4" s="14" t="str">
        <x:v>Endpoint</x:v>
      </x:c>
      <x:c r="H4" s="14" t="str">
        <x:v>Permitted</x:v>
      </x:c>
      <x:c r="I4" s="14" t="str">
        <x:v>Prohibited</x:v>
      </x:c>
      <x:c r="J4" s="14" t="str">
        <x:v>Decision</x:v>
      </x:c>
      <x:c r="K4" s="15" t="str">
        <x:v>Notes</x:v>
      </x:c>
    </x:row>
    <x:row r="5">
      <x:c r="A5" s="27" t="str">
        <x:v>WW-S001</x:v>
      </x:c>
      <x:c r="B5" s="27" t="str">
        <x:v>Dillon, G. K. et al. Spatial datasets of probabilistic wildfire risk components for the United States (270m), 3rd edition. USDA Forest Service Research Data Archive RDS-2016-0034-3 (2023).</x:v>
      </x:c>
      <x:c r="C5" s="27" t="str">
        <x:v>https://www.fs.usda.gov/rds/archive/products/RDS-2016-0034-3/_metadata_RDS-2016-0034-3.html</x:v>
      </x:c>
      <x:c r="D5" s="27" t="str">
        <x:v>Identification abstract; conditional FLP attributes; data-quality and use-constraint sections</x:v>
      </x:c>
      <x:c r="E5" s="27" t="str">
        <x:v>axis_semantics</x:v>
      </x:c>
      <x:c r="F5" s="27" t="str">
        <x:v>T2_public_lab_standard_or_physics</x:v>
      </x:c>
      <x:c r="G5" s="27" t="str">
        <x:v>270 m burn probability and six conditional flame-length probability classes</x:v>
      </x:c>
      <x:c r="H5" s="27" t="str">
        <x:v>Preserve burn probability separately from conditional flame-length classes and capture exact product/version/spatial support.</x:v>
      </x:c>
      <x:c r="I5" s="27" t="str">
        <x:v>Infer equipment heat flux, duration, firebrand dose, class midpoint, damage probability, or economic DR.</x:v>
      </x:c>
      <x:c r="J5" s="27" t="str">
        <x:v>adopt_with_limits</x:v>
      </x:c>
      <x:c r="K5" s="27" t="str">
        <x:v>Asset-neutral source-hazard semantics only.</x:v>
      </x:c>
    </x:row>
    <x:row r="6">
      <x:c r="A6" s="28" t="str">
        <x:v>WW-S002</x:v>
      </x:c>
      <x:c r="B6" s="28" t="str">
        <x:v>Finney, M. A. FARSITE: Fire Area Simulator—Model Development and Evaluation. USDA Forest Service RMRS-RP-4 (1998).</x:v>
      </x:c>
      <x:c r="C6" s="28" t="str">
        <x:v>https://www.fs.usda.gov/rm/pubs/rmrs_rp004.pdf</x:v>
      </x:c>
      <x:c r="D6" s="28" t="str">
        <x:v>fireline-intensity definition and model-development sections</x:v>
      </x:c>
      <x:c r="E6" s="28" t="str">
        <x:v>axis_boundary</x:v>
      </x:c>
      <x:c r="F6" s="28" t="str">
        <x:v>T2_public_lab_standard_or_physics</x:v>
      </x:c>
      <x:c r="G6" s="28" t="str">
        <x:v>Byram fireline intensity as heat release per unit fireline length</x:v>
      </x:c>
      <x:c r="H6" s="28" t="str">
        <x:v>Distinguish landscape fireline intensity in kW/m from component incident heat flux in kW/m2.</x:v>
      </x:c>
      <x:c r="I6" s="28" t="str">
        <x:v>Convert fireline intensity directly to equipment heat flux or damage with a fixed distance/scalar attenuation.</x:v>
      </x:c>
      <x:c r="J6" s="28" t="str">
        <x:v>adopt_with_limits</x:v>
      </x:c>
      <x:c r="K6" s="28" t="str">
        <x:v>Source-variable definition; not a component-demand bridge.</x:v>
      </x:c>
    </x:row>
    <x:row r="7">
      <x:c r="A7" s="28" t="str">
        <x:v>WW-S003</x:v>
      </x:c>
      <x:c r="B7" s="28" t="str">
        <x:v>Frankman, D. et al. Measurements of convective and radiative heating in wildland fires. International Journal of Wildland Fire 22, 157-167 (2013). DOI 10.1071/WF11097.</x:v>
      </x:c>
      <x:c r="C7" s="28" t="str">
        <x:v>https://research.fs.usda.gov/treesearch/42185</x:v>
      </x:c>
      <x:c r="D7" s="28" t="str">
        <x:v>abstract; methods; time-resolved heating results; conclusions</x:v>
      </x:c>
      <x:c r="E7" s="28" t="str">
        <x:v>local_attack_physics</x:v>
      </x:c>
      <x:c r="F7" s="28" t="str">
        <x:v>T2_public_lab_standard_or_physics</x:v>
      </x:c>
      <x:c r="G7" s="28" t="str">
        <x:v>time-resolved irradiance and convective heating in 13 natural/prescribed fires</x:v>
      </x:c>
      <x:c r="H7" s="28" t="str">
        <x:v>Require local radiant and convective histories and preserve fuel/environment dependence.</x:v>
      </x:c>
      <x:c r="I7" s="28" t="str">
        <x:v>Create a universal FSim/flame-length-to-turbine converter, component response, or cost curve.</x:v>
      </x:c>
      <x:c r="J7" s="28" t="str">
        <x:v>adopt_with_limits</x:v>
      </x:c>
      <x:c r="K7" s="28" t="str">
        <x:v>Direct fire physics; no wind-equipment endpoint.</x:v>
      </x:c>
    </x:row>
    <x:row r="8">
      <x:c r="A8" s="28" t="str">
        <x:v>WW-S004</x:v>
      </x:c>
      <x:c r="B8" s="28" t="str">
        <x:v>Butler, B. W. Characterization of convective heating in full scale wildland fires. Proceedings of the VI International Conference on Forest Fire Research (2010).</x:v>
      </x:c>
      <x:c r="C8" s="28" t="str">
        <x:v>https://research.fs.usda.gov/treesearch/39348</x:v>
      </x:c>
      <x:c r="D8" s="28" t="str">
        <x:v>abstract; full-scale crown-fire heat-flux magnitude and duration results</x:v>
      </x:c>
      <x:c r="E8" s="28" t="str">
        <x:v>local_attack_physics</x:v>
      </x:c>
      <x:c r="F8" s="28" t="str">
        <x:v>T2_public_lab_standard_or_physics</x:v>
      </x:c>
      <x:c r="G8" s="28" t="str">
        <x:v>gas temperature, velocity, short peak and longer sustained convective heating</x:v>
      </x:c>
      <x:c r="H8" s="28" t="str">
        <x:v>Treat duration and gas state as load-bearing parts of delivered thermal attack.</x:v>
      </x:c>
      <x:c r="I8" s="28" t="str">
        <x:v>Apply crown-fire sensor measurements directly to a turbine, transformer, cable, foundation, or economic ordinate.</x:v>
      </x:c>
      <x:c r="J8" s="28" t="str">
        <x:v>adopt_with_limits</x:v>
      </x:c>
      <x:c r="K8" s="28" t="str">
        <x:v>Time-history design evidence only.</x:v>
      </x:c>
    </x:row>
    <x:row r="9">
      <x:c r="A9" s="28" t="str">
        <x:v>WW-S005</x:v>
      </x:c>
      <x:c r="B9" s="28" t="str">
        <x:v>Mensch, A.; Wessies, S.; Veley, E. Experimental Investigation of Factors Affecting Individual Firebrand Heat Transfer. Heat and Mass Transfer 148(8) (2026). DOI 10.1115/1.4071850.</x:v>
      </x:c>
      <x:c r="C9" s="28" t="str">
        <x:v>https://www.nist.gov/publications/experimental-investigation-factors-affecting-individual-firebrand-heat-transfer</x:v>
      </x:c>
      <x:c r="D9" s="28" t="str">
        <x:v>abstract; measured peak heat flux/total heating; correlations and substrate discussion</x:v>
      </x:c>
      <x:c r="E9" s="28" t="str">
        <x:v>firebrand_axis_physics</x:v>
      </x:c>
      <x:c r="F9" s="28" t="str">
        <x:v>T2_public_lab_standard_or_physics</x:v>
      </x:c>
      <x:c r="G9" s="28" t="str">
        <x:v>individual firebrand peak heat flux and total heating versus size/type/substrate/wind</x:v>
      </x:c>
      <x:c r="H9" s="28" t="str">
        <x:v>Require firebrand size/type, combustion state, substrate, wind and contact history in a future bridge.</x:v>
      </x:c>
      <x:c r="I9" s="28" t="str">
        <x:v>Match short local firebrand peak flux to sustained cone-calorimeter thresholds or infer equipment ignition/economic DR.</x:v>
      </x:c>
      <x:c r="J9" s="28" t="str">
        <x:v>adopt_with_limits</x:v>
      </x:c>
      <x:c r="K9" s="28" t="str">
        <x:v>Firebrand demand variables; no target-equipment population.</x:v>
      </x:c>
    </x:row>
    <x:row r="10">
      <x:c r="A10" s="28" t="str">
        <x:v>WW-S006</x:v>
      </x:c>
      <x:c r="B10" s="28" t="str">
        <x:v>Abul-Huda, Y. M. Development of a Spatially Resolved Optical Technique for Measuring Heat Flux and Thermal Footprint of Firebrand Piles. NIST TN 2052 (2019). DOI 10.6028/NIST.TN.2052.</x:v>
      </x:c>
      <x:c r="C10" s="28" t="str">
        <x:v>https://doi.org/10.6028/NIST.TN.2052</x:v>
      </x:c>
      <x:c r="D10" s="28" t="str">
        <x:v>abstract; measurement method; contact-area and thermal-footprint discussion</x:v>
      </x:c>
      <x:c r="E10" s="28" t="str">
        <x:v>firebrand_axis_physics</x:v>
      </x:c>
      <x:c r="F10" s="28" t="str">
        <x:v>T2_public_lab_standard_or_physics</x:v>
      </x:c>
      <x:c r="G10" s="28" t="str">
        <x:v>deposited firebrand-pile surface temperature, heat flux and spatial footprint</x:v>
      </x:c>
      <x:c r="H10" s="28" t="str">
        <x:v>Treat deposition, accumulation, contact area and heat feedback as distinct firebrand-load fields.</x:v>
      </x:c>
      <x:c r="I10" s="28" t="str">
        <x:v>Infer turbine ingress, ignition probability, damage state, cost, or a universal pile-to-equipment converter.</x:v>
      </x:c>
      <x:c r="J10" s="28" t="str">
        <x:v>adopt_with_limits</x:v>
      </x:c>
      <x:c r="K10" s="28" t="str">
        <x:v>Supports pathway split and research protocol.</x:v>
      </x:c>
    </x:row>
    <x:row r="11">
      <x:c r="A11" s="28" t="str">
        <x:v>WW-S007</x:v>
      </x:c>
      <x:c r="B11" s="28" t="str">
        <x:v>Wang, N. et al. Thermal and non-thermal fire hazard characteristics of wind turbine blades. Journal of Thermal Analysis and Calorimetry 149, 10335-10351 (2024). DOI 10.1007/s10973-024-13462-4.</x:v>
      </x:c>
      <x:c r="C11" s="28" t="str">
        <x:v>https://doi.org/10.1007/s10973-024-13462-4</x:v>
      </x:c>
      <x:c r="D11" s="28" t="str">
        <x:v>abstract; cone-calorimeter methods; specimen/material description; heat-release, ignition and smoke results</x:v>
      </x:c>
      <x:c r="E11" s="28" t="str">
        <x:v>component_mechanism</x:v>
      </x:c>
      <x:c r="F11" s="28" t="str">
        <x:v>T2_public_lab_standard_or_physics</x:v>
      </x:c>
      <x:c r="G11" s="28" t="str">
        <x:v>E-glass/UPR wind-blade specimens tested under 15-75 kW/m2 radiant flux</x:v>
      </x:c>
      <x:c r="H11" s="28" t="str">
        <x:v>Support blade resin/construction, incident flux and time as selectors/test variables and establish combustible-matrix mechanism.</x:v>
      </x:c>
      <x:c r="I11" s="28" t="str">
        <x:v>Transfer specimen ignition/pyrolysis to full-blade structural disposition, population fragility, wildfire attack probability, or economic DR.</x:v>
      </x:c>
      <x:c r="J11" s="28" t="str">
        <x:v>adopt_with_limits</x:v>
      </x:c>
      <x:c r="K11" s="28" t="str">
        <x:v>Blade-material experiment, not full-turbine calibration.</x:v>
      </x:c>
    </x:row>
    <x:row r="12">
      <x:c r="A12" s="28" t="str">
        <x:v>WW-S008</x:v>
      </x:c>
      <x:c r="B12" s="28" t="str">
        <x:v>Bureau of Safety and Environmental Enforcement-hosted technical assessment. Renewable Energy Fire Protection Systems (2023 public copy).</x:v>
      </x:c>
      <x:c r="C12" s="28" t="str">
        <x:v>https://www.bsee.gov/sites/bsee.gov/files/2023-08/799aa_0.pdf</x:v>
      </x:c>
      <x:c r="D12" s="28" t="str">
        <x:v>sections 2.2-2.4, report pp.34-51: incidents, turbine/substation anatomy, fuel loads and protection</x:v>
      </x:c>
      <x:c r="E12" s="28" t="str">
        <x:v>asset_anatomy_and_dependency</x:v>
      </x:c>
      <x:c r="F12" s="28" t="str">
        <x:v>T3_engineering_proxy_or_adjacent_empirical</x:v>
      </x:c>
      <x:c r="G12" s="28" t="str">
        <x:v>wind-turbine/substation fire locations, combustible loads, internal propagation and selected dispositions</x:v>
      </x:c>
      <x:c r="H12" s="28" t="str">
        <x:v>Define turbine component zones, dependency-safe states, tower/power-takeoff/GSU subjects and protection selectors.</x:v>
      </x:c>
      <x:c r="I12" s="28" t="str">
        <x:v>Use internal/lightning/electrical fires to calibrate exogenous wildfire ignition probability, onshore vulnerability, damage ratio, or cost.</x:v>
      </x:c>
      <x:c r="J12" s="28" t="str">
        <x:v>adopt_with_limits</x:v>
      </x:c>
      <x:c r="K12" s="28" t="str">
        <x:v>Report states its findings were not formally disseminated as BSEE policy; offshore/onshore transfer is limited.</x:v>
      </x:c>
    </x:row>
    <x:row r="13">
      <x:c r="A13" s="28" t="str">
        <x:v>WW-S009</x:v>
      </x:c>
      <x:c r="B13" s="28" t="str">
        <x:v>Eco Logical Australia. Uungula Wind Farm Bush Fire Risk Assessment, prepared for CWP Renewables (2020 planning record).</x:v>
      </x:c>
      <x:c r="C13" s="28" t="str">
        <x:v>https://majorprojects.planningportal.nsw.gov.au/prweb/PRRestService/mp/01/getContent?AttachRef=SSD-6687%2120200520T070926.346+GMT</x:v>
      </x:c>
      <x:c r="D13" s="28" t="str">
        <x:v>sections 2.8-2.10 and 3.2-3.4, report pp.10-13</x:v>
      </x:c>
      <x:c r="E13" s="28" t="str">
        <x:v>site_fields_and_negative_evidence</x:v>
      </x:c>
      <x:c r="F13" s="28" t="str">
        <x:v>T3_engineering_proxy_or_adjacent_empirical</x:v>
      </x:c>
      <x:c r="G13" s="28" t="str">
        <x:v>external bushfire scenarios, WTG/ESF/ancillary assets, flame/radiant/debris attack and control fields</x:v>
      </x:c>
      <x:c r="H13" s="28" t="str">
        <x:v>Support onshore asset materiality, spatial subjects, fuel/APZ/access/emergency fields and the explicit statement that equipment impact is unknown.</x:v>
      </x:c>
      <x:c r="I13" s="28" t="str">
        <x:v>Infer numerical damage, exposure fraction, universal clearance/APZ credit, or representative loss.</x:v>
      </x:c>
      <x:c r="J13" s="28" t="str">
        <x:v>adopt_with_limits</x:v>
      </x:c>
      <x:c r="K13" s="28" t="str">
        <x:v>Most direct onshore external-bushfire source located; it does not close response/cost.</x:v>
      </x:c>
    </x:row>
    <x:row r="14">
      <x:c r="A14" s="28" t="str">
        <x:v>WW-S010</x:v>
      </x:c>
      <x:c r="B14" s="28" t="str">
        <x:v>National Electrical Manufacturers Association. NEMA GD 2-2016: Evaluating Fire- and Heat-Damaged Electrical Equipment.</x:v>
      </x:c>
      <x:c r="C14" s="28" t="str">
        <x:v>https://www.nema.org/docs/default-source/standards-document-library/nema-gd-2-2016-evaluating-fire-and-heat-damaged-electrical-equipment-guide.pdf</x:v>
      </x:c>
      <x:c r="D14" s="28" t="str">
        <x:v>sections 1, 3 and 4.1-4.13</x:v>
      </x:c>
      <x:c r="E14" s="28" t="str">
        <x:v>disposition_endpoint</x:v>
      </x:c>
      <x:c r="F14" s="28" t="str">
        <x:v>T2_public_lab_standard_or_physics</x:v>
      </x:c>
      <x:c r="G14" s="28" t="str">
        <x:v>evaluate/replace/recondition guidance for switchgear, transformers, cable, electronics, batteries and fire residue</x:v>
      </x:c>
      <x:c r="H14" s="28" t="str">
        <x:v>Define post-fire inspection/disposition labels and recognize physical conductive/corrosive residue effects.</x:v>
      </x:c>
      <x:c r="I14" s="28" t="str">
        <x:v>Infer pre-event wildfire fragility, generic smoke-plume DR, attack threshold, repair probability, or cost.</x:v>
      </x:c>
      <x:c r="J14" s="28" t="str">
        <x:v>adopt_with_limits</x:v>
      </x:c>
      <x:c r="K14" s="28" t="str">
        <x:v>Endpoint protocol only; OEM/qualified evaluation remains required.</x:v>
      </x:c>
    </x:row>
    <x:row r="15">
      <x:c r="A15" s="28" t="str">
        <x:v>WW-S011</x:v>
      </x:c>
      <x:c r="B15" s="28" t="str">
        <x:v>Australasian Fire and Emergency Service Authorities Council. Wind Farms and Bushfire Operations, AFAC Publication 2053 (2018).</x:v>
      </x:c>
      <x:c r="C15" s="28" t="str">
        <x:v>https://www.energy.nsw.gov.au/sites/default/files/2022-08/2018_10_AFAC_windfarmsbushfiresoperations.pdf</x:v>
      </x:c>
      <x:c r="D15" s="28" t="str">
        <x:v>scope, planning, preparedness, response and recovery recommendations</x:v>
      </x:c>
      <x:c r="E15" s="28" t="str">
        <x:v>site_controls</x:v>
      </x:c>
      <x:c r="F15" s="28" t="str">
        <x:v>T2_public_lab_standard_or_physics</x:v>
      </x:c>
      <x:c r="G15" s="28" t="str">
        <x:v>wind-farm bushfire prevention/preparedness/response/recovery fields</x:v>
      </x:c>
      <x:c r="H15" s="28" t="str">
        <x:v>Define emergency-plan, responder coordination, turbine shutdown/access and site-information fields.</x:v>
      </x:c>
      <x:c r="I15" s="28" t="str">
        <x:v>Create a physical-damage multiplier, suppression-success probability, fragility or cost curve.</x:v>
      </x:c>
      <x:c r="J15" s="28" t="str">
        <x:v>adopt_with_limits</x:v>
      </x:c>
      <x:c r="K15" s="28" t="str">
        <x:v>Operational control source; no response efficacy distribution.</x:v>
      </x:c>
    </x:row>
    <x:row r="16">
      <x:c r="A16" s="28" t="str">
        <x:v>WW-S012</x:v>
      </x:c>
      <x:c r="B16" s="28" t="str">
        <x:v>Country Fire Authority. Design Guidelines and Model Requirements: Renewable Energy Facilities, version 4.4 (2025).</x:v>
      </x:c>
      <x:c r="C16" s="28" t="str">
        <x:v>https://www.cfa.vic.gov.au/ArticleDocuments/1933/250611%20-%20CFA%20DGMR%20Renewable%20Energy%20Facilities%20v4.4.pdf</x:v>
      </x:c>
      <x:c r="D16" s="28" t="str">
        <x:v>fire-risk principles; all-facility and wind-energy requirements; planning/operations sections</x:v>
      </x:c>
      <x:c r="E16" s="28" t="str">
        <x:v>site_controls</x:v>
      </x:c>
      <x:c r="F16" s="28" t="str">
        <x:v>T2_public_lab_standard_or_physics</x:v>
      </x:c>
      <x:c r="G16" s="28" t="str">
        <x:v>site risk, access, water, vegetation, separation, emergency information and fire-management fields</x:v>
      </x:c>
      <x:c r="H16" s="28" t="str">
        <x:v>Populate auditable site-control selectors and maintenance/evidence fields.</x:v>
      </x:c>
      <x:c r="I16" s="28" t="str">
        <x:v>Apply compliance or any individual requirement as an automatic damage reduction or proof of survival.</x:v>
      </x:c>
      <x:c r="J16" s="28" t="str">
        <x:v>adopt_with_limits</x:v>
      </x:c>
      <x:c r="K16" s="28" t="str">
        <x:v>Jurisdictional guidance, not universal efficacy evidence.</x:v>
      </x:c>
    </x:row>
    <x:row r="17">
      <x:c r="A17" s="28" t="str">
        <x:v>WW-S013</x:v>
      </x:c>
      <x:c r="B17" s="28" t="str">
        <x:v>FM. Property Loss Prevention Data Sheet 13-10: Land-Based Wind Turbines and Farms (2025).</x:v>
      </x:c>
      <x:c r="C17" s="28" t="str">
        <x:v>https://www.fm.com/-/media/project/publicwebsites/fmglobal/documentum-new/data-sheet-individual/13-mechanical/fmds1310.pdf</x:v>
      </x:c>
      <x:c r="D17" s="28" t="str">
        <x:v>section 2.2.10 vegetation clearances; sections on oil containment and fire protection</x:v>
      </x:c>
      <x:c r="E17" s="28" t="str">
        <x:v>site_controls_and_selectors</x:v>
      </x:c>
      <x:c r="F17" s="28" t="str">
        <x:v>T2_public_lab_standard_or_physics</x:v>
      </x:c>
      <x:c r="G17" s="28" t="str">
        <x:v>vegetation-clearance tables, turbine geometry, combustible-liquid containment and fire-protection recommendations</x:v>
      </x:c>
      <x:c r="H17" s="28" t="str">
        <x:v>Capture source-specific clearance basis, hub/rotor geometry, vegetation state, oil containment and protection fields.</x:v>
      </x:c>
      <x:c r="I17" s="28" t="str">
        <x:v>Convert prescribed clearance to a universal loss credit or claim no damage when compliant.</x:v>
      </x:c>
      <x:c r="J17" s="28" t="str">
        <x:v>adopt_with_limits</x:v>
      </x:c>
      <x:c r="K17" s="28" t="str">
        <x:v>Recommendation scope and exact edition must remain explicit.</x:v>
      </x:c>
    </x:row>
    <x:row r="18">
      <x:c r="A18" s="28" t="str">
        <x:v>WW-S014</x:v>
      </x:c>
      <x:c r="B18" s="28" t="str">
        <x:v>DNV-SE-0077: Certification of fire protection systems for wind turbines, edition 2015-03 amended 2021-10.</x:v>
      </x:c>
      <x:c r="C18" s="28" t="str">
        <x:v>https://www.dnv.com/energy/standards-guidelines/dnv-se-0077-certification-of-fire-protection-systems-for-wind-turbines/</x:v>
      </x:c>
      <x:c r="D18" s="28" t="str">
        <x:v>public scope: component/system certification for wind-turbine fire detection and extinguishing</x:v>
      </x:c>
      <x:c r="E18" s="28" t="str">
        <x:v>selector_and_boundary</x:v>
      </x:c>
      <x:c r="F18" s="28" t="str">
        <x:v>T2_public_lab_standard_or_physics</x:v>
      </x:c>
      <x:c r="G18" s="28" t="str">
        <x:v>certification scope for fire detection and extinguishing components/systems</x:v>
      </x:c>
      <x:c r="H18" s="28" t="str">
        <x:v>Capture exact certification/system identity and installed/available/maintained state as selectors or conditioners.</x:v>
      </x:c>
      <x:c r="I18" s="28" t="str">
        <x:v>Treat certification as a wildfire fragility, universal efficacy factor, or proof that suppression succeeds.</x:v>
      </x:c>
      <x:c r="J18" s="28" t="str">
        <x:v>adopt_with_limits</x:v>
      </x:c>
      <x:c r="K18" s="28" t="str">
        <x:v>Licensed detail not reproduced; public scope only.</x:v>
      </x:c>
    </x:row>
    <x:row r="19">
      <x:c r="A19" s="28" t="str">
        <x:v>WW-S015</x:v>
      </x:c>
      <x:c r="B19" s="28" t="str">
        <x:v>Stehly, T.; Duffy, P.; Mulas Hernando, D. Cost of Wind Energy Review: 2024 Edition. NREL/PR-5000-91775 (2024). DOI 10.2172/2479271.</x:v>
      </x:c>
      <x:c r="C19" s="28" t="str">
        <x:v>https://www.nrel.gov/docs/fy25osti/91775.pdf</x:v>
      </x:c>
      <x:c r="D19" s="28" t="str">
        <x:v>land-based wind project component-cost breakdown, report p.28; local Wind_Map rows 2:19</x:v>
      </x:c>
      <x:c r="E19" s="28" t="str">
        <x:v>exposure_or_value</x:v>
      </x:c>
      <x:c r="F19" s="28" t="str">
        <x:v>T2_public_lab_standard_or_physics</x:v>
      </x:c>
      <x:c r="G19" s="28" t="str">
        <x:v>2023-USD turbine, BOS, support and excluded reference cost rows</x:v>
      </x:c>
      <x:c r="H19" s="28" t="str">
        <x:v>Reconcile reference physical/support/excluded values and define a candidate same-turbine assembly denominator.</x:v>
      </x:c>
      <x:c r="I19" s="28" t="str">
        <x:v>Infer site SOV, GSU allocation, attack, disposition, vulnerability, probability, or repair cost.</x:v>
      </x:c>
      <x:c r="J19" s="28" t="str">
        <x:v>adopt_with_limits</x:v>
      </x:c>
      <x:c r="K19" s="28" t="str">
        <x:v>Reference anatomy only.</x:v>
      </x:c>
    </x:row>
    <x:row r="20">
      <x:c r="A20" s="28" t="str">
        <x:v>WW-S016</x:v>
      </x:c>
      <x:c r="B20" s="28" t="str">
        <x:v>RWE. RWE and EMR transform fire-damaged components of Scroby Sands turbine into future resources (16 April 2026).</x:v>
      </x:c>
      <x:c r="C20" s="28" t="str">
        <x:v>https://uk.rwe.com/press-and-news/2026-04-16-rwe-and-emr-transform-fire-damaged-components-of-scroby-sands-turbine/</x:v>
      </x:c>
      <x:c r="D20" s="28" t="str">
        <x:v>event summary: nacelle, blades and upper tower damaged and deconstructed</x:v>
      </x:c>
      <x:c r="E20" s="28" t="str">
        <x:v>adjacent_disposition_context</x:v>
      </x:c>
      <x:c r="F20" s="28" t="str">
        <x:v>T3_engineering_proxy_or_adjacent_empirical</x:v>
      </x:c>
      <x:c r="G20" s="28" t="str">
        <x:v>named turbine components damaged by a fire and removed/deconstructed</x:v>
      </x:c>
      <x:c r="H20" s="28" t="str">
        <x:v>Support dependent turbine-zone disposition concepts after a fire occurs.</x:v>
      </x:c>
      <x:c r="I20" s="28" t="str">
        <x:v>Infer external wildfire causation, ignition probability, severity-conditioned state rate, direct cost, or onshore transfer.</x:v>
      </x:c>
      <x:c r="J20" s="28" t="str">
        <x:v>adopt_with_limits</x:v>
      </x:c>
      <x:c r="K20" s="28" t="str">
        <x:v>Actual fire endpoint context; cause/exposure/cost chain absent.</x:v>
      </x:c>
    </x:row>
    <x:row r="21">
      <x:c r="A21" s="28" t="str">
        <x:v>WW-S017</x:v>
      </x:c>
      <x:c r="B21" s="28" t="str">
        <x:v>InfraSure Damage Curve Library legacy WILDFIRE x WIND research and master-curve index, version 1.0 (March 2026).</x:v>
      </x:c>
      <x:c r="C21" s="28" t="str">
        <x:v>infrasure-damage-curves/research/WILDFIRE_x_WIND.md</x:v>
      </x:c>
      <x:c r="D21" s="28" t="str">
        <x:v>sections 2-9 and master_curve_index.json wildfire/wind entries</x:v>
      </x:c>
      <x:c r="E21" s="28" t="str">
        <x:v>rejected</x:v>
      </x:c>
      <x:c r="F21" s="28" t="str">
        <x:v>T4_placeholder_or_expert_judgment</x:v>
      </x:c>
      <x:c r="G21" s="28" t="str">
        <x:v>three rotor/nacelle/tower logistic curves using FLI, fixed distance, height attenuation and expert caps</x:v>
      </x:c>
      <x:c r="H21" s="28" t="str">
        <x:v>Use only for negative regression, source discovery and migration warnings.</x:v>
      </x:c>
      <x:c r="I21" s="28" t="str">
        <x:v>Reuse FLI-to-flux conversion, attenuation, curve form, thresholds, caps, ordinates, alleged absence proof, or BOP treatment.</x:v>
      </x:c>
      <x:c r="J21" s="28" t="str">
        <x:v>reject_runtime_retain_audit</x:v>
      </x:c>
      <x:c r="K21" s="28" t="str">
        <x:v>Wrong-direction fire cases and internal inconsistencies do not calibrate exogenous wildfire.</x:v>
      </x:c>
    </x:row>
    <x:row r="22">
      <x:c r="A22" s="28" t="str">
        <x:v>WW-S018</x:v>
      </x:c>
      <x:c r="B22" s="28" t="str">
        <x:v>Damage Modeling wildfire_solar current model-v1.0/docs-r3 and proposed evidence package.</x:v>
      </x:c>
      <x:c r="C22" s="28" t="str">
        <x:v>docs/cells/wildfire_solar/README.md</x:v>
      </x:c>
      <x:c r="D22" s="28" t="str">
        <x:v>FSim semantics, source lineage, site-field architecture and Tier-4 ordinate disclosures</x:v>
      </x:c>
      <x:c r="E22" s="28" t="str">
        <x:v>structural_reuse_only</x:v>
      </x:c>
      <x:c r="F22" s="28" t="str">
        <x:v>T3_engineering_proxy_or_adjacent_empirical</x:v>
      </x:c>
      <x:c r="G22" s="28" t="str">
        <x:v>solar-specific categorical screening state table and shared wildfire-method vocabulary</x:v>
      </x:c>
      <x:c r="H22" s="28" t="str">
        <x:v>Reuse FSim semantics, reviewed primary-source discovery, role vocabulary and fail-closed controls after independent registration.</x:v>
      </x:c>
      <x:c r="I22" s="28" t="str">
        <x:v>Transfer solar ordinates, weights, vulnerability ordering, caps, value shares or runtime release authority.</x:v>
      </x:c>
      <x:c r="J22" s="28" t="str">
        <x:v>adopt_with_limits</x:v>
      </x:c>
      <x:c r="K22" s="28" t="str">
        <x:v>Reference is input, not authority; exact shared runtime response is not proven.</x:v>
      </x:c>
    </x:row>
    <x:row r="23">
      <x:c r="A23" s="28" t="str">
        <x:v>GOVERNANCE_CONTRACT</x:v>
      </x:c>
      <x:c r="B23" s="28" t="str">
        <x:v>Damage Modeling method standards, contracts and governed damage-curve workflow.</x:v>
      </x:c>
      <x:c r="C23" s="28" t="str">
        <x:v>docs/method/standards/00_index.md</x:v>
      </x:c>
      <x:c r="D23" s="28" t="str">
        <x:v>cell package, evidence, pathway, shared-component, artifact, capability and fail-closed standards</x:v>
      </x:c>
      <x:c r="E23" s="28" t="str">
        <x:v>governance_rule</x:v>
      </x:c>
      <x:c r="F23" s="28" t="str">
        <x:v>T4_placeholder_or_expert_judgment</x:v>
      </x:c>
      <x:c r="G23" s="28" t="str">
        <x:v>scope, provenance, value, withholding, testing and release controls</x:v>
      </x:c>
      <x:c r="H23" s="28" t="str">
        <x:v>Control package structure, dependency, missing-state behavior and release decision.</x:v>
      </x:c>
      <x:c r="I23" s="28" t="str">
        <x:v>Serve as scientific calibration or direct asset evidence.</x:v>
      </x:c>
      <x:c r="J23" s="28" t="str">
        <x:v>adopt</x:v>
      </x:c>
      <x:c r="K23" s="28" t="str">
        <x:v>Stable internal control ID.</x:v>
      </x:c>
    </x:row>
    <x:row r="24">
      <x:c r="A24" s="28" t="str">
        <x:v>BOUNDED_SEARCH_LOG</x:v>
      </x:c>
      <x:c r="B24" s="28" t="str">
        <x:v>Bounded public-evidence search for wildfire_wind model v0.1/docs r1.</x:v>
      </x:c>
      <x:c r="C24" s="28" t="str">
        <x:v>docs/cells/wildfire_wind/proposed/BOUNDED_EVIDENCE_SEARCH_LOG_wildfire_wind__model_v0_1__docs_r1.md</x:v>
      </x:c>
      <x:c r="D24" s="28" t="str">
        <x:v>search surfaces, query families, qualification tests, results and update triggers</x:v>
      </x:c>
      <x:c r="E24" s="28" t="str">
        <x:v>negative_evidence_boundary</x:v>
      </x:c>
      <x:c r="F24" s="28" t="str">
        <x:v>T3_engineering_proxy_or_adjacent_empirical</x:v>
      </x:c>
      <x:c r="G24" s="28" t="str">
        <x:v>scoped finding that no matched exogenous demand-to-disposition-to-same-unit-cost chain was located</x:v>
      </x:c>
      <x:c r="H24" s="28" t="str">
        <x:v>Support fail-closed outcome within the recorded search scope.</x:v>
      </x:c>
      <x:c r="I24" s="28" t="str">
        <x:v>Claim universal absence across private, unindexed, non-English or future evidence.</x:v>
      </x:c>
      <x:c r="J24" s="28" t="str">
        <x:v>adopt_with_limits</x:v>
      </x:c>
      <x:c r="K24" s="28" t="str">
        <x:v>Load-bearing negative-evidence record.</x:v>
      </x:c>
    </x:row>
    <x:row r="25">
      <x:c r="A25" s="30" t="str">
        <x:v>NREL_CWER_2024</x:v>
      </x:c>
      <x:c r="B25" s="30" t="str">
        <x:v>Alias for WW-S015: Cost of Wind Energy Review 2024 Edition.</x:v>
      </x:c>
      <x:c r="C25" s="30" t="str">
        <x:v>https://www.nrel.gov/docs/fy25osti/91775.pdf</x:v>
      </x:c>
      <x:c r="D25" s="30" t="str">
        <x:v>Wind_Map rows 2:19 in docs/method/value_basis/solar_wind_value_breakdown.xlsx</x:v>
      </x:c>
      <x:c r="E25" s="30" t="str">
        <x:v>exposure_or_value</x:v>
      </x:c>
      <x:c r="F25" s="30" t="str">
        <x:v>T2_public_lab_standard_or_physics</x:v>
      </x:c>
      <x:c r="G25" s="30" t="str">
        <x:v>row-level value-source alias used by VALUE_CROSSWALK</x:v>
      </x:c>
      <x:c r="H25" s="30" t="str">
        <x:v>Resolve value rows to WW-S015 and preserve value-source ID convention.</x:v>
      </x:c>
      <x:c r="I25" s="30" t="str">
        <x:v>Infer vulnerability, exposure, disposition or site value.</x:v>
      </x:c>
      <x:c r="J25" s="30" t="str">
        <x:v>adopt_with_limits</x:v>
      </x:c>
      <x:c r="K25" s="30" t="str">
        <x:v>Alias only.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40" hidden="0" customWidth="1"/>
    <x:col min="4" max="4" width="28" hidden="0" customWidth="1"/>
    <x:col min="5" max="5" width="34" hidden="0" customWidth="1"/>
    <x:col min="6" max="6" width="30" hidden="0" customWidth="1"/>
    <x:col min="7" max="7" width="58" hidden="0" customWidth="1"/>
    <x:col min="8" max="8" width="22" hidden="0" customWidth="1"/>
    <x:col min="9" max="9" width="44" hidden="0" customWidth="1"/>
  </x:cols>
  <x:sheetData>
    <x:row r="1" ht="26" customHeight="1">
      <x:c r="A1" s="2" t="str">
        <x:v>Parameter and rule tiers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4" t="str">
        <x:v>No disabled/open/withheld rule is allowed to become a silent runtime default</x:v>
      </x:c>
      <x:c r="B2" s="4"/>
      <x:c r="C2" s="4"/>
      <x:c r="D2" s="4"/>
      <x:c r="E2" s="4"/>
      <x:c r="F2" s="4"/>
      <x:c r="G2" s="4"/>
      <x:c r="H2" s="4"/>
      <x:c r="I2" s="4"/>
    </x:row>
    <x:row r="4">
      <x:c r="A4" s="13" t="str">
        <x:v>Parameter</x:v>
      </x:c>
      <x:c r="B4" s="14" t="str">
        <x:v>Pathway</x:v>
      </x:c>
      <x:c r="C4" s="14" t="str">
        <x:v>Value/rule</x:v>
      </x:c>
      <x:c r="D4" s="14" t="str">
        <x:v>Role</x:v>
      </x:c>
      <x:c r="E4" s="14" t="str">
        <x:v>Tier</x:v>
      </x:c>
      <x:c r="F4" s="14" t="str">
        <x:v>Sources</x:v>
      </x:c>
      <x:c r="G4" s="14" t="str">
        <x:v>Reasoning</x:v>
      </x:c>
      <x:c r="H4" s="14" t="str">
        <x:v>Status</x:v>
      </x:c>
      <x:c r="I4" s="15" t="str">
        <x:v>Update trigger</x:v>
      </x:c>
    </x:row>
    <x:row r="5">
      <x:c r="A5" s="27" t="str">
        <x:v>runtime_curve_count</x:v>
      </x:c>
      <x:c r="B5" s="27" t="str">
        <x:v>all_wildfire</x:v>
      </x:c>
      <x:c r="C5" s="27" t="str">
        <x:v>0</x:v>
      </x:c>
      <x:c r="D5" s="27" t="str">
        <x:v>capability</x:v>
      </x:c>
      <x:c r="E5" s="27" t="str">
        <x:v>T4_placeholder_or_expert_judgment</x:v>
      </x:c>
      <x:c r="F5" s="27" t="str">
        <x:v>GOVERNANCE_CONTRACT;BOUNDED_SEARCH_LOG</x:v>
      </x:c>
      <x:c r="G5" s="27" t="str">
        <x:v>No exogenous wildfire demand-to-economic-response chain passed.</x:v>
      </x:c>
      <x:c r="H5" s="27" t="str">
        <x:v>adopt</x:v>
      </x:c>
      <x:c r="I5" s="27" t="str">
        <x:v>Reviewed model v1.0 release.</x:v>
      </x:c>
    </x:row>
    <x:row r="6">
      <x:c r="A6" s="28" t="str">
        <x:v>canonical_runtime_artifact</x:v>
      </x:c>
      <x:c r="B6" s="28" t="str">
        <x:v>all_wildfire</x:v>
      </x:c>
      <x:c r="C6" s="28" t="str">
        <x:v>false</x:v>
      </x:c>
      <x:c r="D6" s="28" t="str">
        <x:v>release_state</x:v>
      </x:c>
      <x:c r="E6" s="28" t="str">
        <x:v>T4_placeholder_or_expert_judgment</x:v>
      </x:c>
      <x:c r="F6" s="28" t="str">
        <x:v>GOVERNANCE_CONTRACT</x:v>
      </x:c>
      <x:c r="G6" s="28" t="str">
        <x:v>Research/review package only; no runtime publication or consumer cutover.</x:v>
      </x:c>
      <x:c r="H6" s="28" t="str">
        <x:v>adopt</x:v>
      </x:c>
      <x:c r="I6" s="28" t="str">
        <x:v>Explicit release and Hazard migration.</x:v>
      </x:c>
    </x:row>
    <x:row r="7">
      <x:c r="A7" s="28" t="str">
        <x:v>thermal_pathway_id</x:v>
      </x:c>
      <x:c r="B7" s="28" t="str">
        <x:v>wildfire_thermal_attack</x:v>
      </x:c>
      <x:c r="C7" s="28" t="str">
        <x:v>wildfire_thermal_attack</x:v>
      </x:c>
      <x:c r="D7" s="28" t="str">
        <x:v>pathway_identity</x:v>
      </x:c>
      <x:c r="E7" s="28" t="str">
        <x:v>T4_placeholder_or_expert_judgment</x:v>
      </x:c>
      <x:c r="F7" s="28" t="str">
        <x:v>GOVERNANCE_CONTRACT;WW-S003;WW-S004</x:v>
      </x:c>
      <x:c r="G7" s="28" t="str">
        <x:v>Radiant, convective, and flame-contact attack remain one explicitly named pathway.</x:v>
      </x:c>
      <x:c r="H7" s="28" t="str">
        <x:v>adopt</x:v>
      </x:c>
      <x:c r="I7" s="28" t="str">
        <x:v>Governed pathway redesign.</x:v>
      </x:c>
    </x:row>
    <x:row r="8">
      <x:c r="A8" s="28" t="str">
        <x:v>firebrand_pathway_id</x:v>
      </x:c>
      <x:c r="B8" s="28" t="str">
        <x:v>wildfire_firebrand_ignition</x:v>
      </x:c>
      <x:c r="C8" s="28" t="str">
        <x:v>wildfire_firebrand_ignition</x:v>
      </x:c>
      <x:c r="D8" s="28" t="str">
        <x:v>pathway_identity</x:v>
      </x:c>
      <x:c r="E8" s="28" t="str">
        <x:v>T4_placeholder_or_expert_judgment</x:v>
      </x:c>
      <x:c r="F8" s="28" t="str">
        <x:v>GOVERNANCE_CONTRACT;WW-S005;WW-S006</x:v>
      </x:c>
      <x:c r="G8" s="28" t="str">
        <x:v>Particle deposition/ingress/ignition has distinct demand variables.</x:v>
      </x:c>
      <x:c r="H8" s="28" t="str">
        <x:v>adopt</x:v>
      </x:c>
      <x:c r="I8" s="28" t="str">
        <x:v>Governed pathway redesign.</x:v>
      </x:c>
    </x:row>
    <x:row r="9">
      <x:c r="A9" s="28" t="str">
        <x:v>residue_pathway_id</x:v>
      </x:c>
      <x:c r="B9" s="28" t="str">
        <x:v>wildfire_residue_destructive_contamination</x:v>
      </x:c>
      <x:c r="C9" s="28" t="str">
        <x:v>wildfire_residue_destructive_contamination</x:v>
      </x:c>
      <x:c r="D9" s="28" t="str">
        <x:v>pathway_identity</x:v>
      </x:c>
      <x:c r="E9" s="28" t="str">
        <x:v>T4_placeholder_or_expert_judgment</x:v>
      </x:c>
      <x:c r="F9" s="28" t="str">
        <x:v>GOVERNANCE_CONTRACT;WW-S010</x:v>
      </x:c>
      <x:c r="G9" s="28" t="str">
        <x:v>Only destructive inspected contamination remains in physical scope.</x:v>
      </x:c>
      <x:c r="H9" s="28" t="str">
        <x:v>adopt</x:v>
      </x:c>
      <x:c r="I9" s="28" t="str">
        <x:v>Governed pathway redesign.</x:v>
      </x:c>
    </x:row>
    <x:row r="10">
      <x:c r="A10" s="28" t="str">
        <x:v>fire_origin</x:v>
      </x:c>
      <x:c r="B10" s="28" t="str">
        <x:v>all_wildfire</x:v>
      </x:c>
      <x:c r="C10" s="28" t="str">
        <x:v>exogenous_wildfire_required</x:v>
      </x:c>
      <x:c r="D10" s="28" t="str">
        <x:v>scope_selector</x:v>
      </x:c>
      <x:c r="E10" s="28" t="str">
        <x:v>T4_placeholder_or_expert_judgment</x:v>
      </x:c>
      <x:c r="F10" s="28" t="str">
        <x:v>GOVERNANCE_CONTRACT;WW-S008;WW-S016</x:v>
      </x:c>
      <x:c r="G10" s="28" t="str">
        <x:v>Endogenous/internal fires cannot silently calibrate external wildfire attack.</x:v>
      </x:c>
      <x:c r="H10" s="28" t="str">
        <x:v>adopt</x:v>
      </x:c>
      <x:c r="I10" s="28" t="str">
        <x:v>Exact post-ignition transfer study passes.</x:v>
      </x:c>
    </x:row>
    <x:row r="11">
      <x:c r="A11" s="28" t="str">
        <x:v>event_family_id_required</x:v>
      </x:c>
      <x:c r="B11" s="28" t="str">
        <x:v>all_wildfire</x:v>
      </x:c>
      <x:c r="C11" s="28" t="str">
        <x:v>true</x:v>
      </x:c>
      <x:c r="D11" s="28" t="str">
        <x:v>compound_event_control</x:v>
      </x:c>
      <x:c r="E11" s="28" t="str">
        <x:v>T4_placeholder_or_expert_judgment</x:v>
      </x:c>
      <x:c r="F11" s="28" t="str">
        <x:v>GOVERNANCE_CONTRACT</x:v>
      </x:c>
      <x:c r="G11" s="28" t="str">
        <x:v>One event family is required to reconcile pathways and overlapping dispositions.</x:v>
      </x:c>
      <x:c r="H11" s="28" t="str">
        <x:v>adopt</x:v>
      </x:c>
      <x:c r="I11" s="28" t="str">
        <x:v>Consumer contract changes.</x:v>
      </x:c>
    </x:row>
    <x:row r="12">
      <x:c r="A12" s="28" t="str">
        <x:v>FSim_burn_probability</x:v>
      </x:c>
      <x:c r="B12" s="28" t="str">
        <x:v>all_wildfire</x:v>
      </x:c>
      <x:c r="C12" s="28" t="str">
        <x:v>capture_separately</x:v>
      </x:c>
      <x:c r="D12" s="28" t="str">
        <x:v>source_hazard_field</x:v>
      </x:c>
      <x:c r="E12" s="28" t="str">
        <x:v>T2_public_lab_standard_or_physics</x:v>
      </x:c>
      <x:c r="F12" s="28" t="str">
        <x:v>WW-S001</x:v>
      </x:c>
      <x:c r="G12" s="28" t="str">
        <x:v>Frequency-like burn probability remains upstream/downstream hazard context, not damage response.</x:v>
      </x:c>
      <x:c r="H12" s="28" t="str">
        <x:v>capture_only</x:v>
      </x:c>
      <x:c r="I12" s="28" t="str">
        <x:v>FSim semantics change.</x:v>
      </x:c>
    </x:row>
    <x:row r="13">
      <x:c r="A13" s="28" t="str">
        <x:v>FSim_conditional_flame_length_classes</x:v>
      </x:c>
      <x:c r="B13" s="28" t="str">
        <x:v>all_wildfire</x:v>
      </x:c>
      <x:c r="C13" s="28" t="str">
        <x:v>six_source_native_classes_no_midpoints</x:v>
      </x:c>
      <x:c r="D13" s="28" t="str">
        <x:v>source_hazard_field</x:v>
      </x:c>
      <x:c r="E13" s="28" t="str">
        <x:v>T2_public_lab_standard_or_physics</x:v>
      </x:c>
      <x:c r="F13" s="28" t="str">
        <x:v>WW-S001</x:v>
      </x:c>
      <x:c r="G13" s="28" t="str">
        <x:v>Preserve source classes without invented midpoints.</x:v>
      </x:c>
      <x:c r="H13" s="28" t="str">
        <x:v>capture_only</x:v>
      </x:c>
      <x:c r="I13" s="28" t="str">
        <x:v>FSim product changes.</x:v>
      </x:c>
    </x:row>
    <x:row r="14">
      <x:c r="A14" s="28" t="str">
        <x:v>FSim_frequency_ownership</x:v>
      </x:c>
      <x:c r="B14" s="28" t="str">
        <x:v>all_wildfire</x:v>
      </x:c>
      <x:c r="C14" s="28" t="str">
        <x:v>downstream_hazard_consumer</x:v>
      </x:c>
      <x:c r="D14" s="28" t="str">
        <x:v>boundary_rule</x:v>
      </x:c>
      <x:c r="E14" s="28" t="str">
        <x:v>T4_placeholder_or_expert_judgment</x:v>
      </x:c>
      <x:c r="F14" s="28" t="str">
        <x:v>GOVERNANCE_CONTRACT;WW-S001</x:v>
      </x:c>
      <x:c r="G14" s="28" t="str">
        <x:v>This cell owns intensity-to-damage response, not wildfire frequency.</x:v>
      </x:c>
      <x:c r="H14" s="28" t="str">
        <x:v>adopt</x:v>
      </x:c>
      <x:c r="I14" s="28" t="str">
        <x:v>Repository contract changes.</x:v>
      </x:c>
    </x:row>
    <x:row r="15">
      <x:c r="A15" s="28" t="str">
        <x:v>fireline_intensity_direct_flux_converter</x:v>
      </x:c>
      <x:c r="B15" s="28" t="str">
        <x:v>wildfire_thermal_attack</x:v>
      </x:c>
      <x:c r="C15" s="28" t="str">
        <x:v>prohibited</x:v>
      </x:c>
      <x:c r="D15" s="28" t="str">
        <x:v>axis_guardrail</x:v>
      </x:c>
      <x:c r="E15" s="28" t="str">
        <x:v>T2_public_lab_standard_or_physics</x:v>
      </x:c>
      <x:c r="F15" s="28" t="str">
        <x:v>WW-S002;WW-S003;WW-S004</x:v>
      </x:c>
      <x:c r="G15" s="28" t="str">
        <x:v>kW/m landscape intensity is not kW/m2 delivered target flux.</x:v>
      </x:c>
      <x:c r="H15" s="28" t="str">
        <x:v>adopt</x:v>
      </x:c>
      <x:c r="I15" s="28" t="str">
        <x:v>Validated local-attack bridge qualifies.</x:v>
      </x:c>
    </x:row>
    <x:row r="16">
      <x:c r="A16" s="28" t="str">
        <x:v>thermal_target_axis</x:v>
      </x:c>
      <x:c r="B16" s="28" t="str">
        <x:v>wildfire_thermal_attack</x:v>
      </x:c>
      <x:c r="C16" s="28" t="str">
        <x:v>withheld_pending_local_attack_bridge</x:v>
      </x:c>
      <x:c r="D16" s="28" t="str">
        <x:v>axis_bridge</x:v>
      </x:c>
      <x:c r="E16" s="28" t="str">
        <x:v>T4_placeholder_or_expert_judgment</x:v>
      </x:c>
      <x:c r="F16" s="28" t="str">
        <x:v>WW-S001;WW-S002;WW-S003;WW-S004;GOVERNANCE_CONTRACT</x:v>
      </x:c>
      <x:c r="G16" s="28" t="str">
        <x:v>No universal upstream-to-equipment demand variable is qualified.</x:v>
      </x:c>
      <x:c r="H16" s="28" t="str">
        <x:v>adopt</x:v>
      </x:c>
      <x:c r="I16" s="28" t="str">
        <x:v>Bridge validation and KATs pass.</x:v>
      </x:c>
    </x:row>
    <x:row r="17">
      <x:c r="A17" s="28" t="str">
        <x:v>radiant_heat_flux_history</x:v>
      </x:c>
      <x:c r="B17" s="28" t="str">
        <x:v>wildfire_thermal_attack</x:v>
      </x:c>
      <x:c r="C17" s="28" t="str">
        <x:v>required_future_no_default_kW_per_m2_time_series</x:v>
      </x:c>
      <x:c r="D17" s="28" t="str">
        <x:v>bridge_output_candidate</x:v>
      </x:c>
      <x:c r="E17" s="28" t="str">
        <x:v>T2_public_lab_standard_or_physics</x:v>
      </x:c>
      <x:c r="F17" s="28" t="str">
        <x:v>WW-S003;WW-S007</x:v>
      </x:c>
      <x:c r="G17" s="28" t="str">
        <x:v>Radiation and duration are load-bearing for target/material response.</x:v>
      </x:c>
      <x:c r="H17" s="28" t="str">
        <x:v>candidate_disabled</x:v>
      </x:c>
      <x:c r="I17" s="28" t="str">
        <x:v>Representative bridge and response qualify.</x:v>
      </x:c>
    </x:row>
    <x:row r="18">
      <x:c r="A18" s="28" t="str">
        <x:v>convective_heat_flux_history</x:v>
      </x:c>
      <x:c r="B18" s="28" t="str">
        <x:v>wildfire_thermal_attack</x:v>
      </x:c>
      <x:c r="C18" s="28" t="str">
        <x:v>required_future_no_default_kW_per_m2_time_series</x:v>
      </x:c>
      <x:c r="D18" s="28" t="str">
        <x:v>bridge_output_candidate</x:v>
      </x:c>
      <x:c r="E18" s="28" t="str">
        <x:v>T2_public_lab_standard_or_physics</x:v>
      </x:c>
      <x:c r="F18" s="28" t="str">
        <x:v>WW-S003;WW-S004</x:v>
      </x:c>
      <x:c r="G18" s="28" t="str">
        <x:v>Convective peaks and sustained heating require explicit history.</x:v>
      </x:c>
      <x:c r="H18" s="28" t="str">
        <x:v>candidate_disabled</x:v>
      </x:c>
      <x:c r="I18" s="28" t="str">
        <x:v>Representative bridge and response qualify.</x:v>
      </x:c>
    </x:row>
    <x:row r="19">
      <x:c r="A19" s="28" t="str">
        <x:v>direct_flame_contact_history</x:v>
      </x:c>
      <x:c r="B19" s="28" t="str">
        <x:v>wildfire_thermal_attack</x:v>
      </x:c>
      <x:c r="C19" s="28" t="str">
        <x:v>required_future_unknown_withholds</x:v>
      </x:c>
      <x:c r="D19" s="28" t="str">
        <x:v>bridge_output_candidate</x:v>
      </x:c>
      <x:c r="E19" s="28" t="str">
        <x:v>T2_public_lab_standard_or_physics</x:v>
      </x:c>
      <x:c r="F19" s="28" t="str">
        <x:v>WW-S003;WW-S004</x:v>
      </x:c>
      <x:c r="G19" s="28" t="str">
        <x:v>Flame contact cannot be represented only by remote radiant flux.</x:v>
      </x:c>
      <x:c r="H19" s="28" t="str">
        <x:v>candidate_disabled</x:v>
      </x:c>
      <x:c r="I19" s="28" t="str">
        <x:v>Validated local-attack bridge qualifies.</x:v>
      </x:c>
    </x:row>
    <x:row r="20">
      <x:c r="A20" s="28" t="str">
        <x:v>gas_temperature_velocity_history</x:v>
      </x:c>
      <x:c r="B20" s="28" t="str">
        <x:v>wildfire_thermal_attack</x:v>
      </x:c>
      <x:c r="C20" s="28" t="str">
        <x:v>required_future_no_default</x:v>
      </x:c>
      <x:c r="D20" s="28" t="str">
        <x:v>bridge_output_candidate</x:v>
      </x:c>
      <x:c r="E20" s="28" t="str">
        <x:v>T2_public_lab_standard_or_physics</x:v>
      </x:c>
      <x:c r="F20" s="28" t="str">
        <x:v>WW-S004</x:v>
      </x:c>
      <x:c r="G20" s="28" t="str">
        <x:v>Convective load depends on local gas state and duration.</x:v>
      </x:c>
      <x:c r="H20" s="28" t="str">
        <x:v>candidate_disabled</x:v>
      </x:c>
      <x:c r="I20" s="28" t="str">
        <x:v>Validated reduced-order representation qualifies.</x:v>
      </x:c>
    </x:row>
    <x:row r="21">
      <x:c r="A21" s="28" t="str">
        <x:v>firebrand_target_axis</x:v>
      </x:c>
      <x:c r="B21" s="28" t="str">
        <x:v>wildfire_firebrand_ignition</x:v>
      </x:c>
      <x:c r="C21" s="28" t="str">
        <x:v>withheld_pending_deposition_ingress_bridge</x:v>
      </x:c>
      <x:c r="D21" s="28" t="str">
        <x:v>axis_bridge</x:v>
      </x:c>
      <x:c r="E21" s="28" t="str">
        <x:v>T4_placeholder_or_expert_judgment</x:v>
      </x:c>
      <x:c r="F21" s="28" t="str">
        <x:v>WW-S005;WW-S006;GOVERNANCE_CONTRACT</x:v>
      </x:c>
      <x:c r="G21" s="28" t="str">
        <x:v>No generic ember-presence-to-equipment ignition bridge is qualified.</x:v>
      </x:c>
      <x:c r="H21" s="28" t="str">
        <x:v>adopt</x:v>
      </x:c>
      <x:c r="I21" s="28" t="str">
        <x:v>Target-equipment bridge and response pass.</x:v>
      </x:c>
    </x:row>
    <x:row r="22">
      <x:c r="A22" s="28" t="str">
        <x:v>firebrand_particle_flux_count_history</x:v>
      </x:c>
      <x:c r="B22" s="28" t="str">
        <x:v>wildfire_firebrand_ignition</x:v>
      </x:c>
      <x:c r="C22" s="28" t="str">
        <x:v>required_future_no_default</x:v>
      </x:c>
      <x:c r="D22" s="28" t="str">
        <x:v>bridge_input</x:v>
      </x:c>
      <x:c r="E22" s="28" t="str">
        <x:v>T2_public_lab_standard_or_physics</x:v>
      </x:c>
      <x:c r="F22" s="28" t="str">
        <x:v>WW-S005;WW-S006</x:v>
      </x:c>
      <x:c r="G22" s="28" t="str">
        <x:v>One peak particle is not an event deposition history.</x:v>
      </x:c>
      <x:c r="H22" s="28" t="str">
        <x:v>open_seam</x:v>
      </x:c>
      <x:c r="I22" s="28" t="str">
        <x:v>Qualified event product supplies it.</x:v>
      </x:c>
    </x:row>
    <x:row r="23">
      <x:c r="A23" s="28" t="str">
        <x:v>firebrand_size_mass_combustion_state</x:v>
      </x:c>
      <x:c r="B23" s="28" t="str">
        <x:v>wildfire_firebrand_ignition</x:v>
      </x:c>
      <x:c r="C23" s="28" t="str">
        <x:v>required_future_no_default</x:v>
      </x:c>
      <x:c r="D23" s="28" t="str">
        <x:v>bridge_input</x:v>
      </x:c>
      <x:c r="E23" s="28" t="str">
        <x:v>T2_public_lab_standard_or_physics</x:v>
      </x:c>
      <x:c r="F23" s="28" t="str">
        <x:v>WW-S005</x:v>
      </x:c>
      <x:c r="G23" s="28" t="str">
        <x:v>Particle heat transfer changes with size/type/combustion state.</x:v>
      </x:c>
      <x:c r="H23" s="28" t="str">
        <x:v>open_seam</x:v>
      </x:c>
      <x:c r="I23" s="28" t="str">
        <x:v>Qualified firebrand characterization enters.</x:v>
      </x:c>
    </x:row>
    <x:row r="24">
      <x:c r="A24" s="28" t="str">
        <x:v>firebrand_deposition_accumulation_ingress</x:v>
      </x:c>
      <x:c r="B24" s="28" t="str">
        <x:v>wildfire_firebrand_ignition</x:v>
      </x:c>
      <x:c r="C24" s="28" t="str">
        <x:v>required_future_no_default</x:v>
      </x:c>
      <x:c r="D24" s="28" t="str">
        <x:v>bridge_input</x:v>
      </x:c>
      <x:c r="E24" s="28" t="str">
        <x:v>T2_public_lab_standard_or_physics</x:v>
      </x:c>
      <x:c r="F24" s="28" t="str">
        <x:v>WW-S005;WW-S006</x:v>
      </x:c>
      <x:c r="G24" s="28" t="str">
        <x:v>Contact area, pile feedback, accumulation, and access to protected zones are distinct.</x:v>
      </x:c>
      <x:c r="H24" s="28" t="str">
        <x:v>open_seam</x:v>
      </x:c>
      <x:c r="I24" s="28" t="str">
        <x:v>Target-zone observation/model qualifies.</x:v>
      </x:c>
    </x:row>
    <x:row r="25">
      <x:c r="A25" s="28" t="str">
        <x:v>firebrand_wind_substrate_contact_history</x:v>
      </x:c>
      <x:c r="B25" s="28" t="str">
        <x:v>wildfire_firebrand_ignition</x:v>
      </x:c>
      <x:c r="C25" s="28" t="str">
        <x:v>required_future_no_default</x:v>
      </x:c>
      <x:c r="D25" s="28" t="str">
        <x:v>bridge_input</x:v>
      </x:c>
      <x:c r="E25" s="28" t="str">
        <x:v>T2_public_lab_standard_or_physics</x:v>
      </x:c>
      <x:c r="F25" s="28" t="str">
        <x:v>WW-S005;WW-S006</x:v>
      </x:c>
      <x:c r="G25" s="28" t="str">
        <x:v>Wind, substrate, and contact conditions affect thermal transfer.</x:v>
      </x:c>
      <x:c r="H25" s="28" t="str">
        <x:v>open_seam</x:v>
      </x:c>
      <x:c r="I25" s="28" t="str">
        <x:v>Qualified bridge freezes fields.</x:v>
      </x:c>
    </x:row>
    <x:row r="26">
      <x:c r="A26" s="28" t="str">
        <x:v>residue_target_axis</x:v>
      </x:c>
      <x:c r="B26" s="28" t="str">
        <x:v>wildfire_residue_destructive_contamination</x:v>
      </x:c>
      <x:c r="C26" s="28" t="str">
        <x:v>deferred_pending_destructive_dose_disposition_chain</x:v>
      </x:c>
      <x:c r="D26" s="28" t="str">
        <x:v>axis_bridge</x:v>
      </x:c>
      <x:c r="E26" s="28" t="str">
        <x:v>T4_placeholder_or_expert_judgment</x:v>
      </x:c>
      <x:c r="F26" s="28" t="str">
        <x:v>WW-S010;GOVERNANCE_CONTRACT</x:v>
      </x:c>
      <x:c r="G26" s="28" t="str">
        <x:v>Generic smoke/ash presence is not direct destruction.</x:v>
      </x:c>
      <x:c r="H26" s="28" t="str">
        <x:v>deferred</x:v>
      </x:c>
      <x:c r="I26" s="28" t="str">
        <x:v>Equipment-specific destructive contamination evidence arrives.</x:v>
      </x:c>
    </x:row>
    <x:row r="27">
      <x:c r="A27" s="28" t="str">
        <x:v>residue_composition_dose_wetness_conductivity</x:v>
      </x:c>
      <x:c r="B27" s="28" t="str">
        <x:v>wildfire_residue_destructive_contamination</x:v>
      </x:c>
      <x:c r="C27" s="28" t="str">
        <x:v>required_future_no_default</x:v>
      </x:c>
      <x:c r="D27" s="28" t="str">
        <x:v>bridge_input</x:v>
      </x:c>
      <x:c r="E27" s="28" t="str">
        <x:v>T2_public_lab_standard_or_physics</x:v>
      </x:c>
      <x:c r="F27" s="28" t="str">
        <x:v>WW-S010</x:v>
      </x:c>
      <x:c r="G27" s="28" t="str">
        <x:v>Conductive/corrosive effect depends on residue and equipment conditions.</x:v>
      </x:c>
      <x:c r="H27" s="28" t="str">
        <x:v>open_seam</x:v>
      </x:c>
      <x:c r="I27" s="28" t="str">
        <x:v>Qualified test/inspection protocol enters.</x:v>
      </x:c>
    </x:row>
    <x:row r="28">
      <x:c r="A28" s="28" t="str">
        <x:v>residue_penetration_corrosion_state</x:v>
      </x:c>
      <x:c r="B28" s="28" t="str">
        <x:v>wildfire_residue_destructive_contamination</x:v>
      </x:c>
      <x:c r="C28" s="28" t="str">
        <x:v>required_future_inspected</x:v>
      </x:c>
      <x:c r="D28" s="28" t="str">
        <x:v>response_input</x:v>
      </x:c>
      <x:c r="E28" s="28" t="str">
        <x:v>T2_public_lab_standard_or_physics</x:v>
      </x:c>
      <x:c r="F28" s="28" t="str">
        <x:v>WW-S010</x:v>
      </x:c>
      <x:c r="G28" s="28" t="str">
        <x:v>A destructive state must be inspected at the affected equipment grain.</x:v>
      </x:c>
      <x:c r="H28" s="28" t="str">
        <x:v>open_seam</x:v>
      </x:c>
      <x:c r="I28" s="28" t="str">
        <x:v>Matched inspection and cost records enter.</x:v>
      </x:c>
    </x:row>
    <x:row r="29">
      <x:c r="A29" s="28" t="str">
        <x:v>fuel_flame_slope_wind_fields</x:v>
      </x:c>
      <x:c r="B29" s="28" t="str">
        <x:v>wildfire_thermal_attack</x:v>
      </x:c>
      <x:c r="C29" s="28" t="str">
        <x:v>required_future_no_default</x:v>
      </x:c>
      <x:c r="D29" s="28" t="str">
        <x:v>local_attack_input</x:v>
      </x:c>
      <x:c r="E29" s="28" t="str">
        <x:v>T2_public_lab_standard_or_physics</x:v>
      </x:c>
      <x:c r="F29" s="28" t="str">
        <x:v>WW-S001;WW-S002;WW-S003;WW-S004</x:v>
      </x:c>
      <x:c r="G29" s="28" t="str">
        <x:v>Local attack depends on fire behavior and environment.</x:v>
      </x:c>
      <x:c r="H29" s="28" t="str">
        <x:v>capture_only</x:v>
      </x:c>
      <x:c r="I29" s="28" t="str">
        <x:v>Validated bridge chooses a reduced input set.</x:v>
      </x:c>
    </x:row>
    <x:row r="30">
      <x:c r="A30" s="28" t="str">
        <x:v>target_distance_view_shielding</x:v>
      </x:c>
      <x:c r="B30" s="28" t="str">
        <x:v>wildfire_thermal_attack</x:v>
      </x:c>
      <x:c r="C30" s="28" t="str">
        <x:v>required_future_no_default</x:v>
      </x:c>
      <x:c r="D30" s="28" t="str">
        <x:v>local_attack_input</x:v>
      </x:c>
      <x:c r="E30" s="28" t="str">
        <x:v>T2_public_lab_standard_or_physics</x:v>
      </x:c>
      <x:c r="F30" s="28" t="str">
        <x:v>WW-S003;WW-S004</x:v>
      </x:c>
      <x:c r="G30" s="28" t="str">
        <x:v>Target geometry and intervening conditions are needed for delivered load.</x:v>
      </x:c>
      <x:c r="H30" s="28" t="str">
        <x:v>capture_only</x:v>
      </x:c>
      <x:c r="I30" s="28" t="str">
        <x:v>Validated bridge chooses a reduced input set.</x:v>
      </x:c>
    </x:row>
    <x:row r="31">
      <x:c r="A31" s="28" t="str">
        <x:v>turbine_make_model_and_BOM</x:v>
      </x:c>
      <x:c r="B31" s="28" t="str">
        <x:v>all_wildfire</x:v>
      </x:c>
      <x:c r="C31" s="28" t="str">
        <x:v>required_future_unknown_withholds</x:v>
      </x:c>
      <x:c r="D31" s="28" t="str">
        <x:v>selector</x:v>
      </x:c>
      <x:c r="E31" s="28" t="str">
        <x:v>T3_engineering_proxy_or_adjacent_empirical</x:v>
      </x:c>
      <x:c r="F31" s="28" t="str">
        <x:v>WW-S008;NREL_CWER_2024</x:v>
      </x:c>
      <x:c r="G31" s="28" t="str">
        <x:v>Construction, protected zones, values, and dependencies vary by platform.</x:v>
      </x:c>
      <x:c r="H31" s="28" t="str">
        <x:v>capture_only</x:v>
      </x:c>
      <x:c r="I31" s="28" t="str">
        <x:v>Family-level transfer rule qualifies.</x:v>
      </x:c>
    </x:row>
    <x:row r="32">
      <x:c r="A32" s="28" t="str">
        <x:v>lower_blade_tip_and_rotor_geometry</x:v>
      </x:c>
      <x:c r="B32" s="28" t="str">
        <x:v>wildfire_thermal_attack</x:v>
      </x:c>
      <x:c r="C32" s="28" t="str">
        <x:v>required_future_no_default</x:v>
      </x:c>
      <x:c r="D32" s="28" t="str">
        <x:v>selector_and_geometry</x:v>
      </x:c>
      <x:c r="E32" s="28" t="str">
        <x:v>T2_public_lab_standard_or_physics</x:v>
      </x:c>
      <x:c r="F32" s="28" t="str">
        <x:v>WW-S009;WW-S013</x:v>
      </x:c>
      <x:c r="G32" s="28" t="str">
        <x:v>Ground/fire-to-rotor spatial relation cannot use fixed hub-height attenuation.</x:v>
      </x:c>
      <x:c r="H32" s="28" t="str">
        <x:v>capture_only</x:v>
      </x:c>
      <x:c r="I32" s="28" t="str">
        <x:v>Exact geometry or validated proxy arrives.</x:v>
      </x:c>
    </x:row>
    <x:row r="33">
      <x:c r="A33" s="28" t="str">
        <x:v>blade_resin_construction</x:v>
      </x:c>
      <x:c r="B33" s="28" t="str">
        <x:v>wildfire_thermal_attack</x:v>
      </x:c>
      <x:c r="C33" s="28" t="str">
        <x:v>required_future_unknown_withholds</x:v>
      </x:c>
      <x:c r="D33" s="28" t="str">
        <x:v>selector</x:v>
      </x:c>
      <x:c r="E33" s="28" t="str">
        <x:v>T2_public_lab_standard_or_physics</x:v>
      </x:c>
      <x:c r="F33" s="28" t="str">
        <x:v>WW-S007</x:v>
      </x:c>
      <x:c r="G33" s="28" t="str">
        <x:v>Material construction controls combustible-matrix response.</x:v>
      </x:c>
      <x:c r="H33" s="28" t="str">
        <x:v>capture_only</x:v>
      </x:c>
      <x:c r="I33" s="28" t="str">
        <x:v>Qualified material-family model enters.</x:v>
      </x:c>
    </x:row>
    <x:row r="34">
      <x:c r="A34" s="28" t="str">
        <x:v>enclosure_ventilation_openings</x:v>
      </x:c>
      <x:c r="B34" s="28" t="str">
        <x:v>wildfire_firebrand_ignition</x:v>
      </x:c>
      <x:c r="C34" s="28" t="str">
        <x:v>required_future_unknown_withholds</x:v>
      </x:c>
      <x:c r="D34" s="28" t="str">
        <x:v>selector</x:v>
      </x:c>
      <x:c r="E34" s="28" t="str">
        <x:v>T3_engineering_proxy_or_adjacent_empirical</x:v>
      </x:c>
      <x:c r="F34" s="28" t="str">
        <x:v>WW-S005;WW-S008</x:v>
      </x:c>
      <x:c r="G34" s="28" t="str">
        <x:v>Ingress and protected internal-zone exposure depend on openings/ventilation.</x:v>
      </x:c>
      <x:c r="H34" s="28" t="str">
        <x:v>capture_only</x:v>
      </x:c>
      <x:c r="I34" s="28" t="str">
        <x:v>Target-specific ingress evidence qualifies.</x:v>
      </x:c>
    </x:row>
    <x:row r="35">
      <x:c r="A35" s="28" t="str">
        <x:v>transformer_location_and_configuration</x:v>
      </x:c>
      <x:c r="B35" s="28" t="str">
        <x:v>all_wildfire</x:v>
      </x:c>
      <x:c r="C35" s="28" t="str">
        <x:v>required_future_unknown_withholds</x:v>
      </x:c>
      <x:c r="D35" s="28" t="str">
        <x:v>selector_and_geometry</x:v>
      </x:c>
      <x:c r="E35" s="28" t="str">
        <x:v>T3_engineering_proxy_or_adjacent_empirical</x:v>
      </x:c>
      <x:c r="F35" s="28" t="str">
        <x:v>WW-S008;WW-S010</x:v>
      </x:c>
      <x:c r="G35" s="28" t="str">
        <x:v>Main-transformer response and exposure cannot be inherited from the turbine.</x:v>
      </x:c>
      <x:c r="H35" s="28" t="str">
        <x:v>capture_only</x:v>
      </x:c>
      <x:c r="I35" s="28" t="str">
        <x:v>Site inventory and response qualify.</x:v>
      </x:c>
    </x:row>
    <x:row r="36">
      <x:c r="A36" s="28" t="str">
        <x:v>collection_cable_burial_overhead_state</x:v>
      </x:c>
      <x:c r="B36" s="28" t="str">
        <x:v>all_wildfire</x:v>
      </x:c>
      <x:c r="C36" s="28" t="str">
        <x:v>required_future_unknown_withholds</x:v>
      </x:c>
      <x:c r="D36" s="28" t="str">
        <x:v>selector_and_geometry</x:v>
      </x:c>
      <x:c r="E36" s="28" t="str">
        <x:v>T3_engineering_proxy_or_adjacent_empirical</x:v>
      </x:c>
      <x:c r="F36" s="28" t="str">
        <x:v>WW-S009;GOVERNANCE_CONTRACT</x:v>
      </x:c>
      <x:c r="G36" s="28" t="str">
        <x:v>Collection exposure changes by segment and construction.</x:v>
      </x:c>
      <x:c r="H36" s="28" t="str">
        <x:v>capture_only</x:v>
      </x:c>
      <x:c r="I36" s="28" t="str">
        <x:v>Site network inventory arrives.</x:v>
      </x:c>
    </x:row>
    <x:row r="37">
      <x:c r="A37" s="28" t="str">
        <x:v>shutdown_attained_state</x:v>
      </x:c>
      <x:c r="B37" s="28" t="str">
        <x:v>all_wildfire</x:v>
      </x:c>
      <x:c r="C37" s="28" t="str">
        <x:v>required_future_unknown_no_credit</x:v>
      </x:c>
      <x:c r="D37" s="28" t="str">
        <x:v>event_conditioner</x:v>
      </x:c>
      <x:c r="E37" s="28" t="str">
        <x:v>T2_public_lab_standard_or_physics</x:v>
      </x:c>
      <x:c r="F37" s="28" t="str">
        <x:v>WW-S011;WW-S012;GOVERNANCE_CONTRACT</x:v>
      </x:c>
      <x:c r="G37" s="28" t="str">
        <x:v>Commanded shutdown is not proof of attained state or calibrated damage reduction.</x:v>
      </x:c>
      <x:c r="H37" s="28" t="str">
        <x:v>capture_only</x:v>
      </x:c>
      <x:c r="I37" s="28" t="str">
        <x:v>State-specific effect qualifies.</x:v>
      </x:c>
    </x:row>
    <x:row r="38">
      <x:c r="A38" s="28" t="str">
        <x:v>deenergization_and_isolation_state</x:v>
      </x:c>
      <x:c r="B38" s="28" t="str">
        <x:v>all_wildfire</x:v>
      </x:c>
      <x:c r="C38" s="28" t="str">
        <x:v>required_future_unknown_no_credit</x:v>
      </x:c>
      <x:c r="D38" s="28" t="str">
        <x:v>event_conditioner</x:v>
      </x:c>
      <x:c r="E38" s="28" t="str">
        <x:v>T2_public_lab_standard_or_physics</x:v>
      </x:c>
      <x:c r="F38" s="28" t="str">
        <x:v>WW-S010;WW-S011;GOVERNANCE_CONTRACT</x:v>
      </x:c>
      <x:c r="G38" s="28" t="str">
        <x:v>Electrical state affects safety/disposition but has no generic DR multiplier.</x:v>
      </x:c>
      <x:c r="H38" s="28" t="str">
        <x:v>capture_only</x:v>
      </x:c>
      <x:c r="I38" s="28" t="str">
        <x:v>Calibrated state effect qualifies.</x:v>
      </x:c>
    </x:row>
    <x:row r="39">
      <x:c r="A39" s="28" t="str">
        <x:v>suppression_system_state</x:v>
      </x:c>
      <x:c r="B39" s="28" t="str">
        <x:v>all_wildfire</x:v>
      </x:c>
      <x:c r="C39" s="28" t="str">
        <x:v>installed_available_maintained_activated_outcome_required_future</x:v>
      </x:c>
      <x:c r="D39" s="28" t="str">
        <x:v>event_conditioner</x:v>
      </x:c>
      <x:c r="E39" s="28" t="str">
        <x:v>T2_public_lab_standard_or_physics</x:v>
      </x:c>
      <x:c r="F39" s="28" t="str">
        <x:v>WW-S011;WW-S012;WW-S014</x:v>
      </x:c>
      <x:c r="G39" s="28" t="str">
        <x:v>System identity and actual availability/outcome must remain distinct.</x:v>
      </x:c>
      <x:c r="H39" s="28" t="str">
        <x:v>capture_only</x:v>
      </x:c>
      <x:c r="I39" s="28" t="str">
        <x:v>Product-specific efficacy evidence qualifies.</x:v>
      </x:c>
    </x:row>
    <x:row r="40">
      <x:c r="A40" s="28" t="str">
        <x:v>vegetation_clearance_credit</x:v>
      </x:c>
      <x:c r="B40" s="28" t="str">
        <x:v>all_wildfire</x:v>
      </x:c>
      <x:c r="C40" s="28" t="str">
        <x:v>disabled</x:v>
      </x:c>
      <x:c r="D40" s="28" t="str">
        <x:v>control_rule</x:v>
      </x:c>
      <x:c r="E40" s="28" t="str">
        <x:v>T4_placeholder_or_expert_judgment</x:v>
      </x:c>
      <x:c r="F40" s="28" t="str">
        <x:v>WW-S012;WW-S013;GOVERNANCE_CONTRACT</x:v>
      </x:c>
      <x:c r="G40" s="28" t="str">
        <x:v>Prescribed clearance is a field, not universal efficacy.</x:v>
      </x:c>
      <x:c r="H40" s="28" t="str">
        <x:v>adopt</x:v>
      </x:c>
      <x:c r="I40" s="28" t="str">
        <x:v>Matched loss/control study passes.</x:v>
      </x:c>
    </x:row>
    <x:row r="41">
      <x:c r="A41" s="28" t="str">
        <x:v>fire_protection_certification_credit</x:v>
      </x:c>
      <x:c r="B41" s="28" t="str">
        <x:v>all_wildfire</x:v>
      </x:c>
      <x:c r="C41" s="28" t="str">
        <x:v>disabled</x:v>
      </x:c>
      <x:c r="D41" s="28" t="str">
        <x:v>control_rule</x:v>
      </x:c>
      <x:c r="E41" s="28" t="str">
        <x:v>T4_placeholder_or_expert_judgment</x:v>
      </x:c>
      <x:c r="F41" s="28" t="str">
        <x:v>WW-S014;GOVERNANCE_CONTRACT</x:v>
      </x:c>
      <x:c r="G41" s="28" t="str">
        <x:v>Certification does not encode external-wildfire success probability.</x:v>
      </x:c>
      <x:c r="H41" s="28" t="str">
        <x:v>adopt</x:v>
      </x:c>
      <x:c r="I41" s="28" t="str">
        <x:v>System-specific efficacy evidence passes.</x:v>
      </x:c>
    </x:row>
    <x:row r="42">
      <x:c r="A42" s="28" t="str">
        <x:v>turbine_failure_unit</x:v>
      </x:c>
      <x:c r="B42" s="28" t="str">
        <x:v>all_wildfire</x:v>
      </x:c>
      <x:c r="C42" s="28" t="str">
        <x:v>WT_TURBINE_FIRE_ASSEMBLY</x:v>
      </x:c>
      <x:c r="D42" s="28" t="str">
        <x:v>failure_unit_design</x:v>
      </x:c>
      <x:c r="E42" s="28" t="str">
        <x:v>T3_engineering_proxy_or_adjacent_empirical</x:v>
      </x:c>
      <x:c r="F42" s="28" t="str">
        <x:v>WW-S008;WW-S016;NREL_CWER_2024;GOVERNANCE_CONTRACT</x:v>
      </x:c>
      <x:c r="G42" s="28" t="str">
        <x:v>Repeated turbine is one dependency-safe assembly with zone states.</x:v>
      </x:c>
      <x:c r="H42" s="28" t="str">
        <x:v>adopt</x:v>
      </x:c>
      <x:c r="I42" s="28" t="str">
        <x:v>Finer source-backed denominator/state split is approved.</x:v>
      </x:c>
    </x:row>
    <x:row r="43">
      <x:c r="A43" s="28" t="str">
        <x:v>separate_BOP_failure_units</x:v>
      </x:c>
      <x:c r="B43" s="28" t="str">
        <x:v>all_wildfire</x:v>
      </x:c>
      <x:c r="C43" s="28" t="str">
        <x:v>WT_PAD_ELECTRICAL|WT_COLLECTION_NETWORK|WT_GSU_MAIN_TRANSFORMER|WT_GSU_SWITCHGEAR_BUS|WT_GSU_PROTECTION_CONTROL_DC|WT_GSU_CABLE_TERMINATIONS|WT_CONTROL_MET_OM|WT_FOUNDATION|WT_CIVIL_INFRA</x:v>
      </x:c>
      <x:c r="D43" s="28" t="str">
        <x:v>failure_unit_design</x:v>
      </x:c>
      <x:c r="E43" s="28" t="str">
        <x:v>T4_placeholder_or_expert_judgment</x:v>
      </x:c>
      <x:c r="F43" s="28" t="str">
        <x:v>WW-S008;WW-S009;WW-S010;GOVERNANCE_CONTRACT</x:v>
      </x:c>
      <x:c r="G43" s="28" t="str">
        <x:v>BOP subjects have distinct replacement, dependency, spatial, value, and evidence grain.</x:v>
      </x:c>
      <x:c r="H43" s="28" t="str">
        <x:v>adopt</x:v>
      </x:c>
      <x:c r="I43" s="28" t="str">
        <x:v>Reviewed asset/value redesign.</x:v>
      </x:c>
    </x:row>
    <x:row r="44">
      <x:c r="A44" s="28" t="str">
        <x:v>support_record_ids</x:v>
      </x:c>
      <x:c r="B44" s="28" t="str">
        <x:v>all_shared</x:v>
      </x:c>
      <x:c r="C44" s="28" t="str">
        <x:v>SUPPORT_FIELDWORK|SUPPORT_TRANSPORT_LOGISTICS</x:v>
      </x:c>
      <x:c r="D44" s="28" t="str">
        <x:v>value_support_design</x:v>
      </x:c>
      <x:c r="E44" s="28" t="str">
        <x:v>T4_placeholder_or_expert_judgment</x:v>
      </x:c>
      <x:c r="F44" s="28" t="str">
        <x:v>NREL_CWER_2024;GOVERNANCE_CONTRACT</x:v>
      </x:c>
      <x:c r="G44" s="28" t="str">
        <x:v>Support is referenced once after disposition and is not intrinsic physical DR.</x:v>
      </x:c>
      <x:c r="H44" s="28" t="str">
        <x:v>adopt</x:v>
      </x:c>
      <x:c r="I44" s="28" t="str">
        <x:v>Allocation contract changes.</x:v>
      </x:c>
    </x:row>
    <x:row r="45">
      <x:c r="A45" s="28" t="str">
        <x:v>turbine_state_form</x:v>
      </x:c>
      <x:c r="B45" s="28" t="str">
        <x:v>all_wildfire</x:v>
      </x:c>
      <x:c r="C45" s="28" t="str">
        <x:v>mutually_exclusive_or_nested_zone_to_terminal_assembly_candidate</x:v>
      </x:c>
      <x:c r="D45" s="28" t="str">
        <x:v>curve_form_candidate</x:v>
      </x:c>
      <x:c r="E45" s="28" t="str">
        <x:v>T3_engineering_proxy_or_adjacent_empirical</x:v>
      </x:c>
      <x:c r="F45" s="28" t="str">
        <x:v>WW-S008;WW-S016;GOVERNANCE_CONTRACT</x:v>
      </x:c>
      <x:c r="G45" s="28" t="str">
        <x:v>Prevent overlapping blade/nacelle/tower terminal charges.</x:v>
      </x:c>
      <x:c r="H45" s="28" t="str">
        <x:v>candidate_disabled</x:v>
      </x:c>
      <x:c r="I45" s="28" t="str">
        <x:v>State probabilities and same-unit costs qualify.</x:v>
      </x:c>
    </x:row>
    <x:row r="46">
      <x:c r="A46" s="28" t="str">
        <x:v>turbine_exposure_grain</x:v>
      </x:c>
      <x:c r="B46" s="28" t="str">
        <x:v>all_wildfire</x:v>
      </x:c>
      <x:c r="C46" s="28" t="str">
        <x:v>per_turbine_point_rotor_or_zone_subject</x:v>
      </x:c>
      <x:c r="D46" s="28" t="str">
        <x:v>exposure_rule</x:v>
      </x:c>
      <x:c r="E46" s="28" t="str">
        <x:v>T4_placeholder_or_expert_judgment</x:v>
      </x:c>
      <x:c r="F46" s="28" t="str">
        <x:v>WW-S009;GOVERNANCE_CONTRACT</x:v>
      </x:c>
      <x:c r="G46" s="28" t="str">
        <x:v>Repeated turbines require per-unit coupling at compatible geometry grain.</x:v>
      </x:c>
      <x:c r="H46" s="28" t="str">
        <x:v>adopt</x:v>
      </x:c>
      <x:c r="I46" s="28" t="str">
        <x:v>Exact site geometry changes.</x:v>
      </x:c>
    </x:row>
    <x:row r="47">
      <x:c r="A47" s="28" t="str">
        <x:v>collection_exposure_grain</x:v>
      </x:c>
      <x:c r="B47" s="28" t="str">
        <x:v>all_wildfire</x:v>
      </x:c>
      <x:c r="C47" s="28" t="str">
        <x:v>segment_or_network_line</x:v>
      </x:c>
      <x:c r="D47" s="28" t="str">
        <x:v>exposure_rule</x:v>
      </x:c>
      <x:c r="E47" s="28" t="str">
        <x:v>T4_placeholder_or_expert_judgment</x:v>
      </x:c>
      <x:c r="F47" s="28" t="str">
        <x:v>WW-S009;GOVERNANCE_CONTRACT</x:v>
      </x:c>
      <x:c r="G47" s="28" t="str">
        <x:v>Only relevant line segments receive local attack.</x:v>
      </x:c>
      <x:c r="H47" s="28" t="str">
        <x:v>adopt</x:v>
      </x:c>
      <x:c r="I47" s="28" t="str">
        <x:v>Exact network geometry changes.</x:v>
      </x:c>
    </x:row>
    <x:row r="48">
      <x:c r="A48" s="28" t="str">
        <x:v>GSU_exposure_grain</x:v>
      </x:c>
      <x:c r="B48" s="28" t="str">
        <x:v>all_wildfire</x:v>
      </x:c>
      <x:c r="C48" s="28" t="str">
        <x:v>one_shared_yard_with_apparatus_subjects</x:v>
      </x:c>
      <x:c r="D48" s="28" t="str">
        <x:v>exposure_rule</x:v>
      </x:c>
      <x:c r="E48" s="28" t="str">
        <x:v>T4_placeholder_or_expert_judgment</x:v>
      </x:c>
      <x:c r="F48" s="28" t="str">
        <x:v>WW-S008;WW-S009;GOVERNANCE_CONTRACT</x:v>
      </x:c>
      <x:c r="G48" s="28" t="str">
        <x:v>Shared substation appears once and apparatus remains separately addressable.</x:v>
      </x:c>
      <x:c r="H48" s="28" t="str">
        <x:v>adopt</x:v>
      </x:c>
      <x:c r="I48" s="28" t="str">
        <x:v>Site topology changes.</x:v>
      </x:c>
    </x:row>
    <x:row r="49">
      <x:c r="A49" s="28" t="str">
        <x:v>lease_polygon_full_exposure</x:v>
      </x:c>
      <x:c r="B49" s="28" t="str">
        <x:v>all_wildfire</x:v>
      </x:c>
      <x:c r="C49" s="28" t="str">
        <x:v>prohibited</x:v>
      </x:c>
      <x:c r="D49" s="28" t="str">
        <x:v>exposure_rule</x:v>
      </x:c>
      <x:c r="E49" s="28" t="str">
        <x:v>T4_placeholder_or_expert_judgment</x:v>
      </x:c>
      <x:c r="F49" s="28" t="str">
        <x:v>WW-S009;GOVERNANCE_CONTRACT</x:v>
      </x:c>
      <x:c r="G49" s="28" t="str">
        <x:v>Lease/permitted extent is not equipment footprint.</x:v>
      </x:c>
      <x:c r="H49" s="28" t="str">
        <x:v>adopt</x:v>
      </x:c>
      <x:c r="I49" s="28" t="str">
        <x:v>Never without exact physical/value equivalence.</x:v>
      </x:c>
    </x:row>
    <x:row r="50">
      <x:c r="A50" s="28" t="str">
        <x:v>turbine_equipment_reference_value</x:v>
      </x:c>
      <x:c r="B50" s="28" t="str">
        <x:v>all_shared</x:v>
      </x:c>
      <x:c r="C50" s="28" t="str">
        <x:v>1090_2023_USD_per_kW</x:v>
      </x:c>
      <x:c r="D50" s="28" t="str">
        <x:v>value_reference</x:v>
      </x:c>
      <x:c r="E50" s="28" t="str">
        <x:v>T2_public_lab_standard_or_physics</x:v>
      </x:c>
      <x:c r="F50" s="28" t="str">
        <x:v>NREL_CWER_2024</x:v>
      </x:c>
      <x:c r="G50" s="28" t="str">
        <x:v>Rows 2-9 form a candidate repeated-turbine assembly denominator only.</x:v>
      </x:c>
      <x:c r="H50" s="28" t="str">
        <x:v>reference_only</x:v>
      </x:c>
      <x:c r="I50" s="28" t="str">
        <x:v>CWER or site ledger changes.</x:v>
      </x:c>
    </x:row>
    <x:row r="51">
      <x:c r="A51" s="28" t="str">
        <x:v>physical_reference_value</x:v>
      </x:c>
      <x:c r="B51" s="28" t="str">
        <x:v>all_shared</x:v>
      </x:c>
      <x:c r="C51" s="28" t="str">
        <x:v>1623_2023_USD_per_kW</x:v>
      </x:c>
      <x:c r="D51" s="28" t="str">
        <x:v>value_reference</x:v>
      </x:c>
      <x:c r="E51" s="28" t="str">
        <x:v>T2_public_lab_standard_or_physics</x:v>
      </x:c>
      <x:c r="F51" s="28" t="str">
        <x:v>NREL_CWER_2024</x:v>
      </x:c>
      <x:c r="G51" s="28" t="str">
        <x:v>Reference physical reconciliation; not a pooled DR denominator.</x:v>
      </x:c>
      <x:c r="H51" s="28" t="str">
        <x:v>reference_only</x:v>
      </x:c>
      <x:c r="I51" s="28" t="str">
        <x:v>CWER or site ledger changes.</x:v>
      </x:c>
    </x:row>
    <x:row r="52">
      <x:c r="A52" s="28" t="str">
        <x:v>installed_reference_value</x:v>
      </x:c>
      <x:c r="B52" s="28" t="str">
        <x:v>all_shared</x:v>
      </x:c>
      <x:c r="C52" s="28" t="str">
        <x:v>1968_2023_USD_per_kW</x:v>
      </x:c>
      <x:c r="D52" s="28" t="str">
        <x:v>value_reference</x:v>
      </x:c>
      <x:c r="E52" s="28" t="str">
        <x:v>T2_public_lab_standard_or_physics</x:v>
      </x:c>
      <x:c r="F52" s="28" t="str">
        <x:v>NREL_CWER_2024</x:v>
      </x:c>
      <x:c r="G52" s="28" t="str">
        <x:v>Reference reporting denominator; not site TIV.</x:v>
      </x:c>
      <x:c r="H52" s="28" t="str">
        <x:v>reference_only</x:v>
      </x:c>
      <x:c r="I52" s="28" t="str">
        <x:v>CWER or site ledger changes.</x:v>
      </x:c>
    </x:row>
    <x:row r="53">
      <x:c r="A53" s="28" t="str">
        <x:v>electrical_reference_value_split</x:v>
      </x:c>
      <x:c r="B53" s="28" t="str">
        <x:v>all_shared</x:v>
      </x:c>
      <x:c r="C53" s="28" t="str">
        <x:v>72_2023_USD_per_kW_unresolved_across_seven_units</x:v>
      </x:c>
      <x:c r="D53" s="28" t="str">
        <x:v>value_guardrail</x:v>
      </x:c>
      <x:c r="E53" s="28" t="str">
        <x:v>T4_placeholder_or_expert_judgment</x:v>
      </x:c>
      <x:c r="F53" s="28" t="str">
        <x:v>NREL_CWER_2024;GOVERNANCE_CONTRACT</x:v>
      </x:c>
      <x:c r="G53" s="28" t="str">
        <x:v>Aggregate electrical row cannot populate child values without a method.</x:v>
      </x:c>
      <x:c r="H53" s="28" t="str">
        <x:v>withhold</x:v>
      </x:c>
      <x:c r="I53" s="28" t="str">
        <x:v>Site BOM/SOV split arrives.</x:v>
      </x:c>
    </x:row>
    <x:row r="54">
      <x:c r="A54" s="28" t="str">
        <x:v>support_cost_rule</x:v>
      </x:c>
      <x:c r="B54" s="28" t="str">
        <x:v>all_shared</x:v>
      </x:c>
      <x:c r="C54" s="28" t="str">
        <x:v>allocate_once_after_final_disposition</x:v>
      </x:c>
      <x:c r="D54" s="28" t="str">
        <x:v>value_rule</x:v>
      </x:c>
      <x:c r="E54" s="28" t="str">
        <x:v>T4_placeholder_or_expert_judgment</x:v>
      </x:c>
      <x:c r="F54" s="28" t="str">
        <x:v>NREL_CWER_2024;GOVERNANCE_CONTRACT</x:v>
      </x:c>
      <x:c r="G54" s="28" t="str">
        <x:v>Prevent intrinsic support DR and duplicate scaling.</x:v>
      </x:c>
      <x:c r="H54" s="28" t="str">
        <x:v>adopt</x:v>
      </x:c>
      <x:c r="I54" s="28" t="str">
        <x:v>Claims/site allocation rule qualifies.</x:v>
      </x:c>
    </x:row>
    <x:row r="55">
      <x:c r="A55" s="28" t="str">
        <x:v>unknown_value_behavior</x:v>
      </x:c>
      <x:c r="B55" s="28" t="str">
        <x:v>all_shared</x:v>
      </x:c>
      <x:c r="C55" s="28" t="str">
        <x:v>withhold_scenario_loss</x:v>
      </x:c>
      <x:c r="D55" s="28" t="str">
        <x:v>value_rule</x:v>
      </x:c>
      <x:c r="E55" s="28" t="str">
        <x:v>T4_placeholder_or_expert_judgment</x:v>
      </x:c>
      <x:c r="F55" s="28" t="str">
        <x:v>GOVERNANCE_CONTRACT</x:v>
      </x:c>
      <x:c r="G55" s="28" t="str">
        <x:v>Reference values do not default into site loss.</x:v>
      </x:c>
      <x:c r="H55" s="28" t="str">
        <x:v>adopt</x:v>
      </x:c>
      <x:c r="I55" s="28" t="str">
        <x:v>Exact site values are supplied.</x:v>
      </x:c>
    </x:row>
    <x:row r="56">
      <x:c r="A56" s="28" t="str">
        <x:v>failure_unit_scalar_dr</x:v>
      </x:c>
      <x:c r="B56" s="28" t="str">
        <x:v>all_wildfire</x:v>
      </x:c>
      <x:c r="C56" s="28" t="str">
        <x:v>withheld_NO_RUNTIME_CURVE</x:v>
      </x:c>
      <x:c r="D56" s="28" t="str">
        <x:v>capability</x:v>
      </x:c>
      <x:c r="E56" s="28" t="str">
        <x:v>T4_placeholder_or_expert_judgment</x:v>
      </x:c>
      <x:c r="F56" s="28" t="str">
        <x:v>GOVERNANCE_CONTRACT;BOUNDED_SEARCH_LOG</x:v>
      </x:c>
      <x:c r="G56" s="28" t="str">
        <x:v>No output-bearing curve record exists.</x:v>
      </x:c>
      <x:c r="H56" s="28" t="str">
        <x:v>adopt</x:v>
      </x:c>
      <x:c r="I56" s="28" t="str">
        <x:v>Model v1.0 release.</x:v>
      </x:c>
    </x:row>
    <x:row r="57">
      <x:c r="A57" s="28" t="str">
        <x:v>scenario_loss</x:v>
      </x:c>
      <x:c r="B57" s="28" t="str">
        <x:v>all_wildfire</x:v>
      </x:c>
      <x:c r="C57" s="28" t="str">
        <x:v>withheld_NO_RUNTIME_CURVE</x:v>
      </x:c>
      <x:c r="D57" s="28" t="str">
        <x:v>capability</x:v>
      </x:c>
      <x:c r="E57" s="28" t="str">
        <x:v>T4_placeholder_or_expert_judgment</x:v>
      </x:c>
      <x:c r="F57" s="28" t="str">
        <x:v>GOVERNANCE_CONTRACT</x:v>
      </x:c>
      <x:c r="G57" s="28" t="str">
        <x:v>DR, local exposure, site value, and support allocation are not jointly qualified.</x:v>
      </x:c>
      <x:c r="H57" s="28" t="str">
        <x:v>adopt</x:v>
      </x:c>
      <x:c r="I57" s="28" t="str">
        <x:v>All named gates pass.</x:v>
      </x:c>
    </x:row>
    <x:row r="58">
      <x:c r="A58" s="28" t="str">
        <x:v>scalar_eal</x:v>
      </x:c>
      <x:c r="B58" s="28" t="str">
        <x:v>all_wildfire</x:v>
      </x:c>
      <x:c r="C58" s="28" t="str">
        <x:v>withheld</x:v>
      </x:c>
      <x:c r="D58" s="28" t="str">
        <x:v>capability</x:v>
      </x:c>
      <x:c r="E58" s="28" t="str">
        <x:v>T4_placeholder_or_expert_judgment</x:v>
      </x:c>
      <x:c r="F58" s="28" t="str">
        <x:v>GOVERNANCE_CONTRACT</x:v>
      </x:c>
      <x:c r="G58" s="28" t="str">
        <x:v>The cell owns no event frequency and has no damage curve.</x:v>
      </x:c>
      <x:c r="H58" s="28" t="str">
        <x:v>adopt</x:v>
      </x:c>
      <x:c r="I58" s="28" t="str">
        <x:v>Downstream prerequisites and cap preflight pass.</x:v>
      </x:c>
    </x:row>
    <x:row r="59">
      <x:c r="A59" s="30" t="str">
        <x:v>pml_var_tvar</x:v>
      </x:c>
      <x:c r="B59" s="30" t="str">
        <x:v>all_wildfire</x:v>
      </x:c>
      <x:c r="C59" s="30" t="str">
        <x:v>withheld</x:v>
      </x:c>
      <x:c r="D59" s="30" t="str">
        <x:v>capability</x:v>
      </x:c>
      <x:c r="E59" s="30" t="str">
        <x:v>T4_placeholder_or_expert_judgment</x:v>
      </x:c>
      <x:c r="F59" s="30" t="str">
        <x:v>GOVERNANCE_CONTRACT</x:v>
      </x:c>
      <x:c r="G59" s="30" t="str">
        <x:v>No annual loss distribution or tail-capable downstream object exists.</x:v>
      </x:c>
      <x:c r="H59" s="30" t="str">
        <x:v>adopt</x:v>
      </x:c>
      <x:c r="I59" s="30" t="str">
        <x:v>Tail-capable consumer integration passes.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8" hidden="0" customWidth="1"/>
    <x:col min="5" max="5" width="62" hidden="0" customWidth="1"/>
  </x:cols>
  <x:sheetData>
    <x:row r="1" ht="26" customHeight="1">
      <x:c r="A1" s="2" t="str">
        <x:v>Workbook QA checks</x:v>
      </x:c>
      <x:c r="B1" s="2"/>
      <x:c r="C1" s="2"/>
      <x:c r="D1" s="2"/>
      <x:c r="E1" s="2"/>
    </x:row>
    <x:row r="2" ht="22" customHeight="1">
      <x:c r="A2" s="4" t="str">
        <x:v>Formula-driven assertions; external validator also checks JSON/schema, IDs, links, rendering, and XLSX integrity</x:v>
      </x:c>
      <x:c r="B2" s="4"/>
      <x:c r="C2" s="4"/>
      <x:c r="D2" s="4"/>
      <x:c r="E2" s="4"/>
    </x:row>
    <x:row r="4">
      <x:c r="A4" s="13" t="str">
        <x:v>Check</x:v>
      </x:c>
      <x:c r="B4" s="14" t="str">
        <x:v>Status formula</x:v>
      </x:c>
      <x:c r="C4" s="14" t="str">
        <x:v>Expected/threshold</x:v>
      </x:c>
      <x:c r="D4" s="14" t="str">
        <x:v>Scope</x:v>
      </x:c>
      <x:c r="E4" s="15" t="str">
        <x:v>Why it matters</x:v>
      </x:c>
    </x:row>
    <x:row r="5">
      <x:c r="A5" s="27" t="str">
        <x:v>Physical reference reconciles</x:v>
      </x:c>
      <x:c r="B5" s="61" t="str">
        <x:f>IF(ABS('Asset_Value'!B10-1623)&lt;1E-9,"PASS","FAIL")</x:f>
        <x:v>PASS</x:v>
      </x:c>
      <x:c r="C5" s="27" t="n">
        <x:v>1623</x:v>
      </x:c>
      <x:c r="D5" s="27" t="str">
        <x:v>Asset_Value</x:v>
      </x:c>
      <x:c r="E5" s="27" t="str">
        <x:v>Turbine equipment + other direct + support</x:v>
      </x:c>
    </x:row>
    <x:row r="6">
      <x:c r="A6" s="28" t="str">
        <x:v>Installed reference reconciles</x:v>
      </x:c>
      <x:c r="B6" s="62" t="str">
        <x:f>IF(ABS('Asset_Value'!B12-1968)&lt;1E-9,"PASS","FAIL")</x:f>
        <x:v>PASS</x:v>
      </x:c>
      <x:c r="C6" s="28" t="n">
        <x:v>1968</x:v>
      </x:c>
      <x:c r="D6" s="28" t="str">
        <x:v>Asset_Value</x:v>
      </x:c>
      <x:c r="E6" s="28" t="str">
        <x:v>Physical + excluded</x:v>
      </x:c>
    </x:row>
    <x:row r="7">
      <x:c r="A7" s="28" t="str">
        <x:v>Turbine equipment physical share precise</x:v>
      </x:c>
      <x:c r="B7" s="62" t="str">
        <x:f>IF(ABS('Asset_Value'!B13-1090/1623)&lt;1E-9,"PASS","FAIL")</x:f>
        <x:v>PASS</x:v>
      </x:c>
      <x:c r="C7" s="28" t="n">
        <x:v>0.6715958102279729</x:v>
      </x:c>
      <x:c r="D7" s="28" t="str">
        <x:v>Asset_Value</x:v>
      </x:c>
      <x:c r="E7" s="28" t="str">
        <x:v>Denominator anatomy, not DR cap</x:v>
      </x:c>
    </x:row>
    <x:row r="8">
      <x:c r="A8" s="28" t="str">
        <x:v>Runtime curve count is zero</x:v>
      </x:c>
      <x:c r="B8" s="62" t="str">
        <x:f>IF('README'!B11=0,"PASS","FAIL")</x:f>
        <x:v>PASS</x:v>
      </x:c>
      <x:c r="C8" s="28" t="n">
        <x:v>0</x:v>
      </x:c>
      <x:c r="D8" s="28" t="str">
        <x:v>README</x:v>
      </x:c>
      <x:c r="E8" s="28" t="str">
        <x:v>Fail-closed invariant</x:v>
      </x:c>
    </x:row>
    <x:row r="9">
      <x:c r="A9" s="28" t="str">
        <x:v>Candidate runtime flags all false</x:v>
      </x:c>
      <x:c r="B9" s="62" t="str">
        <x:f>IF(COUNTIF('Candidate_Audit'!F5:F10,TRUE)=0,"PASS","FAIL")</x:f>
        <x:v>PASS</x:v>
      </x:c>
      <x:c r="C9" s="28" t="n">
        <x:v>0</x:v>
      </x:c>
      <x:c r="D9" s="28" t="str">
        <x:v>Candidate_Audit</x:v>
      </x:c>
      <x:c r="E9" s="28" t="str">
        <x:v>Audit numbers cannot leak into runtime</x:v>
      </x:c>
    </x:row>
    <x:row r="10">
      <x:c r="A10" s="28" t="str">
        <x:v>Source register exact count</x:v>
      </x:c>
      <x:c r="B10" s="62" t="str">
        <x:f>IF(COUNTA('Source_Register'!A5:A25)=21,"PASS","FAIL")</x:f>
        <x:v>PASS</x:v>
      </x:c>
      <x:c r="C10" s="28" t="n">
        <x:v>21</x:v>
      </x:c>
      <x:c r="D10" s="28" t="str">
        <x:v>Source_Register</x:v>
      </x:c>
      <x:c r="E10" s="28" t="str">
        <x:v>All governed source rows present</x:v>
      </x:c>
    </x:row>
    <x:row r="11">
      <x:c r="A11" s="28" t="str">
        <x:v>Claim register exact count</x:v>
      </x:c>
      <x:c r="B11" s="62" t="str">
        <x:f>IF(COUNTA('Claim_Register'!A5:A34)=30,"PASS","FAIL")</x:f>
        <x:v>PASS</x:v>
      </x:c>
      <x:c r="C11" s="28" t="n">
        <x:v>30</x:v>
      </x:c>
      <x:c r="D11" s="28" t="str">
        <x:v>Claim_Register</x:v>
      </x:c>
      <x:c r="E11" s="28" t="str">
        <x:v>All governed claims present</x:v>
      </x:c>
    </x:row>
    <x:row r="12">
      <x:c r="A12" s="28" t="str">
        <x:v>Parameter tier exact count</x:v>
      </x:c>
      <x:c r="B12" s="62" t="str">
        <x:f>IF(COUNTA('Parameter_Tiers'!A5:A59)=55,"PASS","FAIL")</x:f>
        <x:v>PASS</x:v>
      </x:c>
      <x:c r="C12" s="28" t="n">
        <x:v>55</x:v>
      </x:c>
      <x:c r="D12" s="28" t="str">
        <x:v>Parameter_Tiers</x:v>
      </x:c>
      <x:c r="E12" s="28" t="str">
        <x:v>All rules/parameters present</x:v>
      </x:c>
    </x:row>
    <x:row r="13">
      <x:c r="A13" s="28" t="str">
        <x:v>Value crosswalk exact count</x:v>
      </x:c>
      <x:c r="B13" s="62" t="str">
        <x:f>IF(COUNTA('Value_Crosswalk'!A5:A30)=26,"PASS","FAIL")</x:f>
        <x:v>PASS</x:v>
      </x:c>
      <x:c r="C13" s="28" t="n">
        <x:v>26</x:v>
      </x:c>
      <x:c r="D13" s="28" t="str">
        <x:v>Value_Crosswalk</x:v>
      </x:c>
      <x:c r="E13" s="28" t="str">
        <x:v>All CWER detail and summary rows present</x:v>
      </x:c>
    </x:row>
    <x:row r="14">
      <x:c r="A14" s="28" t="str">
        <x:v>Failure unit exact count</x:v>
      </x:c>
      <x:c r="B14" s="62" t="str">
        <x:f>IF(COUNTA('Failure_Units'!A5:A16)=12,"PASS","FAIL")</x:f>
        <x:v>PASS</x:v>
      </x:c>
      <x:c r="C14" s="28" t="n">
        <x:v>12</x:v>
      </x:c>
      <x:c r="D14" s="28" t="str">
        <x:v>Failure_Units</x:v>
      </x:c>
      <x:c r="E14" s="28" t="str">
        <x:v>Every declared unit present</x:v>
      </x:c>
    </x:row>
    <x:row r="15">
      <x:c r="A15" s="28" t="str">
        <x:v>GSU decomposition remains separate</x:v>
      </x:c>
      <x:c r="B15" s="62" t="str">
        <x:f>IF(AND(COUNTIF('Failure_Units'!A5:A16,"WT_GSU_MAIN_TRANSFORMER")=1,COUNTIF('Failure_Units'!A5:A16,"WT_GSU_SWITCHGEAR_BUS")=1,COUNTIF('Failure_Units'!A5:A16,"WT_GSU_PROTECTION_CONTROL_DC")=1,COUNTIF('Failure_Units'!A5:A16,"WT_GSU_CABLE_TERMINATIONS")=1),"PASS","FAIL")</x:f>
        <x:v>PASS</x:v>
      </x:c>
      <x:c r="C15" s="28" t="n">
        <x:v>4</x:v>
      </x:c>
      <x:c r="D15" s="28" t="str">
        <x:v>Failure_Units</x:v>
      </x:c>
      <x:c r="E15" s="28" t="str">
        <x:v>Shared yard anatomy explicit; no turbine pooling</x:v>
      </x:c>
    </x:row>
    <x:row r="16">
      <x:c r="A16" s="28" t="str">
        <x:v>Runtime reason exact</x:v>
      </x:c>
      <x:c r="B16" s="62" t="str">
        <x:f>IF('README'!B13="NO_RUNTIME_CURVE","PASS","FAIL")</x:f>
        <x:v>PASS</x:v>
      </x:c>
      <x:c r="C16" s="28" t="str">
        <x:v>NO_RUNTIME_CURVE</x:v>
      </x:c>
      <x:c r="D16" s="28" t="str">
        <x:v>README</x:v>
      </x:c>
      <x:c r="E16" s="28" t="str">
        <x:v>Null is not zero</x:v>
      </x:c>
    </x:row>
    <x:row r="17">
      <x:c r="A17" s="30" t="str">
        <x:v>Legacy checks rejected</x:v>
      </x:c>
      <x:c r="B17" s="63" t="str">
        <x:f>IF(AND('Legacy_Audit'!E6="reject",'Legacy_Audit'!E7="reject",'Legacy_Audit'!E8="reject",'Legacy_Audit'!E9="reject fallback"),"PASS","FAIL")</x:f>
        <x:v>PASS</x:v>
      </x:c>
      <x:c r="C17" s="30" t="n">
        <x:v>4</x:v>
      </x:c>
      <x:c r="D17" s="30" t="str">
        <x:v>Legacy_Audit</x:v>
      </x:c>
      <x:c r="E17" s="30" t="str">
        <x:v>Legacy bridge/curves and solar response cannot become runtime KATs</x:v>
      </x:c>
    </x:row>
  </x:sheetData>
  <x:mergeCells>
    <x:mergeCell ref="A1:E1"/>
    <x:mergeCell ref="A2:E2"/>
  </x:mergeCells>
  <x:pageMargins left="0.7" right="0.7" top="0.75" bottom="0.75" header="0.3" footer="0.3"/>
</x:worksheet>
</file>