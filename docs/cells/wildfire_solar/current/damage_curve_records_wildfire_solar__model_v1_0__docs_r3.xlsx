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6646b2c34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36f0a08a8e41c8"/>
    <x:sheet xmlns:r="http://schemas.openxmlformats.org/officeDocument/2006/relationships" name="Assumptions" sheetId="2" r:id="R29b4091b3d334cef"/>
    <x:sheet xmlns:r="http://schemas.openxmlformats.org/officeDocument/2006/relationships" name="Curves" sheetId="3" r:id="R002dce0847c34636"/>
    <x:sheet xmlns:r="http://schemas.openxmlformats.org/officeDocument/2006/relationships" name="Value Linkage" sheetId="4" r:id="R7fe47ae4b081479e"/>
    <x:sheet xmlns:r="http://schemas.openxmlformats.org/officeDocument/2006/relationships" name="Aggregate" sheetId="5" r:id="R79ff1b50c33043cf"/>
    <x:sheet xmlns:r="http://schemas.openxmlformats.org/officeDocument/2006/relationships" name="Sensitivity" sheetId="6" r:id="Rcabd8b488048408f"/>
    <x:sheet xmlns:r="http://schemas.openxmlformats.org/officeDocument/2006/relationships" name="Sources" sheetId="7" r:id="Rc9015227877b404b"/>
    <x:sheet xmlns:r="http://schemas.openxmlformats.org/officeDocument/2006/relationships" name="QA" sheetId="8" r:id="R343eba90cb4e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0"/>
    <x:numFmt numFmtId="201" formatCode="0.000000"/>
    <x:numFmt numFmtId="202" formatCode="0.0%"/>
    <x:numFmt numFmtId="203" formatCode="0.0000%"/>
    <x:numFmt numFmtId="204" formatCode="$0.000"/>
    <x:numFmt numFmtId="205" formatCode="General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7F9FB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2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2" fillId="4" borderId="3" xfId="0" applyNumberFormat="1" applyFont="1" applyFill="1" applyBorder="1"/>
    <x:xf numFmtId="203" fontId="0" fillId="0" borderId="0" xfId="0" applyNumberFormat="1" applyFont="1" applyFill="1" applyBorder="1"/>
    <x:xf numFmtId="203" fontId="2" fillId="4" borderId="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200" fontId="2" fillId="4" borderId="3" xfId="0" applyNumberFormat="1" applyFont="1" applyFill="1" applyBorder="1" applyAlignment="1">
      <x:alignment wrapText="1"/>
    </x:xf>
    <x:xf numFmtId="203" fontId="2" fillId="4" borderId="3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203" fontId="2" fillId="4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200" fontId="2" fillId="4" borderId="3" xfId="0" applyNumberFormat="1" applyFont="1" applyFill="1" applyBorder="1" applyAlignment="1">
      <x:alignment vertical="center" wrapText="1"/>
    </x:xf>
    <x:xf numFmtId="203" fontId="2" fillId="4" borderId="3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3" fontId="2" fillId="4" borderId="0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4" borderId="10" xfId="0" applyNumberFormat="1" applyFont="1" applyFill="1" applyBorder="1" applyAlignment="1">
      <x:alignment vertical="center"/>
    </x:xf>
    <x:xf numFmtId="0" fontId="2" fillId="4" borderId="1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3958b38a64a42" /><Relationship Type="http://schemas.openxmlformats.org/officeDocument/2006/relationships/theme" Target="/xl/theme/theme1.xml" Id="Rc347faf709594ac0" /><Relationship Type="http://schemas.openxmlformats.org/officeDocument/2006/relationships/sharedStrings" Target="/xl/sharedStrings.xml" Id="Rec3ae748afb64023" /><Relationship Type="http://schemas.openxmlformats.org/officeDocument/2006/relationships/worksheet" Target="/xl/worksheets/sheet1.xml" Id="Red36f0a08a8e41c8" /><Relationship Type="http://schemas.openxmlformats.org/officeDocument/2006/relationships/worksheet" Target="/xl/worksheets/sheet2.xml" Id="R29b4091b3d334cef" /><Relationship Type="http://schemas.openxmlformats.org/officeDocument/2006/relationships/worksheet" Target="/xl/worksheets/sheet3.xml" Id="R002dce0847c34636" /><Relationship Type="http://schemas.openxmlformats.org/officeDocument/2006/relationships/worksheet" Target="/xl/worksheets/sheet4.xml" Id="R7fe47ae4b081479e" /><Relationship Type="http://schemas.openxmlformats.org/officeDocument/2006/relationships/worksheet" Target="/xl/worksheets/sheet5.xml" Id="R79ff1b50c33043cf" /><Relationship Type="http://schemas.openxmlformats.org/officeDocument/2006/relationships/worksheet" Target="/xl/worksheets/sheet6.xml" Id="Rcabd8b488048408f" /><Relationship Type="http://schemas.openxmlformats.org/officeDocument/2006/relationships/worksheet" Target="/xl/worksheets/sheet7.xml" Id="Rc9015227877b404b" /><Relationship Type="http://schemas.openxmlformats.org/officeDocument/2006/relationships/worksheet" Target="/xl/worksheets/sheet8.xml" Id="R343eba90cb4e48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3" t="str">
        <x:v>Wildfire × Solar — Screening Model v1.0 Audit Workbook</x:v>
      </x:c>
      <x:c r="B1" s="51"/>
      <x:c r="C1" s="51"/>
      <x:c r="D1" s="51"/>
      <x:c r="E1" s="51"/>
      <x:c r="F1" s="51"/>
    </x:row>
    <x:row r="2">
      <x:c r="A2" s="51"/>
      <x:c r="B2" s="51"/>
      <x:c r="C2" s="51"/>
      <x:c r="D2" s="51"/>
      <x:c r="E2" s="51"/>
      <x:c r="F2" s="51"/>
    </x:row>
    <x:row r="3">
      <x:c r="A3" s="10" t="str">
        <x:v>Field</x:v>
      </x:c>
      <x:c r="B3" s="11" t="str">
        <x:v>Value</x:v>
      </x:c>
      <x:c r="C3" s="51"/>
      <x:c r="D3" s="51"/>
      <x:c r="E3" s="51"/>
      <x:c r="F3" s="51"/>
    </x:row>
    <x:row r="4">
      <x:c r="A4" s="51" t="str">
        <x:v>Cell</x:v>
      </x:c>
      <x:c r="B4" s="51" t="str">
        <x:v>wildfire_solar</x:v>
      </x:c>
      <x:c r="C4" s="51"/>
      <x:c r="D4" s="51"/>
      <x:c r="E4" s="51"/>
      <x:c r="F4" s="51"/>
    </x:row>
    <x:row r="5">
      <x:c r="A5" s="51" t="str">
        <x:v>Model</x:v>
      </x:c>
      <x:c r="B5" s="51" t="str">
        <x:v>model v1.0</x:v>
      </x:c>
      <x:c r="C5" s="51"/>
      <x:c r="D5" s="51"/>
      <x:c r="E5" s="51"/>
      <x:c r="F5" s="51"/>
    </x:row>
    <x:row r="6">
      <x:c r="A6" s="51" t="str">
        <x:v>Documentation</x:v>
      </x:c>
      <x:c r="B6" s="51" t="str">
        <x:v>docs r3</x:v>
      </x:c>
      <x:c r="C6" s="51"/>
      <x:c r="D6" s="51"/>
      <x:c r="E6" s="51"/>
      <x:c r="F6" s="51"/>
    </x:row>
    <x:row r="7">
      <x:c r="A7" s="51" t="str">
        <x:v>Model grade</x:v>
      </x:c>
      <x:c r="B7" s="51" t="str">
        <x:v>screening engineering proxy</x:v>
      </x:c>
      <x:c r="C7" s="51"/>
      <x:c r="D7" s="51"/>
      <x:c r="E7" s="51"/>
      <x:c r="F7" s="51"/>
    </x:row>
    <x:row r="8">
      <x:c r="A8" s="51" t="str">
        <x:v>Runtime axis</x:v>
      </x:c>
      <x:c r="B8" s="51" t="str">
        <x:v>exact source-native FSim conditional flame-length class</x:v>
      </x:c>
      <x:c r="C8" s="51"/>
      <x:c r="D8" s="51"/>
      <x:c r="E8" s="51"/>
      <x:c r="F8" s="51"/>
    </x:row>
    <x:row r="9">
      <x:c r="A9" s="51" t="str">
        <x:v>Failure units</x:v>
      </x:c>
      <x:c r="B9" s="51" t="n">
        <x:v>10</x:v>
      </x:c>
      <x:c r="C9" s="51"/>
      <x:c r="D9" s="51"/>
      <x:c r="E9" s="51"/>
      <x:c r="F9" s="51"/>
    </x:row>
    <x:row r="10">
      <x:c r="A10" s="51" t="str">
        <x:v>Claims/field calibrated</x:v>
      </x:c>
      <x:c r="B10" s="51" t="str">
        <x:v>No</x:v>
      </x:c>
      <x:c r="C10" s="51"/>
      <x:c r="D10" s="51"/>
      <x:c r="E10" s="51"/>
      <x:c r="F10" s="51"/>
    </x:row>
    <x:row r="11">
      <x:c r="A11" s="51" t="str">
        <x:v>Portable package</x:v>
      </x:c>
      <x:c r="B11" s="51" t="str">
        <x:v>unchanged at library v2.5</x:v>
      </x:c>
      <x:c r="C11" s="51"/>
      <x:c r="D11" s="51"/>
      <x:c r="E11" s="51"/>
      <x:c r="F11" s="51"/>
    </x:row>
    <x:row r="12">
      <x:c r="A12" s="51" t="str">
        <x:v>Canonical artifact</x:v>
      </x:c>
      <x:c r="B12" s="51" t="str">
        <x:v>wildfire_solar__model_v1_0__docs_r3__curve_artifact.json</x:v>
      </x:c>
      <x:c r="C12" s="51"/>
      <x:c r="D12" s="51"/>
      <x:c r="E12" s="51"/>
      <x:c r="F12" s="51"/>
    </x:row>
    <x:row r="13">
      <x:c r="A13" s="51"/>
      <x:c r="B13" s="51"/>
      <x:c r="C13" s="51"/>
      <x:c r="D13" s="51"/>
      <x:c r="E13" s="51"/>
      <x:c r="F13" s="51"/>
    </x:row>
    <x:row r="14">
      <x:c r="A14" s="52" t="str">
        <x:v>Interpretation and limits</x:v>
      </x:c>
      <x:c r="B14" s="53"/>
      <x:c r="C14" s="53"/>
      <x:c r="D14" s="53"/>
      <x:c r="E14" s="53"/>
      <x:c r="F14" s="54"/>
    </x:row>
    <x:row r="15">
      <x:c r="A15" s="55" t="str">
        <x:v>The state tables are Tier 4 absolute engineering proxies constrained by Tier 2/3 hazard, physics, diagnostic, disposition, and value evidence.</x:v>
      </x:c>
      <x:c r="B15" s="55"/>
      <x:c r="C15" s="55"/>
      <x:c r="D15" s="55"/>
      <x:c r="E15" s="55"/>
      <x:c r="F15" s="55"/>
    </x:row>
    <x:row r="16">
      <x:c r="A16" s="55" t="str">
        <x:v>No FSim class is converted to local heat flux or exposure duration. Only exact class lookup is permitted.</x:v>
      </x:c>
      <x:c r="B16" s="55"/>
      <x:c r="C16" s="55"/>
      <x:c r="D16" s="55"/>
      <x:c r="E16" s="55"/>
      <x:c r="F16" s="55"/>
    </x:row>
    <x:row r="17">
      <x:c r="A17" s="55" t="str">
        <x:v>Failure-unit DR is same-unit direct repair/replacement ratio for a generic screening archetype.</x:v>
      </x:c>
      <x:c r="B17" s="55"/>
      <x:c r="C17" s="55"/>
      <x:c r="D17" s="55"/>
      <x:c r="E17" s="55"/>
      <x:c r="F17" s="55"/>
    </x:row>
    <x:row r="18">
      <x:c r="A18" s="55" t="str">
        <x:v>Scenario loss requires an explicit value profile. Support costs are allocated once after direct damage.</x:v>
      </x:c>
      <x:c r="B18" s="55"/>
      <x:c r="C18" s="55"/>
      <x:c r="D18" s="55"/>
      <x:c r="E18" s="55"/>
      <x:c r="F18" s="55"/>
    </x:row>
    <x:row r="19">
      <x:c r="A19" s="55" t="str">
        <x:v>Use for regional screening and ranging; do not use as a site appraisal, claim settlement, or mitigation credit.</x:v>
      </x:c>
      <x:c r="B19" s="55"/>
      <x:c r="C19" s="55"/>
      <x:c r="D19" s="55"/>
      <x:c r="E19" s="55"/>
      <x:c r="F19" s="55"/>
    </x:row>
  </x:sheetData>
  <x:mergeCells>
    <x:mergeCell ref="A1:F1"/>
    <x:mergeCell ref="A14:F14"/>
    <x:mergeCell ref="A15:F15"/>
    <x:mergeCell ref="A16:F16"/>
    <x:mergeCell ref="A17:F17"/>
    <x:mergeCell ref="A18:F18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42" hidden="0" customWidth="1"/>
  </x:cols>
  <x:sheetData>
    <x:row r="1" ht="28" customHeight="1">
      <x:c r="A1" s="3" t="str">
        <x:v>Assumptions and Denominators</x:v>
      </x:c>
      <x:c r="B1" s="51"/>
      <x:c r="C1" s="51"/>
      <x:c r="D1" s="51"/>
    </x:row>
    <x:row r="2">
      <x:c r="A2" s="51"/>
      <x:c r="B2" s="51"/>
      <x:c r="C2" s="51"/>
      <x:c r="D2" s="51"/>
    </x:row>
    <x:row r="3">
      <x:c r="A3" s="10" t="str">
        <x:v>Input</x:v>
      </x:c>
      <x:c r="B3" s="21" t="str">
        <x:v>Value</x:v>
      </x:c>
      <x:c r="C3" s="21" t="str">
        <x:v>Unit</x:v>
      </x:c>
      <x:c r="D3" s="11" t="str">
        <x:v>Tier / note</x:v>
      </x:c>
    </x:row>
    <x:row r="4">
      <x:c r="A4" s="51" t="str">
        <x:v>Installed CAPEX</x:v>
      </x:c>
      <x:c r="B4" s="56" t="n">
        <x:v>1120</x:v>
      </x:c>
      <x:c r="C4" s="51" t="str">
        <x:v>2024 USD/kWdc</x:v>
      </x:c>
      <x:c r="D4" s="51" t="str">
        <x:v>T2 governed cost benchmark</x:v>
      </x:c>
    </x:row>
    <x:row r="5">
      <x:c r="A5" s="51" t="str">
        <x:v>Physical replaceable basis</x:v>
      </x:c>
      <x:c r="B5" s="56" t="n">
        <x:v>877.7957023626668</x:v>
      </x:c>
      <x:c r="C5" s="51" t="str">
        <x:v>2024 USD/kWdc</x:v>
      </x:c>
      <x:c r="D5" s="51" t="str">
        <x:v>T2 governed crosswalk</x:v>
      </x:c>
    </x:row>
    <x:row r="6">
      <x:c r="A6" s="51" t="str">
        <x:v>Support/fieldwork bucket</x:v>
      </x:c>
      <x:c r="B6" s="56" t="n">
        <x:v>189.59050092005714</x:v>
      </x:c>
      <x:c r="C6" s="51" t="str">
        <x:v>2024 USD/kWdc</x:v>
      </x:c>
      <x:c r="D6" s="51" t="str">
        <x:v>T4 proportional allocate-once rule</x:v>
      </x:c>
    </x:row>
    <x:row r="7">
      <x:c r="A7" s="51" t="str">
        <x:v>Excluded soft/nonphysical</x:v>
      </x:c>
      <x:c r="B7" s="56" t="n">
        <x:v>242.20429763733296</x:v>
      </x:c>
      <x:c r="C7" s="51" t="str">
        <x:v>2024 USD/kWdc</x:v>
      </x:c>
      <x:c r="D7" s="51" t="str">
        <x:v>outside physical DR</x:v>
      </x:c>
    </x:row>
    <x:row r="8">
      <x:c r="A8" s="51" t="str">
        <x:v>Direct + civil subtotal</x:v>
      </x:c>
      <x:c r="B8" s="56" t="n">
        <x:v>688.2052014426097</x:v>
      </x:c>
      <x:c r="C8" s="51" t="str">
        <x:v>2024 USD/kWdc</x:v>
      </x:c>
      <x:c r="D8" s="51" t="str">
        <x:v>ten failure-unit denominator</x:v>
      </x:c>
    </x:row>
    <x:row r="9">
      <x:c r="A9" s="51" t="str">
        <x:v>Physical / installed ratio</x:v>
      </x:c>
      <x:c r="B9" s="57" t="n">
        <x:f>B5/B4</x:f>
        <x:v>0.7837461628238097</x:v>
      </x:c>
      <x:c r="C9" s="51" t="str">
        <x:v>fraction</x:v>
      </x:c>
      <x:c r="D9" s="51" t="str">
        <x:v>formula</x:v>
      </x:c>
    </x:row>
    <x:row r="10">
      <x:c r="A10" s="51" t="str">
        <x:v>Low sensitivity multiplier</x:v>
      </x:c>
      <x:c r="B10" s="57" t="n">
        <x:v>0.6</x:v>
      </x:c>
      <x:c r="C10" s="51" t="str">
        <x:v>multiplier</x:v>
      </x:c>
      <x:c r="D10" s="51" t="str">
        <x:v>scenario stress; not confidence bound</x:v>
      </x:c>
    </x:row>
    <x:row r="11">
      <x:c r="A11" s="51" t="str">
        <x:v>High sensitivity multiplier</x:v>
      </x:c>
      <x:c r="B11" s="57" t="n">
        <x:v>1.5</x:v>
      </x:c>
      <x:c r="C11" s="51" t="str">
        <x:v>multiplier</x:v>
      </x:c>
      <x:c r="D11" s="51" t="str">
        <x:v>scenario stress; capped by failure unit at 1</x:v>
      </x:c>
    </x:row>
    <x:row r="12">
      <x:c r="A12" s="51" t="str">
        <x:v>FLP sum tolerance</x:v>
      </x:c>
      <x:c r="B12" s="51" t="n">
        <x:v>1e-12</x:v>
      </x:c>
      <x:c r="C12" s="51" t="str">
        <x:v>absolute</x:v>
      </x:c>
      <x:c r="D12" s="51" t="str">
        <x:v>runtime validation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38" hidden="0" customWidth="1"/>
    <x:col min="13" max="13" width="14" hidden="0" customWidth="1"/>
  </x:cols>
  <x:sheetData>
    <x:row r="1" ht="28" customHeight="1">
      <x:c r="A1" s="3" t="str">
        <x:v>Exact-State Failure-Unit Damage Ratios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</x:row>
    <x:row r="3">
      <x:c r="A3" s="10" t="str">
        <x:v>Failure unit</x:v>
      </x:c>
      <x:c r="B3" s="21" t="str">
        <x:v>Subsystem</x:v>
      </x:c>
      <x:c r="C3" s="21" t="str">
        <x:v>Component</x:v>
      </x:c>
      <x:c r="D3" s="21" t="str">
        <x:v>State 0</x:v>
      </x:c>
      <x:c r="E3" s="21" t="str">
        <x:v>State 1
&lt;2 ft</x:v>
      </x:c>
      <x:c r="F3" s="21" t="str">
        <x:v>State 2
2–&lt;4 ft</x:v>
      </x:c>
      <x:c r="G3" s="21" t="str">
        <x:v>State 3
4–&lt;6 ft</x:v>
      </x:c>
      <x:c r="H3" s="21" t="str">
        <x:v>State 4
6–&lt;8 ft</x:v>
      </x:c>
      <x:c r="I3" s="21" t="str">
        <x:v>State 5
8–&lt;12 ft</x:v>
      </x:c>
      <x:c r="J3" s="21" t="str">
        <x:v>State 6
≥12 ft</x:v>
      </x:c>
      <x:c r="K3" s="21" t="str">
        <x:v>Tier</x:v>
      </x:c>
      <x:c r="L3" s="21" t="str">
        <x:v>Reasoning</x:v>
      </x:c>
      <x:c r="M3" s="11" t="str">
        <x:v>Monotone QA</x:v>
      </x:c>
    </x:row>
    <x:row r="4">
      <x:c r="A4" s="58" t="str">
        <x:v>WSV1_MODULE_THERMAL</x:v>
      </x:c>
      <x:c r="B4" s="58" t="str">
        <x:v>PV_ARRAY</x:v>
      </x:c>
      <x:c r="C4" s="58" t="str">
        <x:v>PV_MODULE</x:v>
      </x:c>
      <x:c r="D4" s="59" t="n">
        <x:v>0</x:v>
      </x:c>
      <x:c r="E4" s="59" t="n">
        <x:v>0.002</x:v>
      </x:c>
      <x:c r="F4" s="59" t="n">
        <x:v>0.01</x:v>
      </x:c>
      <x:c r="G4" s="59" t="n">
        <x:v>0.04</x:v>
      </x:c>
      <x:c r="H4" s="59" t="n">
        <x:v>0.12</x:v>
      </x:c>
      <x:c r="I4" s="59" t="n">
        <x:v>0.32</x:v>
      </x:c>
      <x:c r="J4" s="59" t="n">
        <x:v>0.65</x:v>
      </x:c>
      <x:c r="K4" s="58" t="str">
        <x:v>T4</x:v>
      </x:c>
      <x:c r="L4" s="58" t="str">
        <x:v>PV thermal/fire + field diagnostic constraints</x:v>
      </x:c>
      <x:c r="M4" s="58" t="str">
        <x:f>IF(AND(D4&lt;=E4,E4&lt;=F4,F4&lt;=G4,G4&lt;=H4,H4&lt;=I4,I4&lt;=J4),"PASS","FAIL")</x:f>
        <x:v>PASS</x:v>
      </x:c>
    </x:row>
    <x:row r="5">
      <x:c r="A5" s="58" t="str">
        <x:v>WSV1_RACKING_THERMAL</x:v>
      </x:c>
      <x:c r="B5" s="58" t="str">
        <x:v>MOUNTING</x:v>
      </x:c>
      <x:c r="C5" s="58" t="str">
        <x:v>TRACKER_AND_RACKING</x:v>
      </x:c>
      <x:c r="D5" s="59" t="n">
        <x:v>0</x:v>
      </x:c>
      <x:c r="E5" s="59" t="n">
        <x:v>0</x:v>
      </x:c>
      <x:c r="F5" s="59" t="n">
        <x:v>0.001</x:v>
      </x:c>
      <x:c r="G5" s="59" t="n">
        <x:v>0.005</x:v>
      </x:c>
      <x:c r="H5" s="59" t="n">
        <x:v>0.02</x:v>
      </x:c>
      <x:c r="I5" s="59" t="n">
        <x:v>0.08</x:v>
      </x:c>
      <x:c r="J5" s="59" t="n">
        <x:v>0.25</x:v>
      </x:c>
      <x:c r="K5" s="58" t="str">
        <x:v>T4</x:v>
      </x:c>
      <x:c r="L5" s="58" t="str">
        <x:v>metal support/drive lower-response proxy</x:v>
      </x:c>
      <x:c r="M5" s="58" t="str">
        <x:f>IF(AND(D5&lt;=E5,E5&lt;=F5,F5&lt;=G5,G5&lt;=H5,H5&lt;=I5,I5&lt;=J5),"PASS","FAIL")</x:f>
        <x:v>PASS</x:v>
      </x:c>
    </x:row>
    <x:row r="6">
      <x:c r="A6" s="58" t="str">
        <x:v>WSV1_FOUNDATION_THERMAL</x:v>
      </x:c>
      <x:c r="B6" s="58" t="str">
        <x:v>FOUNDATION</x:v>
      </x:c>
      <x:c r="C6" s="58" t="str">
        <x:v>PILE_AND_INVERTER_PAD</x:v>
      </x:c>
      <x:c r="D6" s="59" t="n">
        <x:v>0</x:v>
      </x:c>
      <x:c r="E6" s="59" t="n">
        <x:v>0</x:v>
      </x:c>
      <x:c r="F6" s="59" t="n">
        <x:v>0</x:v>
      </x:c>
      <x:c r="G6" s="59" t="n">
        <x:v>0.001</x:v>
      </x:c>
      <x:c r="H6" s="59" t="n">
        <x:v>0.003</x:v>
      </x:c>
      <x:c r="I6" s="59" t="n">
        <x:v>0.01</x:v>
      </x:c>
      <x:c r="J6" s="59" t="n">
        <x:v>0.04</x:v>
      </x:c>
      <x:c r="K6" s="58" t="str">
        <x:v>T4</x:v>
      </x:c>
      <x:c r="L6" s="58" t="str">
        <x:v>reviewed low-nonzero proxy</x:v>
      </x:c>
      <x:c r="M6" s="58" t="str">
        <x:f>IF(AND(D6&lt;=E6,E6&lt;=F6,F6&lt;=G6,G6&lt;=H6,H6&lt;=I6,I6&lt;=J6),"PASS","FAIL")</x:f>
        <x:v>PASS</x:v>
      </x:c>
    </x:row>
    <x:row r="7">
      <x:c r="A7" s="58" t="str">
        <x:v>WSV1_INVERTER_THERMAL</x:v>
      </x:c>
      <x:c r="B7" s="58" t="str">
        <x:v>INVERTER_SYSTEM</x:v>
      </x:c>
      <x:c r="C7" s="58" t="str">
        <x:v>CENTRAL_INVERTER</x:v>
      </x:c>
      <x:c r="D7" s="59" t="n">
        <x:v>0</x:v>
      </x:c>
      <x:c r="E7" s="59" t="n">
        <x:v>0.002</x:v>
      </x:c>
      <x:c r="F7" s="59" t="n">
        <x:v>0.01</x:v>
      </x:c>
      <x:c r="G7" s="59" t="n">
        <x:v>0.05</x:v>
      </x:c>
      <x:c r="H7" s="59" t="n">
        <x:v>0.18</x:v>
      </x:c>
      <x:c r="I7" s="59" t="n">
        <x:v>0.45</x:v>
      </x:c>
      <x:c r="J7" s="59" t="n">
        <x:v>0.8</x:v>
      </x:c>
      <x:c r="K7" s="58" t="str">
        <x:v>T4</x:v>
      </x:c>
      <x:c r="L7" s="58" t="str">
        <x:v>electronics/enclosure disposition proxy</x:v>
      </x:c>
      <x:c r="M7" s="58" t="str">
        <x:f>IF(AND(D7&lt;=E7,E7&lt;=F7,F7&lt;=G7,G7&lt;=H7,H7&lt;=I7,I7&lt;=J7),"PASS","FAIL")</x:f>
        <x:v>PASS</x:v>
      </x:c>
    </x:row>
    <x:row r="8">
      <x:c r="A8" s="58" t="str">
        <x:v>WSV1_COMBINER_THERMAL</x:v>
      </x:c>
      <x:c r="B8" s="58" t="str">
        <x:v>INVERTER_SYSTEM</x:v>
      </x:c>
      <x:c r="C8" s="58" t="str">
        <x:v>COMBINER_BOX</x:v>
      </x:c>
      <x:c r="D8" s="59" t="n">
        <x:v>0</x:v>
      </x:c>
      <x:c r="E8" s="59" t="n">
        <x:v>0.003</x:v>
      </x:c>
      <x:c r="F8" s="59" t="n">
        <x:v>0.015</x:v>
      </x:c>
      <x:c r="G8" s="59" t="n">
        <x:v>0.06</x:v>
      </x:c>
      <x:c r="H8" s="59" t="n">
        <x:v>0.2</x:v>
      </x:c>
      <x:c r="I8" s="59" t="n">
        <x:v>0.5</x:v>
      </x:c>
      <x:c r="J8" s="59" t="n">
        <x:v>0.85</x:v>
      </x:c>
      <x:c r="K8" s="58" t="str">
        <x:v>T4</x:v>
      </x:c>
      <x:c r="L8" s="58" t="str">
        <x:v>connector/polymer/enclosure proxy</x:v>
      </x:c>
      <x:c r="M8" s="58" t="str">
        <x:f>IF(AND(D8&lt;=E8,E8&lt;=F8,F8&lt;=G8,G8&lt;=H8,H8&lt;=I8,I8&lt;=J8),"PASS","FAIL")</x:f>
        <x:v>PASS</x:v>
      </x:c>
    </x:row>
    <x:row r="9">
      <x:c r="A9" s="58" t="str">
        <x:v>WSV1_CABLE_EXPOSED</x:v>
      </x:c>
      <x:c r="B9" s="58" t="str">
        <x:v>ELECTRICAL_COLLECTION</x:v>
      </x:c>
      <x:c r="C9" s="58" t="str">
        <x:v>EXPOSED_CABLE_AC_DC</x:v>
      </x:c>
      <x:c r="D9" s="59" t="n">
        <x:v>0</x:v>
      </x:c>
      <x:c r="E9" s="59" t="n">
        <x:v>0.005</x:v>
      </x:c>
      <x:c r="F9" s="59" t="n">
        <x:v>0.02</x:v>
      </x:c>
      <x:c r="G9" s="59" t="n">
        <x:v>0.08</x:v>
      </x:c>
      <x:c r="H9" s="59" t="n">
        <x:v>0.25</x:v>
      </x:c>
      <x:c r="I9" s="59" t="n">
        <x:v>0.6</x:v>
      </x:c>
      <x:c r="J9" s="59" t="n">
        <x:v>0.9</x:v>
      </x:c>
      <x:c r="K9" s="58" t="str">
        <x:v>T4</x:v>
      </x:c>
      <x:c r="L9" s="58" t="str">
        <x:v>exposed polymer-insulated cable proxy</x:v>
      </x:c>
      <x:c r="M9" s="58" t="str">
        <x:f>IF(AND(D9&lt;=E9,E9&lt;=F9,F9&lt;=G9,G9&lt;=H9,H9&lt;=I9,I9&lt;=J9),"PASS","FAIL")</x:f>
        <x:v>PASS</x:v>
      </x:c>
    </x:row>
    <x:row r="10">
      <x:c r="A10" s="58" t="str">
        <x:v>WSV1_MV_EQUIPMENT_THERMAL</x:v>
      </x:c>
      <x:c r="B10" s="58" t="str">
        <x:v>SUBSTATION</x:v>
      </x:c>
      <x:c r="C10" s="58" t="str">
        <x:v>TRANSFORMER_SWITCHGEAR</x:v>
      </x:c>
      <x:c r="D10" s="59" t="n">
        <x:v>0</x:v>
      </x:c>
      <x:c r="E10" s="59" t="n">
        <x:v>0.001</x:v>
      </x:c>
      <x:c r="F10" s="59" t="n">
        <x:v>0.006</x:v>
      </x:c>
      <x:c r="G10" s="59" t="n">
        <x:v>0.03</x:v>
      </x:c>
      <x:c r="H10" s="59" t="n">
        <x:v>0.12</x:v>
      </x:c>
      <x:c r="I10" s="59" t="n">
        <x:v>0.35</x:v>
      </x:c>
      <x:c r="J10" s="59" t="n">
        <x:v>0.7</x:v>
      </x:c>
      <x:c r="K10" s="58" t="str">
        <x:v>T4</x:v>
      </x:c>
      <x:c r="L10" s="58" t="str">
        <x:v>heavy electrical equipment proxy</x:v>
      </x:c>
      <x:c r="M10" s="58" t="str">
        <x:f>IF(AND(D10&lt;=E10,E10&lt;=F10,F10&lt;=G10,G10&lt;=H10,H10&lt;=I10,I10&lt;=J10),"PASS","FAIL")</x:f>
        <x:v>PASS</x:v>
      </x:c>
    </x:row>
    <x:row r="11">
      <x:c r="A11" s="58" t="str">
        <x:v>WSV1_GROUNDING_THERMAL</x:v>
      </x:c>
      <x:c r="B11" s="58" t="str">
        <x:v>GROUNDING_LIGHTNING</x:v>
      </x:c>
      <x:c r="C11" s="58" t="str">
        <x:v>GROUNDING_AND_LIGHTNING</x:v>
      </x:c>
      <x:c r="D11" s="59" t="n">
        <x:v>0</x:v>
      </x:c>
      <x:c r="E11" s="59" t="n">
        <x:v>0</x:v>
      </x:c>
      <x:c r="F11" s="59" t="n">
        <x:v>0.001</x:v>
      </x:c>
      <x:c r="G11" s="59" t="n">
        <x:v>0.004</x:v>
      </x:c>
      <x:c r="H11" s="59" t="n">
        <x:v>0.015</x:v>
      </x:c>
      <x:c r="I11" s="59" t="n">
        <x:v>0.05</x:v>
      </x:c>
      <x:c r="J11" s="59" t="n">
        <x:v>0.12</x:v>
      </x:c>
      <x:c r="K11" s="58" t="str">
        <x:v>T4</x:v>
      </x:c>
      <x:c r="L11" s="58" t="str">
        <x:v>low response/inspection proxy</x:v>
      </x:c>
      <x:c r="M11" s="58" t="str">
        <x:f>IF(AND(D11&lt;=E11,E11&lt;=F11,F11&lt;=G11,G11&lt;=H11,H11&lt;=I11,I11&lt;=J11),"PASS","FAIL")</x:f>
        <x:v>PASS</x:v>
      </x:c>
    </x:row>
    <x:row r="12">
      <x:c r="A12" s="58" t="str">
        <x:v>WSV1_SCADA_THERMAL</x:v>
      </x:c>
      <x:c r="B12" s="58" t="str">
        <x:v>SCADA</x:v>
      </x:c>
      <x:c r="C12" s="58" t="str">
        <x:v>MONITORING_AND_COMMS</x:v>
      </x:c>
      <x:c r="D12" s="59" t="n">
        <x:v>0</x:v>
      </x:c>
      <x:c r="E12" s="59" t="n">
        <x:v>0.004</x:v>
      </x:c>
      <x:c r="F12" s="59" t="n">
        <x:v>0.02</x:v>
      </x:c>
      <x:c r="G12" s="59" t="n">
        <x:v>0.08</x:v>
      </x:c>
      <x:c r="H12" s="59" t="n">
        <x:v>0.25</x:v>
      </x:c>
      <x:c r="I12" s="59" t="n">
        <x:v>0.6</x:v>
      </x:c>
      <x:c r="J12" s="59" t="n">
        <x:v>0.9</x:v>
      </x:c>
      <x:c r="K12" s="58" t="str">
        <x:v>T4</x:v>
      </x:c>
      <x:c r="L12" s="58" t="str">
        <x:v>small exposed electronics proxy</x:v>
      </x:c>
      <x:c r="M12" s="58" t="str">
        <x:f>IF(AND(D12&lt;=E12,E12&lt;=F12,F12&lt;=G12,G12&lt;=H12,H12&lt;=I12,I12&lt;=J12),"PASS","FAIL")</x:f>
        <x:v>PASS</x:v>
      </x:c>
    </x:row>
    <x:row r="13">
      <x:c r="A13" s="58" t="str">
        <x:v>WSV1_CIVIL_DIRECT</x:v>
      </x:c>
      <x:c r="B13" s="58" t="str">
        <x:v>CIVIL_INFRA</x:v>
      </x:c>
      <x:c r="C13" s="58" t="str">
        <x:v>FENCING_ROADS_BUILDINGS</x:v>
      </x:c>
      <x:c r="D13" s="59" t="n">
        <x:v>0</x:v>
      </x:c>
      <x:c r="E13" s="59" t="n">
        <x:v>0.001</x:v>
      </x:c>
      <x:c r="F13" s="59" t="n">
        <x:v>0.005</x:v>
      </x:c>
      <x:c r="G13" s="59" t="n">
        <x:v>0.02</x:v>
      </x:c>
      <x:c r="H13" s="59" t="n">
        <x:v>0.07</x:v>
      </x:c>
      <x:c r="I13" s="59" t="n">
        <x:v>0.18</x:v>
      </x:c>
      <x:c r="J13" s="59" t="n">
        <x:v>0.4</x:v>
      </x:c>
      <x:c r="K13" s="58" t="str">
        <x:v>T4</x:v>
      </x:c>
      <x:c r="L13" s="58" t="str">
        <x:v>mixed direct-civil screening proxy</x:v>
      </x:c>
      <x:c r="M13" s="58" t="str">
        <x:f>IF(AND(D13&lt;=E13,E13&lt;=F13,F13&lt;=G13,G13&lt;=H13,H13&lt;=I13,I13&lt;=J13),"PASS","FAIL")</x:f>
        <x:v>PASS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</x:cols>
  <x:sheetData>
    <x:row r="1" ht="28" customHeight="1">
      <x:c r="A1" s="3" t="str">
        <x:v>Reference Value Linkage</x:v>
      </x:c>
      <x:c r="B1" s="51"/>
      <x:c r="C1" s="51"/>
      <x:c r="D1" s="51"/>
      <x:c r="E1" s="51"/>
      <x:c r="F1" s="51"/>
      <x:c r="G1" s="51"/>
    </x:row>
    <x:row r="2">
      <x:c r="A2" s="51"/>
      <x:c r="B2" s="51"/>
      <x:c r="C2" s="51"/>
      <x:c r="D2" s="51"/>
      <x:c r="E2" s="51"/>
      <x:c r="F2" s="51"/>
      <x:c r="G2" s="51"/>
    </x:row>
    <x:row r="3">
      <x:c r="A3" s="10" t="str">
        <x:v>Failure unit</x:v>
      </x:c>
      <x:c r="B3" s="21" t="str">
        <x:v>Source row</x:v>
      </x:c>
      <x:c r="C3" s="21" t="str">
        <x:v>Direct value
USD/kWdc</x:v>
      </x:c>
      <x:c r="D3" s="21" t="str">
        <x:v>Share direct + civil</x:v>
      </x:c>
      <x:c r="E3" s="21" t="str">
        <x:v>Share physical</x:v>
      </x:c>
      <x:c r="F3" s="21" t="str">
        <x:v>Share installed</x:v>
      </x:c>
      <x:c r="G3" s="11" t="str">
        <x:v>Allocation note</x:v>
      </x:c>
    </x:row>
    <x:row r="4">
      <x:c r="A4" s="58" t="str">
        <x:v>WSV1_MODULE_THERMAL</x:v>
      </x:c>
      <x:c r="B4" s="58" t="str">
        <x:v>Solar_Map!2</x:v>
      </x:c>
      <x:c r="C4" s="60" t="n">
        <x:v>291.21485143992487</x:v>
      </x:c>
      <x:c r="D4" s="61" t="n">
        <x:f>C4/'Assumptions'!$B$8</x:f>
        <x:v>0.4231511921582151</x:v>
      </x:c>
      <x:c r="E4" s="61" t="n">
        <x:f>C4/'Assumptions'!$B$5</x:f>
        <x:v>0.3317569801903719</x:v>
      </x:c>
      <x:c r="F4" s="61" t="n">
        <x:f>C4/'Assumptions'!$B$4</x:f>
        <x:v>0.2600132602142186</x:v>
      </x:c>
      <x:c r="G4" s="58" t="str">
        <x:v>Same-unit direct value; support allocated once outside curve</x:v>
      </x:c>
    </x:row>
    <x:row r="5">
      <x:c r="A5" s="58" t="str">
        <x:v>WSV1_RACKING_THERMAL</x:v>
      </x:c>
      <x:c r="B5" s="58" t="str">
        <x:v>Solar_Map!3</x:v>
      </x:c>
      <x:c r="C5" s="60" t="n">
        <x:v>109.98972602739727</x:v>
      </x:c>
      <x:c r="D5" s="61" t="n">
        <x:f>C5/'Assumptions'!$B$8</x:f>
        <x:v>0.1598211199171959</x:v>
      </x:c>
      <x:c r="E5" s="61" t="n">
        <x:f>C5/'Assumptions'!$B$5</x:f>
        <x:v>0.12530219244791235</x:v>
      </x:c>
      <x:c r="F5" s="61" t="n">
        <x:f>C5/'Assumptions'!$B$4</x:f>
        <x:v>0.09820511252446185</x:v>
      </x:c>
      <x:c r="G5" s="58" t="str">
        <x:v>Same-unit direct value; support allocated once outside curve</x:v>
      </x:c>
    </x:row>
    <x:row r="6">
      <x:c r="A6" s="58" t="str">
        <x:v>WSV1_FOUNDATION_THERMAL</x:v>
      </x:c>
      <x:c r="B6" s="58" t="str">
        <x:v>Solar_Map!4</x:v>
      </x:c>
      <x:c r="C6" s="60" t="n">
        <x:v>31.12448715327472</x:v>
      </x:c>
      <x:c r="D6" s="61" t="n">
        <x:f>C6/'Assumptions'!$B$8</x:f>
        <x:v>0.045225591274276694</x:v>
      </x:c>
      <x:c r="E6" s="61" t="n">
        <x:f>C6/'Assumptions'!$B$5</x:f>
        <x:v>0.03545755244585994</x:v>
      </x:c>
      <x:c r="F6" s="61" t="n">
        <x:f>C6/'Assumptions'!$B$4</x:f>
        <x:v>0.027789720672566715</x:v>
      </x:c>
      <x:c r="G6" s="58" t="str">
        <x:v>Same-unit direct value; support allocated once outside curve</x:v>
      </x:c>
    </x:row>
    <x:row r="7">
      <x:c r="A7" s="58" t="str">
        <x:v>WSV1_INVERTER_THERMAL</x:v>
      </x:c>
      <x:c r="B7" s="58" t="str">
        <x:v>Solar_Map!5</x:v>
      </x:c>
      <x:c r="C7" s="60" t="n">
        <x:v>32.306366410372384</x:v>
      </x:c>
      <x:c r="D7" s="61" t="n">
        <x:f>C7/'Assumptions'!$B$8</x:f>
        <x:v>0.0469429268227733</x:v>
      </x:c>
      <x:c r="E7" s="61" t="n">
        <x:f>C7/'Assumptions'!$B$5</x:f>
        <x:v>0.03680396967473965</x:v>
      </x:c>
      <x:c r="F7" s="61" t="n">
        <x:f>C7/'Assumptions'!$B$4</x:f>
        <x:v>0.028844970009261058</x:v>
      </x:c>
      <x:c r="G7" s="58" t="str">
        <x:v>Same-unit direct value; support allocated once outside curve</x:v>
      </x:c>
    </x:row>
    <x:row r="8">
      <x:c r="A8" s="58" t="str">
        <x:v>WSV1_COMBINER_THERMAL</x:v>
      </x:c>
      <x:c r="B8" s="58" t="str">
        <x:v>Solar_Map!6</x:v>
      </x:c>
      <x:c r="C8" s="60" t="n">
        <x:v>6.82625</x:v>
      </x:c>
      <x:c r="D8" s="61" t="n">
        <x:f>C8/'Assumptions'!$B$8</x:f>
        <x:v>0.009918916604656394</x:v>
      </x:c>
      <x:c r="E8" s="61" t="n">
        <x:f>C8/'Assumptions'!$B$5</x:f>
        <x:v>0.007776581705317682</x:v>
      </x:c>
      <x:c r="F8" s="61" t="n">
        <x:f>C8/'Assumptions'!$B$4</x:f>
        <x:v>0.006094866071428571</x:v>
      </x:c>
      <x:c r="G8" s="58" t="str">
        <x:v>Same-unit direct value; support allocated once outside curve</x:v>
      </x:c>
    </x:row>
    <x:row r="9">
      <x:c r="A9" s="58" t="str">
        <x:v>WSV1_CABLE_EXPOSED</x:v>
      </x:c>
      <x:c r="B9" s="58" t="str">
        <x:v>Solar_Map!7</x:v>
      </x:c>
      <x:c r="C9" s="60" t="n">
        <x:v>69.3201119402985</x:v>
      </x:c>
      <x:c r="D9" s="61" t="n">
        <x:f>C9/'Assumptions'!$B$8</x:f>
        <x:v>0.10072593435067084</x:v>
      </x:c>
      <x:c r="E9" s="61" t="n">
        <x:f>C9/'Assumptions'!$B$5</x:f>
        <x:v>0.07897066681201233</x:v>
      </x:c>
      <x:c r="F9" s="61" t="n">
        <x:f>C9/'Assumptions'!$B$4</x:f>
        <x:v>0.06189295708955223</x:v>
      </x:c>
      <x:c r="G9" s="58" t="str">
        <x:v>Same-unit direct value; support allocated once outside curve</x:v>
      </x:c>
    </x:row>
    <x:row r="10">
      <x:c r="A10" s="58" t="str">
        <x:v>WSV1_MV_EQUIPMENT_THERMAL</x:v>
      </x:c>
      <x:c r="B10" s="58" t="str">
        <x:v>Solar_Map!8</x:v>
      </x:c>
      <x:c r="C10" s="60" t="n">
        <x:v>106.50466417910448</x:v>
      </x:c>
      <x:c r="D10" s="61" t="n">
        <x:f>C10/'Assumptions'!$B$8</x:f>
        <x:v>0.1547571334187105</x:v>
      </x:c>
      <x:c r="E10" s="61" t="n">
        <x:f>C10/'Assumptions'!$B$5</x:f>
        <x:v>0.12133194989726824</x:v>
      </x:c>
      <x:c r="F10" s="61" t="n">
        <x:f>C10/'Assumptions'!$B$4</x:f>
        <x:v>0.09509345015991472</x:v>
      </x:c>
      <x:c r="G10" s="58" t="str">
        <x:v>Same-unit direct value; support allocated once outside curve</x:v>
      </x:c>
    </x:row>
    <x:row r="11">
      <x:c r="A11" s="58" t="str">
        <x:v>WSV1_GROUNDING_THERMAL</x:v>
      </x:c>
      <x:c r="B11" s="58" t="str">
        <x:v>Solar_Map!9</x:v>
      </x:c>
      <x:c r="C11" s="60" t="n">
        <x:v>8.385</x:v>
      </x:c>
      <x:c r="D11" s="61" t="n">
        <x:f>C11/'Assumptions'!$B$8</x:f>
        <x:v>0.012183866065562186</x:v>
      </x:c>
      <x:c r="E11" s="61" t="n">
        <x:f>C11/'Assumptions'!$B$5</x:f>
        <x:v>0.009552336582909908</x:v>
      </x:c>
      <x:c r="F11" s="61" t="n">
        <x:f>C11/'Assumptions'!$B$4</x:f>
        <x:v>0.007486607142857143</x:v>
      </x:c>
      <x:c r="G11" s="58" t="str">
        <x:v>Same-unit direct value; support allocated once outside curve</x:v>
      </x:c>
    </x:row>
    <x:row r="12">
      <x:c r="A12" s="58" t="str">
        <x:v>WSV1_SCADA_THERMAL</x:v>
      </x:c>
      <x:c r="B12" s="58" t="str">
        <x:v>Solar_Map!10</x:v>
      </x:c>
      <x:c r="C12" s="60" t="n">
        <x:v>1.31</x:v>
      </x:c>
      <x:c r="D12" s="61" t="n">
        <x:f>C12/'Assumptions'!$B$8</x:f>
        <x:v>0.001903502032902381</x:v>
      </x:c>
      <x:c r="E12" s="61" t="n">
        <x:f>C12/'Assumptions'!$B$5</x:f>
        <x:v>0.0014923745883854479</x:v>
      </x:c>
      <x:c r="F12" s="61" t="n">
        <x:f>C12/'Assumptions'!$B$4</x:f>
        <x:v>0.0011696428571428572</x:v>
      </x:c>
      <x:c r="G12" s="58" t="str">
        <x:v>Same-unit direct value; support allocated once outside curve</x:v>
      </x:c>
    </x:row>
    <x:row r="13">
      <x:c r="A13" s="58" t="str">
        <x:v>WSV1_CIVIL_DIRECT</x:v>
      </x:c>
      <x:c r="B13" s="58" t="str">
        <x:v>Solar_Map!14</x:v>
      </x:c>
      <x:c r="C13" s="60" t="n">
        <x:v>31.223744292237445</x:v>
      </x:c>
      <x:c r="D13" s="61" t="n">
        <x:f>C13/'Assumptions'!$B$8</x:f>
        <x:v>0.04536981735503671</x:v>
      </x:c>
      <x:c r="E13" s="61" t="n">
        <x:f>C13/'Assumptions'!$B$5</x:f>
        <x:v>0.035570627890061324</x:v>
      </x:c>
      <x:c r="F13" s="61" t="n">
        <x:f>C13/'Assumptions'!$B$4</x:f>
        <x:v>0.027878343118069148</x:v>
      </x:c>
      <x:c r="G13" s="58" t="str">
        <x:v>Same-unit direct value; support allocated once outside curve</x:v>
      </x:c>
    </x:row>
    <x:row r="14">
      <x:c r="A14" s="58"/>
      <x:c r="B14" s="58"/>
      <x:c r="C14" s="60"/>
      <x:c r="D14" s="61"/>
      <x:c r="E14" s="61"/>
      <x:c r="F14" s="61"/>
      <x:c r="G14" s="58"/>
    </x:row>
    <x:row r="15">
      <x:c r="A15" s="62" t="str">
        <x:v>Direct + civil total</x:v>
      </x:c>
      <x:c r="B15" s="63"/>
      <x:c r="C15" s="64" t="n">
        <x:f>SUM(C4:C13)</x:f>
        <x:v>688.2052014426097</x:v>
      </x:c>
      <x:c r="D15" s="65" t="n">
        <x:f>SUM(D4:D13)</x:f>
        <x:v>1.0000000000000002</x:v>
      </x:c>
      <x:c r="E15" s="65" t="n">
        <x:f>SUM(E4:E13)</x:f>
        <x:v>0.7840152322348388</x:v>
      </x:c>
      <x:c r="F15" s="65" t="n">
        <x:f>SUM(F4:F13)</x:f>
        <x:v>0.6144689298594729</x:v>
      </x:c>
      <x:c r="G15" s="66" t="str">
        <x:v>Must reconcile to Assumptions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8" customHeight="1">
      <x:c r="A1" s="3" t="str">
        <x:v>Reference Aggregate by Exact FSim State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</x:row>
    <x:row r="3">
      <x:c r="A3" s="10" t="str">
        <x:v>State</x:v>
      </x:c>
      <x:c r="B3" s="21" t="str">
        <x:v>Class</x:v>
      </x:c>
      <x:c r="C3" s="21" t="str">
        <x:v>WSV1_MODULE_THERMAL</x:v>
      </x:c>
      <x:c r="D3" s="21" t="str">
        <x:v>WSV1_RACKING_THERMAL</x:v>
      </x:c>
      <x:c r="E3" s="21" t="str">
        <x:v>WSV1_FOUNDATION_THERMAL</x:v>
      </x:c>
      <x:c r="F3" s="21" t="str">
        <x:v>WSV1_INVERTER_THERMAL</x:v>
      </x:c>
      <x:c r="G3" s="21" t="str">
        <x:v>WSV1_COMBINER_THERMAL</x:v>
      </x:c>
      <x:c r="H3" s="21" t="str">
        <x:v>WSV1_CABLE_EXPOSED</x:v>
      </x:c>
      <x:c r="I3" s="21" t="str">
        <x:v>WSV1_MV_EQUIPMENT_THERMAL</x:v>
      </x:c>
      <x:c r="J3" s="21" t="str">
        <x:v>WSV1_GROUNDING_THERMAL</x:v>
      </x:c>
      <x:c r="K3" s="21" t="str">
        <x:v>WSV1_SCADA_THERMAL</x:v>
      </x:c>
      <x:c r="L3" s="21" t="str">
        <x:v>WSV1_CIVIL_DIRECT</x:v>
      </x:c>
      <x:c r="M3" s="21" t="str">
        <x:v>Direct damage
USD/kWdc</x:v>
      </x:c>
      <x:c r="N3" s="21" t="str">
        <x:v>Direct + civil DR</x:v>
      </x:c>
      <x:c r="O3" s="21" t="str">
        <x:v>Support cost
USD/kWdc</x:v>
      </x:c>
      <x:c r="P3" s="21" t="str">
        <x:v>Physical loss
USD/kWdc</x:v>
      </x:c>
      <x:c r="Q3" s="21" t="str">
        <x:v>Physical DR</x:v>
      </x:c>
      <x:c r="R3" s="11" t="str">
        <x:v>Installed DR</x:v>
      </x:c>
    </x:row>
    <x:row r="4">
      <x:c r="A4" s="58" t="n">
        <x:v>0</x:v>
      </x:c>
      <x:c r="B4" s="58" t="str">
        <x:v>no_event</x:v>
      </x:c>
      <x:c r="C4" s="59" t="n">
        <x:f>'Curves'!D4</x:f>
        <x:v>0</x:v>
      </x:c>
      <x:c r="D4" s="59" t="n">
        <x:f>'Curves'!D5</x:f>
        <x:v>0</x:v>
      </x:c>
      <x:c r="E4" s="59" t="n">
        <x:f>'Curves'!D6</x:f>
        <x:v>0</x:v>
      </x:c>
      <x:c r="F4" s="59" t="n">
        <x:f>'Curves'!D7</x:f>
        <x:v>0</x:v>
      </x:c>
      <x:c r="G4" s="59" t="n">
        <x:f>'Curves'!D8</x:f>
        <x:v>0</x:v>
      </x:c>
      <x:c r="H4" s="59" t="n">
        <x:f>'Curves'!D9</x:f>
        <x:v>0</x:v>
      </x:c>
      <x:c r="I4" s="59" t="n">
        <x:f>'Curves'!D10</x:f>
        <x:v>0</x:v>
      </x:c>
      <x:c r="J4" s="59" t="n">
        <x:f>'Curves'!D11</x:f>
        <x:v>0</x:v>
      </x:c>
      <x:c r="K4" s="59" t="n">
        <x:f>'Curves'!D12</x:f>
        <x:v>0</x:v>
      </x:c>
      <x:c r="L4" s="59" t="n">
        <x:f>'Curves'!D13</x:f>
        <x:v>0</x:v>
      </x:c>
      <x:c r="M4" s="67" t="n">
        <x:f>C4*'Value Linkage'!$C$4+D4*'Value Linkage'!$C$5+E4*'Value Linkage'!$C$6+F4*'Value Linkage'!$C$7+G4*'Value Linkage'!$C$8+H4*'Value Linkage'!$C$9+I4*'Value Linkage'!$C$10+J4*'Value Linkage'!$C$11+K4*'Value Linkage'!$C$12+L4*'Value Linkage'!$C$13</x:f>
        <x:v>0</x:v>
      </x:c>
      <x:c r="N4" s="61" t="n">
        <x:f>M4/'Assumptions'!$B$8</x:f>
        <x:v>0</x:v>
      </x:c>
      <x:c r="O4" s="67" t="n">
        <x:f>N4*'Assumptions'!$B$6</x:f>
        <x:v>0</x:v>
      </x:c>
      <x:c r="P4" s="67" t="n">
        <x:f>M4+O4</x:f>
        <x:v>0</x:v>
      </x:c>
      <x:c r="Q4" s="61" t="n">
        <x:f>P4/'Assumptions'!$B$5</x:f>
        <x:v>0</x:v>
      </x:c>
      <x:c r="R4" s="61" t="n">
        <x:f>P4/'Assumptions'!$B$4</x:f>
        <x:v>0</x:v>
      </x:c>
    </x:row>
    <x:row r="5">
      <x:c r="A5" s="58" t="n">
        <x:v>1</x:v>
      </x:c>
      <x:c r="B5" s="58" t="str">
        <x:v>lt_2_ft</x:v>
      </x:c>
      <x:c r="C5" s="59" t="n">
        <x:f>'Curves'!E4</x:f>
        <x:v>0.002</x:v>
      </x:c>
      <x:c r="D5" s="59" t="n">
        <x:f>'Curves'!E5</x:f>
        <x:v>0</x:v>
      </x:c>
      <x:c r="E5" s="59" t="n">
        <x:f>'Curves'!E6</x:f>
        <x:v>0</x:v>
      </x:c>
      <x:c r="F5" s="59" t="n">
        <x:f>'Curves'!E7</x:f>
        <x:v>0.002</x:v>
      </x:c>
      <x:c r="G5" s="59" t="n">
        <x:f>'Curves'!E8</x:f>
        <x:v>0.003</x:v>
      </x:c>
      <x:c r="H5" s="59" t="n">
        <x:f>'Curves'!E9</x:f>
        <x:v>0.005</x:v>
      </x:c>
      <x:c r="I5" s="59" t="n">
        <x:f>'Curves'!E10</x:f>
        <x:v>0.001</x:v>
      </x:c>
      <x:c r="J5" s="59" t="n">
        <x:f>'Curves'!E11</x:f>
        <x:v>0</x:v>
      </x:c>
      <x:c r="K5" s="59" t="n">
        <x:f>'Curves'!E12</x:f>
        <x:v>0.004</x:v>
      </x:c>
      <x:c r="L5" s="59" t="n">
        <x:f>'Curves'!E13</x:f>
        <x:v>0.001</x:v>
      </x:c>
      <x:c r="M5" s="67" t="n">
        <x:f>C5*'Value Linkage'!$C$4+D5*'Value Linkage'!$C$5+E5*'Value Linkage'!$C$6+F5*'Value Linkage'!$C$7+G5*'Value Linkage'!$C$8+H5*'Value Linkage'!$C$9+I5*'Value Linkage'!$C$10+J5*'Value Linkage'!$C$11+K5*'Value Linkage'!$C$12+L5*'Value Linkage'!$C$13</x:f>
        <x:v>1.1570901538734288</x:v>
      </x:c>
      <x:c r="N5" s="61" t="n">
        <x:f>M5/'Assumptions'!$B$8</x:f>
        <x:v>0.0016813156184346569</x:v>
      </x:c>
      <x:c r="O5" s="67" t="n">
        <x:f>N5*'Assumptions'!$B$6</x:f>
        <x:v>0.31876147030374224</x:v>
      </x:c>
      <x:c r="P5" s="67" t="n">
        <x:f>M5+O5</x:f>
        <x:v>1.475851624177171</x:v>
      </x:c>
      <x:c r="Q5" s="61" t="n">
        <x:f>P5/'Assumptions'!$B$5</x:f>
        <x:v>0.0016813156184346569</x:v>
      </x:c>
      <x:c r="R5" s="61" t="n">
        <x:f>P5/'Assumptions'!$B$4</x:f>
        <x:v>0.0013177246644439028</x:v>
      </x:c>
    </x:row>
    <x:row r="6">
      <x:c r="A6" s="58" t="n">
        <x:v>2</x:v>
      </x:c>
      <x:c r="B6" s="58" t="str">
        <x:v>gte_2_lt_4_ft</x:v>
      </x:c>
      <x:c r="C6" s="59" t="n">
        <x:f>'Curves'!F4</x:f>
        <x:v>0.01</x:v>
      </x:c>
      <x:c r="D6" s="59" t="n">
        <x:f>'Curves'!F5</x:f>
        <x:v>0.001</x:v>
      </x:c>
      <x:c r="E6" s="59" t="n">
        <x:f>'Curves'!F6</x:f>
        <x:v>0</x:v>
      </x:c>
      <x:c r="F6" s="59" t="n">
        <x:f>'Curves'!F7</x:f>
        <x:v>0.01</x:v>
      </x:c>
      <x:c r="G6" s="59" t="n">
        <x:f>'Curves'!F8</x:f>
        <x:v>0.015</x:v>
      </x:c>
      <x:c r="H6" s="59" t="n">
        <x:f>'Curves'!F9</x:f>
        <x:v>0.02</x:v>
      </x:c>
      <x:c r="I6" s="59" t="n">
        <x:f>'Curves'!F10</x:f>
        <x:v>0.006</x:v>
      </x:c>
      <x:c r="J6" s="59" t="n">
        <x:f>'Curves'!F11</x:f>
        <x:v>0.001</x:v>
      </x:c>
      <x:c r="K6" s="59" t="n">
        <x:f>'Curves'!F12</x:f>
        <x:v>0.02</x:v>
      </x:c>
      <x:c r="L6" s="59" t="n">
        <x:f>'Curves'!F13</x:f>
        <x:v>0.005</x:v>
      </x:c>
      <x:c r="M6" s="67" t="n">
        <x:f>C6*'Value Linkage'!$C$4+D6*'Value Linkage'!$C$5+E6*'Value Linkage'!$C$6+F6*'Value Linkage'!$C$7+G6*'Value Linkage'!$C$8+H6*'Value Linkage'!$C$9+I6*'Value Linkage'!$C$10+J6*'Value Linkage'!$C$11+K6*'Value Linkage'!$C$12+L6*'Value Linkage'!$C$13</x:f>
        <x:v>5.663729599872154</x:v>
      </x:c>
      <x:c r="N6" s="61" t="n">
        <x:f>M6/'Assumptions'!$B$8</x:f>
        <x:v>0.008229710539821399</x:v>
      </x:c>
      <x:c r="O6" s="67" t="n">
        <x:f>N6*'Assumptions'!$B$6</x:f>
        <x:v>1.5602749436718129</x:v>
      </x:c>
      <x:c r="P6" s="67" t="n">
        <x:f>M6+O6</x:f>
        <x:v>7.224004543543966</x:v>
      </x:c>
      <x:c r="Q6" s="61" t="n">
        <x:f>P6/'Assumptions'!$B$5</x:f>
        <x:v>0.008229710539821399</x:v>
      </x:c>
      <x:c r="R6" s="61" t="n">
        <x:f>P6/'Assumptions'!$B$4</x:f>
        <x:v>0.006450004056735684</x:v>
      </x:c>
    </x:row>
    <x:row r="7">
      <x:c r="A7" s="58" t="n">
        <x:v>3</x:v>
      </x:c>
      <x:c r="B7" s="58" t="str">
        <x:v>gte_4_lt_6_ft</x:v>
      </x:c>
      <x:c r="C7" s="59" t="n">
        <x:f>'Curves'!G4</x:f>
        <x:v>0.04</x:v>
      </x:c>
      <x:c r="D7" s="59" t="n">
        <x:f>'Curves'!G5</x:f>
        <x:v>0.005</x:v>
      </x:c>
      <x:c r="E7" s="59" t="n">
        <x:f>'Curves'!G6</x:f>
        <x:v>0.001</x:v>
      </x:c>
      <x:c r="F7" s="59" t="n">
        <x:f>'Curves'!G7</x:f>
        <x:v>0.05</x:v>
      </x:c>
      <x:c r="G7" s="59" t="n">
        <x:f>'Curves'!G8</x:f>
        <x:v>0.06</x:v>
      </x:c>
      <x:c r="H7" s="59" t="n">
        <x:f>'Curves'!G9</x:f>
        <x:v>0.08</x:v>
      </x:c>
      <x:c r="I7" s="59" t="n">
        <x:f>'Curves'!G10</x:f>
        <x:v>0.03</x:v>
      </x:c>
      <x:c r="J7" s="59" t="n">
        <x:f>'Curves'!G11</x:f>
        <x:v>0.004</x:v>
      </x:c>
      <x:c r="K7" s="59" t="n">
        <x:f>'Curves'!G12</x:f>
        <x:v>0.08</x:v>
      </x:c>
      <x:c r="L7" s="59" t="n">
        <x:f>'Curves'!G13</x:f>
        <x:v>0.02</x:v>
      </x:c>
      <x:c r="M7" s="67" t="n">
        <x:f>C7*'Value Linkage'!$C$4+D7*'Value Linkage'!$C$5+E7*'Value Linkage'!$C$6+F7*'Value Linkage'!$C$7+G7*'Value Linkage'!$C$8+H7*'Value Linkage'!$C$9+I7*'Value Linkage'!$C$10+J7*'Value Linkage'!$C$11+K7*'Value Linkage'!$C$12+L7*'Value Linkage'!$C$13</x:f>
        <x:v>23.758124261847637</x:v>
      </x:c>
      <x:c r="N7" s="61" t="n">
        <x:f>M7/'Assumptions'!$B$8</x:f>
        <x:v>0.03452186093921706</x:v>
      </x:c>
      <x:c r="O7" s="67" t="n">
        <x:f>N7*'Assumptions'!$B$6</x:f>
        <x:v>6.545016908158717</x:v>
      </x:c>
      <x:c r="P7" s="67" t="n">
        <x:f>M7+O7</x:f>
        <x:v>30.303141170006356</x:v>
      </x:c>
      <x:c r="Q7" s="61" t="n">
        <x:f>P7/'Assumptions'!$B$5</x:f>
        <x:v>0.03452186093921707</x:v>
      </x:c>
      <x:c r="R7" s="61" t="n">
        <x:f>P7/'Assumptions'!$B$4</x:f>
        <x:v>0.02705637604464853</x:v>
      </x:c>
    </x:row>
    <x:row r="8">
      <x:c r="A8" s="58" t="n">
        <x:v>4</x:v>
      </x:c>
      <x:c r="B8" s="58" t="str">
        <x:v>gte_6_lt_8_ft</x:v>
      </x:c>
      <x:c r="C8" s="59" t="n">
        <x:f>'Curves'!H4</x:f>
        <x:v>0.12</x:v>
      </x:c>
      <x:c r="D8" s="59" t="n">
        <x:f>'Curves'!H5</x:f>
        <x:v>0.02</x:v>
      </x:c>
      <x:c r="E8" s="59" t="n">
        <x:f>'Curves'!H6</x:f>
        <x:v>0.003</x:v>
      </x:c>
      <x:c r="F8" s="59" t="n">
        <x:f>'Curves'!H7</x:f>
        <x:v>0.18</x:v>
      </x:c>
      <x:c r="G8" s="59" t="n">
        <x:f>'Curves'!H8</x:f>
        <x:v>0.2</x:v>
      </x:c>
      <x:c r="H8" s="59" t="n">
        <x:f>'Curves'!H9</x:f>
        <x:v>0.25</x:v>
      </x:c>
      <x:c r="I8" s="59" t="n">
        <x:f>'Curves'!H10</x:f>
        <x:v>0.12</x:v>
      </x:c>
      <x:c r="J8" s="59" t="n">
        <x:f>'Curves'!H11</x:f>
        <x:v>0.015</x:v>
      </x:c>
      <x:c r="K8" s="59" t="n">
        <x:f>'Curves'!H12</x:f>
        <x:v>0.25</x:v>
      </x:c>
      <x:c r="L8" s="59" t="n">
        <x:f>'Curves'!H13</x:f>
        <x:v>0.07</x:v>
      </x:c>
      <x:c r="M8" s="67" t="n">
        <x:f>C8*'Value Linkage'!$C$4+D8*'Value Linkage'!$C$5+E8*'Value Linkage'!$C$6+F8*'Value Linkage'!$C$7+G8*'Value Linkage'!$C$8+H8*'Value Linkage'!$C$9+I8*'Value Linkage'!$C$10+J8*'Value Linkage'!$C$11+K8*'Value Linkage'!$C$12+L8*'Value Linkage'!$C$13</x:f>
        <x:v>77.16887089568958</x:v>
      </x:c>
      <x:c r="N8" s="61" t="n">
        <x:f>M8/'Assumptions'!$B$8</x:f>
        <x:v>0.11213061269215761</x:v>
      </x:c>
      <x:c r="O8" s="67" t="n">
        <x:f>N8*'Assumptions'!$B$6</x:f>
        <x:v>21.25889902877908</x:v>
      </x:c>
      <x:c r="P8" s="67" t="n">
        <x:f>M8+O8</x:f>
        <x:v>98.42776992446866</x:v>
      </x:c>
      <x:c r="Q8" s="61" t="n">
        <x:f>P8/'Assumptions'!$B$5</x:f>
        <x:v>0.11213061269215763</x:v>
      </x:c>
      <x:c r="R8" s="61" t="n">
        <x:f>P8/'Assumptions'!$B$4</x:f>
        <x:v>0.0878819374325613</x:v>
      </x:c>
    </x:row>
    <x:row r="9">
      <x:c r="A9" s="58" t="n">
        <x:v>5</x:v>
      </x:c>
      <x:c r="B9" s="58" t="str">
        <x:v>gte_8_lt_12_ft</x:v>
      </x:c>
      <x:c r="C9" s="59" t="n">
        <x:f>'Curves'!I4</x:f>
        <x:v>0.32</x:v>
      </x:c>
      <x:c r="D9" s="59" t="n">
        <x:f>'Curves'!I5</x:f>
        <x:v>0.08</x:v>
      </x:c>
      <x:c r="E9" s="59" t="n">
        <x:f>'Curves'!I6</x:f>
        <x:v>0.01</x:v>
      </x:c>
      <x:c r="F9" s="59" t="n">
        <x:f>'Curves'!I7</x:f>
        <x:v>0.45</x:v>
      </x:c>
      <x:c r="G9" s="59" t="n">
        <x:f>'Curves'!I8</x:f>
        <x:v>0.5</x:v>
      </x:c>
      <x:c r="H9" s="59" t="n">
        <x:f>'Curves'!I9</x:f>
        <x:v>0.6</x:v>
      </x:c>
      <x:c r="I9" s="59" t="n">
        <x:f>'Curves'!I10</x:f>
        <x:v>0.35</x:v>
      </x:c>
      <x:c r="J9" s="59" t="n">
        <x:f>'Curves'!I11</x:f>
        <x:v>0.05</x:v>
      </x:c>
      <x:c r="K9" s="59" t="n">
        <x:f>'Curves'!I12</x:f>
        <x:v>0.6</x:v>
      </x:c>
      <x:c r="L9" s="59" t="n">
        <x:f>'Curves'!I13</x:f>
        <x:v>0.18</x:v>
      </x:c>
      <x:c r="M9" s="67" t="n">
        <x:f>C9*'Value Linkage'!$C$4+D9*'Value Linkage'!$C$5+E9*'Value Linkage'!$C$6+F9*'Value Linkage'!$C$7+G9*'Value Linkage'!$C$8+H9*'Value Linkage'!$C$9+I9*'Value Linkage'!$C$10+J9*'Value Linkage'!$C$11+K9*'Value Linkage'!$C$12+L9*'Value Linkage'!$C$13</x:f>
        <x:v>205.94438889863648</x:v>
      </x:c>
      <x:c r="N9" s="61" t="n">
        <x:f>M9/'Assumptions'!$B$8</x:f>
        <x:v>0.2992485213232008</x:v>
      </x:c>
      <x:c r="O9" s="67" t="n">
        <x:f>N9*'Assumptions'!$B$6</x:f>
        <x:v>56.734677057252036</x:v>
      </x:c>
      <x:c r="P9" s="67" t="n">
        <x:f>M9+O9</x:f>
        <x:v>262.6790659558885</x:v>
      </x:c>
      <x:c r="Q9" s="61" t="n">
        <x:f>P9/'Assumptions'!$B$5</x:f>
        <x:v>0.2992485213232008</x:v>
      </x:c>
      <x:c r="R9" s="61" t="n">
        <x:f>P9/'Assumptions'!$B$4</x:f>
        <x:v>0.2345348803177576</x:v>
      </x:c>
    </x:row>
    <x:row r="10">
      <x:c r="A10" s="58" t="n">
        <x:v>6</x:v>
      </x:c>
      <x:c r="B10" s="58" t="str">
        <x:v>gte_12_ft</x:v>
      </x:c>
      <x:c r="C10" s="59" t="n">
        <x:f>'Curves'!J4</x:f>
        <x:v>0.65</x:v>
      </x:c>
      <x:c r="D10" s="59" t="n">
        <x:f>'Curves'!J5</x:f>
        <x:v>0.25</x:v>
      </x:c>
      <x:c r="E10" s="59" t="n">
        <x:f>'Curves'!J6</x:f>
        <x:v>0.04</x:v>
      </x:c>
      <x:c r="F10" s="59" t="n">
        <x:f>'Curves'!J7</x:f>
        <x:v>0.8</x:v>
      </x:c>
      <x:c r="G10" s="59" t="n">
        <x:f>'Curves'!J8</x:f>
        <x:v>0.85</x:v>
      </x:c>
      <x:c r="H10" s="59" t="n">
        <x:f>'Curves'!J9</x:f>
        <x:v>0.9</x:v>
      </x:c>
      <x:c r="I10" s="59" t="n">
        <x:f>'Curves'!J10</x:f>
        <x:v>0.7</x:v>
      </x:c>
      <x:c r="J10" s="59" t="n">
        <x:f>'Curves'!J11</x:f>
        <x:v>0.12</x:v>
      </x:c>
      <x:c r="K10" s="59" t="n">
        <x:f>'Curves'!J12</x:f>
        <x:v>0.9</x:v>
      </x:c>
      <x:c r="L10" s="59" t="n">
        <x:f>'Curves'!J13</x:f>
        <x:v>0.4</x:v>
      </x:c>
      <x:c r="M10" s="67" t="n">
        <x:f>C10*'Value Linkage'!$C$4+D10*'Value Linkage'!$C$5+E10*'Value Linkage'!$C$6+F10*'Value Linkage'!$C$7+G10*'Value Linkage'!$C$8+H10*'Value Linkage'!$C$9+I10*'Value Linkage'!$C$10+J10*'Value Linkage'!$C$11+K10*'Value Linkage'!$C$12+L10*'Value Linkage'!$C$13</x:f>
        <x:v>401.2955334457661</x:v>
      </x:c>
      <x:c r="N10" s="61" t="n">
        <x:f>M10/'Assumptions'!$B$8</x:f>
        <x:v>0.5831044761134818</x:v>
      </x:c>
      <x:c r="O10" s="67" t="n">
        <x:f>N10*'Assumptions'!$B$6</x:f>
        <x:v>110.5510697150825</x:v>
      </x:c>
      <x:c r="P10" s="67" t="n">
        <x:f>M10+O10</x:f>
        <x:v>511.84660316084864</x:v>
      </x:c>
      <x:c r="Q10" s="61" t="n">
        <x:f>P10/'Assumptions'!$B$5</x:f>
        <x:v>0.5831044761134818</x:v>
      </x:c>
      <x:c r="R10" s="61" t="n">
        <x:f>P10/'Assumptions'!$B$4</x:f>
        <x:v>0.45700589567932914</x:v>
      </x:c>
    </x:row>
  </x:sheetData>
  <x:mergeCells>
    <x:mergeCell ref="A1:R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Class 6 Deterministic Sensitivity (Not a Probability Distribution)</x:v>
      </x:c>
      <x:c r="B1" s="51"/>
      <x:c r="C1" s="51"/>
      <x:c r="D1" s="51"/>
      <x:c r="E1" s="51"/>
      <x:c r="F1" s="51"/>
      <x:c r="G1" s="51"/>
      <x:c r="H1" s="51"/>
    </x:row>
    <x:row r="2">
      <x:c r="A2" s="51"/>
      <x:c r="B2" s="51"/>
      <x:c r="C2" s="51"/>
      <x:c r="D2" s="51"/>
      <x:c r="E2" s="51"/>
      <x:c r="F2" s="51"/>
      <x:c r="G2" s="51"/>
      <x:c r="H2" s="51"/>
    </x:row>
    <x:row r="3">
      <x:c r="A3" s="10" t="str">
        <x:v>Failure unit</x:v>
      </x:c>
      <x:c r="B3" s="21" t="str">
        <x:v>Value USD/kWdc</x:v>
      </x:c>
      <x:c r="C3" s="21" t="str">
        <x:v>Central DR</x:v>
      </x:c>
      <x:c r="D3" s="21" t="str">
        <x:v>Low DR 0.6×</x:v>
      </x:c>
      <x:c r="E3" s="21" t="str">
        <x:v>High DR 1.5× capped</x:v>
      </x:c>
      <x:c r="F3" s="21" t="str">
        <x:v>Low weighted</x:v>
      </x:c>
      <x:c r="G3" s="21" t="str">
        <x:v>Central weighted</x:v>
      </x:c>
      <x:c r="H3" s="11" t="str">
        <x:v>High weighted</x:v>
      </x:c>
    </x:row>
    <x:row r="4">
      <x:c r="A4" s="51" t="str">
        <x:v>WSV1_MODULE_THERMAL</x:v>
      </x:c>
      <x:c r="B4" s="56" t="n">
        <x:v>291.21485143992487</x:v>
      </x:c>
      <x:c r="C4" s="68" t="n">
        <x:f>'Curves'!J4</x:f>
        <x:v>0.65</x:v>
      </x:c>
      <x:c r="D4" s="68" t="n">
        <x:f>C4*'Assumptions'!$B$10</x:f>
        <x:v>0.39</x:v>
      </x:c>
      <x:c r="E4" s="68" t="n">
        <x:f>MIN(1,C4*'Assumptions'!$B$11)</x:f>
        <x:v>0.9750000000000001</x:v>
      </x:c>
      <x:c r="F4" s="69" t="n">
        <x:f>B4*D4</x:f>
        <x:v>113.5737920615707</x:v>
      </x:c>
      <x:c r="G4" s="69" t="n">
        <x:f>B4*C4</x:f>
        <x:v>189.28965343595118</x:v>
      </x:c>
      <x:c r="H4" s="69" t="n">
        <x:f>B4*E4</x:f>
        <x:v>283.93448015392676</x:v>
      </x:c>
    </x:row>
    <x:row r="5">
      <x:c r="A5" s="51" t="str">
        <x:v>WSV1_RACKING_THERMAL</x:v>
      </x:c>
      <x:c r="B5" s="56" t="n">
        <x:v>109.98972602739727</x:v>
      </x:c>
      <x:c r="C5" s="68" t="n">
        <x:f>'Curves'!J5</x:f>
        <x:v>0.25</x:v>
      </x:c>
      <x:c r="D5" s="68" t="n">
        <x:f>C5*'Assumptions'!$B$10</x:f>
        <x:v>0.15</x:v>
      </x:c>
      <x:c r="E5" s="68" t="n">
        <x:f>MIN(1,C5*'Assumptions'!$B$11)</x:f>
        <x:v>0.375</x:v>
      </x:c>
      <x:c r="F5" s="69" t="n">
        <x:f>B5*D5</x:f>
        <x:v>16.49845890410959</x:v>
      </x:c>
      <x:c r="G5" s="69" t="n">
        <x:f>B5*C5</x:f>
        <x:v>27.497431506849317</x:v>
      </x:c>
      <x:c r="H5" s="69" t="n">
        <x:f>B5*E5</x:f>
        <x:v>41.24614726027397</x:v>
      </x:c>
    </x:row>
    <x:row r="6">
      <x:c r="A6" s="51" t="str">
        <x:v>WSV1_FOUNDATION_THERMAL</x:v>
      </x:c>
      <x:c r="B6" s="56" t="n">
        <x:v>31.12448715327472</x:v>
      </x:c>
      <x:c r="C6" s="68" t="n">
        <x:f>'Curves'!J6</x:f>
        <x:v>0.04</x:v>
      </x:c>
      <x:c r="D6" s="68" t="n">
        <x:f>C6*'Assumptions'!$B$10</x:f>
        <x:v>0.024</x:v>
      </x:c>
      <x:c r="E6" s="68" t="n">
        <x:f>MIN(1,C6*'Assumptions'!$B$11)</x:f>
        <x:v>0.06</x:v>
      </x:c>
      <x:c r="F6" s="69" t="n">
        <x:f>B6*D6</x:f>
        <x:v>0.7469876916785934</x:v>
      </x:c>
      <x:c r="G6" s="69" t="n">
        <x:f>B6*C6</x:f>
        <x:v>1.2449794861309889</x:v>
      </x:c>
      <x:c r="H6" s="69" t="n">
        <x:f>B6*E6</x:f>
        <x:v>1.8674692291964832</x:v>
      </x:c>
    </x:row>
    <x:row r="7">
      <x:c r="A7" s="51" t="str">
        <x:v>WSV1_INVERTER_THERMAL</x:v>
      </x:c>
      <x:c r="B7" s="56" t="n">
        <x:v>32.306366410372384</x:v>
      </x:c>
      <x:c r="C7" s="68" t="n">
        <x:f>'Curves'!J7</x:f>
        <x:v>0.8</x:v>
      </x:c>
      <x:c r="D7" s="68" t="n">
        <x:f>C7*'Assumptions'!$B$10</x:f>
        <x:v>0.48</x:v>
      </x:c>
      <x:c r="E7" s="68" t="n">
        <x:f>MIN(1,C7*'Assumptions'!$B$11)</x:f>
        <x:v>1</x:v>
      </x:c>
      <x:c r="F7" s="69" t="n">
        <x:f>B7*D7</x:f>
        <x:v>15.507055876978743</x:v>
      </x:c>
      <x:c r="G7" s="69" t="n">
        <x:f>B7*C7</x:f>
        <x:v>25.845093128297908</x:v>
      </x:c>
      <x:c r="H7" s="69" t="n">
        <x:f>B7*E7</x:f>
        <x:v>32.306366410372384</x:v>
      </x:c>
    </x:row>
    <x:row r="8">
      <x:c r="A8" s="51" t="str">
        <x:v>WSV1_COMBINER_THERMAL</x:v>
      </x:c>
      <x:c r="B8" s="56" t="n">
        <x:v>6.82625</x:v>
      </x:c>
      <x:c r="C8" s="68" t="n">
        <x:f>'Curves'!J8</x:f>
        <x:v>0.85</x:v>
      </x:c>
      <x:c r="D8" s="68" t="n">
        <x:f>C8*'Assumptions'!$B$10</x:f>
        <x:v>0.51</x:v>
      </x:c>
      <x:c r="E8" s="68" t="n">
        <x:f>MIN(1,C8*'Assumptions'!$B$11)</x:f>
        <x:v>1</x:v>
      </x:c>
      <x:c r="F8" s="69" t="n">
        <x:f>B8*D8</x:f>
        <x:v>3.4813875</x:v>
      </x:c>
      <x:c r="G8" s="69" t="n">
        <x:f>B8*C8</x:f>
        <x:v>5.8023125</x:v>
      </x:c>
      <x:c r="H8" s="69" t="n">
        <x:f>B8*E8</x:f>
        <x:v>6.82625</x:v>
      </x:c>
    </x:row>
    <x:row r="9">
      <x:c r="A9" s="51" t="str">
        <x:v>WSV1_CABLE_EXPOSED</x:v>
      </x:c>
      <x:c r="B9" s="56" t="n">
        <x:v>69.3201119402985</x:v>
      </x:c>
      <x:c r="C9" s="68" t="n">
        <x:f>'Curves'!J9</x:f>
        <x:v>0.9</x:v>
      </x:c>
      <x:c r="D9" s="68" t="n">
        <x:f>C9*'Assumptions'!$B$10</x:f>
        <x:v>0.54</x:v>
      </x:c>
      <x:c r="E9" s="68" t="n">
        <x:f>MIN(1,C9*'Assumptions'!$B$11)</x:f>
        <x:v>1</x:v>
      </x:c>
      <x:c r="F9" s="69" t="n">
        <x:f>B9*D9</x:f>
        <x:v>37.43286044776119</x:v>
      </x:c>
      <x:c r="G9" s="69" t="n">
        <x:f>B9*C9</x:f>
        <x:v>62.388100746268655</x:v>
      </x:c>
      <x:c r="H9" s="69" t="n">
        <x:f>B9*E9</x:f>
        <x:v>69.3201119402985</x:v>
      </x:c>
    </x:row>
    <x:row r="10">
      <x:c r="A10" s="51" t="str">
        <x:v>WSV1_MV_EQUIPMENT_THERMAL</x:v>
      </x:c>
      <x:c r="B10" s="56" t="n">
        <x:v>106.50466417910448</x:v>
      </x:c>
      <x:c r="C10" s="68" t="n">
        <x:f>'Curves'!J10</x:f>
        <x:v>0.7</x:v>
      </x:c>
      <x:c r="D10" s="68" t="n">
        <x:f>C10*'Assumptions'!$B$10</x:f>
        <x:v>0.42</x:v>
      </x:c>
      <x:c r="E10" s="68" t="n">
        <x:f>MIN(1,C10*'Assumptions'!$B$11)</x:f>
        <x:v>1</x:v>
      </x:c>
      <x:c r="F10" s="69" t="n">
        <x:f>B10*D10</x:f>
        <x:v>44.73195895522388</x:v>
      </x:c>
      <x:c r="G10" s="69" t="n">
        <x:f>B10*C10</x:f>
        <x:v>74.55326492537313</x:v>
      </x:c>
      <x:c r="H10" s="69" t="n">
        <x:f>B10*E10</x:f>
        <x:v>106.50466417910448</x:v>
      </x:c>
    </x:row>
    <x:row r="11">
      <x:c r="A11" s="51" t="str">
        <x:v>WSV1_GROUNDING_THERMAL</x:v>
      </x:c>
      <x:c r="B11" s="56" t="n">
        <x:v>8.385</x:v>
      </x:c>
      <x:c r="C11" s="68" t="n">
        <x:f>'Curves'!J11</x:f>
        <x:v>0.12</x:v>
      </x:c>
      <x:c r="D11" s="68" t="n">
        <x:f>C11*'Assumptions'!$B$10</x:f>
        <x:v>0.072</x:v>
      </x:c>
      <x:c r="E11" s="68" t="n">
        <x:f>MIN(1,C11*'Assumptions'!$B$11)</x:f>
        <x:v>0.18</x:v>
      </x:c>
      <x:c r="F11" s="69" t="n">
        <x:f>B11*D11</x:f>
        <x:v>0.6037199999999999</x:v>
      </x:c>
      <x:c r="G11" s="69" t="n">
        <x:f>B11*C11</x:f>
        <x:v>1.0062</x:v>
      </x:c>
      <x:c r="H11" s="69" t="n">
        <x:f>B11*E11</x:f>
        <x:v>1.5092999999999999</x:v>
      </x:c>
    </x:row>
    <x:row r="12">
      <x:c r="A12" s="51" t="str">
        <x:v>WSV1_SCADA_THERMAL</x:v>
      </x:c>
      <x:c r="B12" s="56" t="n">
        <x:v>1.31</x:v>
      </x:c>
      <x:c r="C12" s="68" t="n">
        <x:f>'Curves'!J12</x:f>
        <x:v>0.9</x:v>
      </x:c>
      <x:c r="D12" s="68" t="n">
        <x:f>C12*'Assumptions'!$B$10</x:f>
        <x:v>0.54</x:v>
      </x:c>
      <x:c r="E12" s="68" t="n">
        <x:f>MIN(1,C12*'Assumptions'!$B$11)</x:f>
        <x:v>1</x:v>
      </x:c>
      <x:c r="F12" s="69" t="n">
        <x:f>B12*D12</x:f>
        <x:v>0.7074</x:v>
      </x:c>
      <x:c r="G12" s="69" t="n">
        <x:f>B12*C12</x:f>
        <x:v>1.179</x:v>
      </x:c>
      <x:c r="H12" s="69" t="n">
        <x:f>B12*E12</x:f>
        <x:v>1.31</x:v>
      </x:c>
    </x:row>
    <x:row r="13">
      <x:c r="A13" s="51" t="str">
        <x:v>WSV1_CIVIL_DIRECT</x:v>
      </x:c>
      <x:c r="B13" s="56" t="n">
        <x:v>31.223744292237445</x:v>
      </x:c>
      <x:c r="C13" s="68" t="n">
        <x:f>'Curves'!J13</x:f>
        <x:v>0.4</x:v>
      </x:c>
      <x:c r="D13" s="68" t="n">
        <x:f>C13*'Assumptions'!$B$10</x:f>
        <x:v>0.24</x:v>
      </x:c>
      <x:c r="E13" s="68" t="n">
        <x:f>MIN(1,C13*'Assumptions'!$B$11)</x:f>
        <x:v>0.6000000000000001</x:v>
      </x:c>
      <x:c r="F13" s="69" t="n">
        <x:f>B13*D13</x:f>
        <x:v>7.493698630136986</x:v>
      </x:c>
      <x:c r="G13" s="69" t="n">
        <x:f>B13*C13</x:f>
        <x:v>12.489497716894979</x:v>
      </x:c>
      <x:c r="H13" s="69" t="n">
        <x:f>B13*E13</x:f>
        <x:v>18.73424657534247</x:v>
      </x:c>
    </x:row>
    <x:row r="14">
      <x:c r="A14" s="51"/>
      <x:c r="B14" s="51"/>
      <x:c r="C14" s="51"/>
      <x:c r="D14" s="51"/>
      <x:c r="E14" s="51"/>
      <x:c r="F14" s="51"/>
      <x:c r="G14" s="51"/>
      <x:c r="H14" s="51"/>
    </x:row>
    <x:row r="15">
      <x:c r="A15" s="70" t="str">
        <x:v>Metric</x:v>
      </x:c>
      <x:c r="B15" s="71"/>
      <x:c r="C15" s="71"/>
      <x:c r="D15" s="71" t="str">
        <x:v>Low</x:v>
      </x:c>
      <x:c r="E15" s="71" t="str">
        <x:v>Central</x:v>
      </x:c>
      <x:c r="F15" s="71" t="str">
        <x:v>High</x:v>
      </x:c>
      <x:c r="G15" s="71"/>
      <x:c r="H15" s="72"/>
    </x:row>
    <x:row r="16">
      <x:c r="A16" s="73" t="str">
        <x:v>Physical DR</x:v>
      </x:c>
      <x:c r="B16" s="74"/>
      <x:c r="C16" s="74"/>
      <x:c r="D16" s="75" t="n">
        <x:f>SUM(F4:F13)/'Assumptions'!$B$8</x:f>
        <x:v>0.3498626856680891</x:v>
      </x:c>
      <x:c r="E16" s="75" t="n">
        <x:f>SUM(G4:G13)/'Assumptions'!$B$8</x:f>
        <x:v>0.5831044761134818</x:v>
      </x:c>
      <x:c r="F16" s="75" t="n">
        <x:f>SUM(H4:H13)/'Assumptions'!$B$8</x:f>
        <x:v>0.8188822673342014</x:v>
      </x:c>
      <x:c r="G16" s="74"/>
      <x:c r="H16" s="76"/>
    </x:row>
    <x:row r="17">
      <x:c r="A17" s="73" t="str">
        <x:v>Installed DR</x:v>
      </x:c>
      <x:c r="B17" s="74"/>
      <x:c r="C17" s="74"/>
      <x:c r="D17" s="75" t="n">
        <x:f>D16*'Assumptions'!$B$9</x:f>
        <x:v>0.2742035374075975</x:v>
      </x:c>
      <x:c r="E17" s="75" t="n">
        <x:f>E16*'Assumptions'!$B$9</x:f>
        <x:v>0.4570058956793292</x:v>
      </x:c>
      <x:c r="F17" s="75" t="n">
        <x:f>F16*'Assumptions'!$B$9</x:f>
        <x:v>0.6417958348276415</x:v>
      </x:c>
      <x:c r="G17" s="74"/>
      <x:c r="H17" s="76"/>
    </x:row>
    <x:row r="18">
      <x:c r="A18" s="77" t="str">
        <x:v>Interpretation</x:v>
      </x:c>
      <x:c r="B18" s="78"/>
      <x:c r="C18" s="78"/>
      <x:c r="D18" s="78" t="str">
        <x:v>scenario stress</x:v>
      </x:c>
      <x:c r="E18" s="78" t="str">
        <x:v>runtime scalar</x:v>
      </x:c>
      <x:c r="F18" s="78" t="str">
        <x:v>scenario stress</x:v>
      </x:c>
      <x:c r="G18" s="78"/>
      <x:c r="H18" s="79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70" hidden="0" customWidth="1"/>
    <x:col min="4" max="4" width="13" hidden="0" customWidth="1"/>
    <x:col min="5" max="5" width="42" hidden="0" customWidth="1"/>
    <x:col min="6" max="6" width="42" hidden="0" customWidth="1"/>
  </x:cols>
  <x:sheetData>
    <x:row r="1" ht="28" customHeight="1">
      <x:c r="A1" s="3" t="str">
        <x:v>Key Sources and Permitted Use</x:v>
      </x:c>
      <x:c r="B1" s="51"/>
      <x:c r="C1" s="51"/>
      <x:c r="D1" s="51"/>
      <x:c r="E1" s="51"/>
      <x:c r="F1" s="51"/>
    </x:row>
    <x:row r="2">
      <x:c r="A2" s="51"/>
      <x:c r="B2" s="51"/>
      <x:c r="C2" s="51"/>
      <x:c r="D2" s="51"/>
      <x:c r="E2" s="51"/>
      <x:c r="F2" s="51"/>
    </x:row>
    <x:row r="3">
      <x:c r="A3" s="10" t="str">
        <x:v>Source ID</x:v>
      </x:c>
      <x:c r="B3" s="21" t="str">
        <x:v>Source</x:v>
      </x:c>
      <x:c r="C3" s="21" t="str">
        <x:v>URL</x:v>
      </x:c>
      <x:c r="D3" s="21" t="str">
        <x:v>Tier</x:v>
      </x:c>
      <x:c r="E3" s="21" t="str">
        <x:v>Direct support</x:v>
      </x:c>
      <x:c r="F3" s="11" t="str">
        <x:v>Prohibited inference</x:v>
      </x:c>
    </x:row>
    <x:row r="4">
      <x:c r="A4" s="58" t="str">
        <x:v>USFS_FSIM_RDS_2023</x:v>
      </x:c>
      <x:c r="B4" s="58" t="str">
        <x:v>USFS FSim RDS-2016-0034-3</x:v>
      </x:c>
      <x:c r="C4" s="58" t="str">
        <x:v>https://doi.org/10.2737/RDS-2016-0034-3</x:v>
      </x:c>
      <x:c r="D4" s="58" t="str">
        <x:v>T2</x:v>
      </x:c>
      <x:c r="E4" s="58" t="str">
        <x:v>six conditional flame-length states and burn-frequency separation</x:v>
      </x:c>
      <x:c r="F4" s="58" t="str">
        <x:v>local component heat flux or DR</x:v>
      </x:c>
    </x:row>
    <x:row r="5">
      <x:c r="A5" s="58" t="str">
        <x:v>FRANKMAN_2012_WILDLAND_HEAT</x:v>
      </x:c>
      <x:c r="B5" s="58" t="str">
        <x:v>Measurements of convective and radiative heating in wildland fires</x:v>
      </x:c>
      <x:c r="C5" s="58" t="str">
        <x:v>https://research.fs.usda.gov/treesearch/42185</x:v>
      </x:c>
      <x:c r="D5" s="58" t="str">
        <x:v>T2</x:v>
      </x:c>
      <x:c r="E5" s="58" t="str">
        <x:v>wildland heat-transfer magnitude and variability</x:v>
      </x:c>
      <x:c r="F5" s="58" t="str">
        <x:v>universal FSim converter</x:v>
      </x:c>
    </x:row>
    <x:row r="6">
      <x:c r="A6" s="58" t="str">
        <x:v>BUTLER_2010_CROWN_HEAT</x:v>
      </x:c>
      <x:c r="B6" s="58" t="str">
        <x:v>Characterization of convective heating in full scale crown fires</x:v>
      </x:c>
      <x:c r="C6" s="58" t="str">
        <x:v>https://research.fs.usda.gov/treesearch/39348</x:v>
      </x:c>
      <x:c r="D6" s="58" t="str">
        <x:v>T2</x:v>
      </x:c>
      <x:c r="E6" s="58" t="str">
        <x:v>flux and duration are separate local states</x:v>
      </x:c>
      <x:c r="F6" s="58" t="str">
        <x:v>solar fragility</x:v>
      </x:c>
    </x:row>
    <x:row r="7">
      <x:c r="A7" s="58" t="str">
        <x:v>DOE_FEMP_PV_WILDFIRE</x:v>
      </x:c>
      <x:c r="B7" s="58" t="str">
        <x:v>Solar Photovoltaic Hardening for Resilience – Wildfire</x:v>
      </x:c>
      <x:c r="C7" s="58" t="str">
        <x:v>https://www.energy.gov/cmei/femp/solar-photovoltaic-hardening-resilience-wildfire</x:v>
      </x:c>
      <x:c r="D7" s="58" t="str">
        <x:v>T2</x:v>
      </x:c>
      <x:c r="E7" s="58" t="str">
        <x:v>PV mechanisms, rebuild/inspection and control fields</x:v>
      </x:c>
      <x:c r="F7" s="58" t="str">
        <x:v>numeric mitigation or class DR</x:v>
      </x:c>
    </x:row>
    <x:row r="8">
      <x:c r="A8" s="58" t="str">
        <x:v>KIEE_JANG_2026_WILDFIRE_PV</x:v>
      </x:c>
      <x:c r="B8" s="58" t="str">
        <x:v>Wildfire-affected PV degradation diagnostics</x:v>
      </x:c>
      <x:c r="C8" s="58" t="str">
        <x:v>https://www.kci.go.kr/kciportal/ci/sereArticleSearch/ciSereArtiView.kci?sereArticleSearchBean.artiId=ART003300065</x:v>
      </x:c>
      <x:c r="D8" s="58" t="str">
        <x:v>T3</x:v>
      </x:c>
      <x:c r="E8" s="58" t="str">
        <x:v>EL/IR/I-V/performance diagnostic endpoints</x:v>
      </x:c>
      <x:c r="F8" s="58" t="str">
        <x:v>population fragility or cost</x:v>
      </x:c>
    </x:row>
    <x:row r="9">
      <x:c r="A9" s="58" t="str">
        <x:v>NEMA_GD2_2016</x:v>
      </x:c>
      <x:c r="B9" s="58" t="str">
        <x:v>Evaluating Fire- and Heat-Damaged Electrical Equipment</x:v>
      </x:c>
      <x:c r="C9" s="58" t="str">
        <x:v>https://www.nema.org/docs/default-source/standards-document-library/nema-gd-2-2016-evaluating-fire-and-heat-damaged-electrical-equipment-guide.pdf</x:v>
      </x:c>
      <x:c r="D9" s="58" t="str">
        <x:v>T2</x:v>
      </x:c>
      <x:c r="E9" s="58" t="str">
        <x:v>post-fire inspect/evaluate/replace logic</x:v>
      </x:c>
      <x:c r="F9" s="58" t="str">
        <x:v>pre-event failure probability</x:v>
      </x:c>
    </x:row>
    <x:row r="10">
      <x:c r="A10" s="58" t="str">
        <x:v>WANG_2025_PV_THERMAL</x:v>
      </x:c>
      <x:c r="B10" s="58" t="str">
        <x:v>PV panels under uniform thermal loading</x:v>
      </x:c>
      <x:c r="C10" s="58" t="str">
        <x:v>https://doi.org/10.1016/j.ijthermalsci.2024.109489</x:v>
      </x:c>
      <x:c r="D10" s="58" t="str">
        <x:v>T2</x:v>
      </x:c>
      <x:c r="E10" s="58" t="str">
        <x:v>module BOM/geometry thermal mechanisms</x:v>
      </x:c>
      <x:c r="F10" s="58" t="str">
        <x:v>utility population DR</x:v>
      </x:c>
    </x:row>
    <x:row r="11">
      <x:c r="A11" s="58" t="str">
        <x:v>ZHANG_2022_XLPE</x:v>
      </x:c>
      <x:c r="B11" s="58" t="str">
        <x:v>Cable combustion characteristics</x:v>
      </x:c>
      <x:c r="C11" s="58" t="str">
        <x:v>https://doi.org/10.3390/en15051904</x:v>
      </x:c>
      <x:c r="D11" s="58" t="str">
        <x:v>T2</x:v>
      </x:c>
      <x:c r="E11" s="58" t="str">
        <x:v>test-specific cable heat sensitivity</x:v>
      </x:c>
      <x:c r="F11" s="58" t="str">
        <x:v>all installed cable DR</x:v>
      </x:c>
    </x:row>
    <x:row r="12">
      <x:c r="A12" s="58" t="str">
        <x:v>NREL_NLR_Q1_2025_PV_BENCHMARK</x:v>
      </x:c>
      <x:c r="B12" s="58" t="str">
        <x:v>Q1-2025 Solar PV System Cost Benchmarks</x:v>
      </x:c>
      <x:c r="C12" s="58" t="str">
        <x:v>https://data.nrel.gov/submissions/304</x:v>
      </x:c>
      <x:c r="D12" s="58" t="str">
        <x:v>T2</x:v>
      </x:c>
      <x:c r="E12" s="58" t="str">
        <x:v>reference cost/value basis</x:v>
      </x:c>
      <x:c r="F12" s="58" t="str">
        <x:v>site value or wildfire fragility</x:v>
      </x:c>
    </x:row>
    <x:row r="13">
      <x:c r="A13" s="58" t="str">
        <x:v>GOVERNANCE_CONTRACT</x:v>
      </x:c>
      <x:c r="B13" s="58" t="str">
        <x:v>Damage Modeling governance</x:v>
      </x:c>
      <x:c r="C13" s="58" t="str">
        <x:v>docs/extra/damage_curve_skill/</x:v>
      </x:c>
      <x:c r="D13" s="58" t="str">
        <x:v>T4 control</x:v>
      </x:c>
      <x:c r="E13" s="58" t="str">
        <x:v>versioning, failure-unit and allocation rules</x:v>
      </x:c>
      <x:c r="F13" s="58" t="str">
        <x:v>scientific calibration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4" hidden="0" customWidth="1"/>
    <x:col min="5" max="5" width="34" hidden="0" customWidth="1"/>
  </x:cols>
  <x:sheetData>
    <x:row r="1" ht="28" customHeight="1">
      <x:c r="A1" s="3" t="str">
        <x:v>Quality Assurance</x:v>
      </x:c>
      <x:c r="B1" s="51"/>
      <x:c r="C1" s="51"/>
      <x:c r="D1" s="51"/>
      <x:c r="E1" s="51"/>
    </x:row>
    <x:row r="2">
      <x:c r="A2" s="51"/>
      <x:c r="B2" s="51"/>
      <x:c r="C2" s="51"/>
      <x:c r="D2" s="51"/>
      <x:c r="E2" s="51"/>
    </x:row>
    <x:row r="3">
      <x:c r="A3" s="10" t="str">
        <x:v>Check</x:v>
      </x:c>
      <x:c r="B3" s="21" t="str">
        <x:v>Formula / expected</x:v>
      </x:c>
      <x:c r="C3" s="21" t="str">
        <x:v>Result</x:v>
      </x:c>
      <x:c r="D3" s="21" t="str">
        <x:v>Status</x:v>
      </x:c>
      <x:c r="E3" s="11" t="str">
        <x:v>Meaning</x:v>
      </x:c>
    </x:row>
    <x:row r="4">
      <x:c r="A4" s="58" t="str">
        <x:v>Installed = physical + excluded</x:v>
      </x:c>
      <x:c r="B4" s="80" t="str">
        <x:v>1120</x:v>
      </x:c>
      <x:c r="C4" s="80" t="n">
        <x:f>'Assumptions'!B5+'Assumptions'!B7</x:f>
        <x:v>1119.9999999999998</x:v>
      </x:c>
      <x:c r="D4" s="81" t="str">
        <x:f>IF(ABS(C4-VALUE(B4))&lt;0.000001,"PASS","REVIEW")</x:f>
        <x:v>PASS</x:v>
      </x:c>
      <x:c r="E4" s="58" t="str">
        <x:v>value basis reconciles</x:v>
      </x:c>
    </x:row>
    <x:row r="5">
      <x:c r="A5" s="58" t="str">
        <x:v>Physical = direct + support</x:v>
      </x:c>
      <x:c r="B5" s="80" t="str">
        <x:v>877.795702</x:v>
      </x:c>
      <x:c r="C5" s="80" t="n">
        <x:f>'Assumptions'!B8+'Assumptions'!B6</x:f>
        <x:v>877.7957023626668</x:v>
      </x:c>
      <x:c r="D5" s="81" t="str">
        <x:f>IF(ABS(C5-VALUE(B5))&lt;0.000001,"PASS","REVIEW")</x:f>
        <x:v>PASS</x:v>
      </x:c>
      <x:c r="E5" s="58" t="str">
        <x:v>support counted once</x:v>
      </x:c>
    </x:row>
    <x:row r="6">
      <x:c r="A6" s="58" t="str">
        <x:v>Direct values sum</x:v>
      </x:c>
      <x:c r="B6" s="80" t="str">
        <x:v>688.205201</x:v>
      </x:c>
      <x:c r="C6" s="80" t="n">
        <x:f>'Value Linkage'!C15</x:f>
        <x:v>688.2052014426097</x:v>
      </x:c>
      <x:c r="D6" s="81" t="str">
        <x:f>IF(ABS(C6-VALUE(B6))&lt;0.000001,"PASS","REVIEW")</x:f>
        <x:v>PASS</x:v>
      </x:c>
      <x:c r="E6" s="58" t="str">
        <x:v>ten failure units reconcile</x:v>
      </x:c>
    </x:row>
    <x:row r="7">
      <x:c r="A7" s="58" t="str">
        <x:v>Physical / installed ratio</x:v>
      </x:c>
      <x:c r="B7" s="80" t="str">
        <x:v>0.783746163</x:v>
      </x:c>
      <x:c r="C7" s="80" t="n">
        <x:f>'Assumptions'!B9</x:f>
        <x:v>0.7837461628238097</x:v>
      </x:c>
      <x:c r="D7" s="81" t="str">
        <x:f>IF(ABS(C7-VALUE(B7))&lt;0.000001,"PASS","REVIEW")</x:f>
        <x:v>PASS</x:v>
      </x:c>
      <x:c r="E7" s="58" t="str">
        <x:v>denominator conversion</x:v>
      </x:c>
    </x:row>
    <x:row r="8">
      <x:c r="A8" s="58" t="str">
        <x:v>All state-0 DRs zero</x:v>
      </x:c>
      <x:c r="B8" s="80" t="str">
        <x:v>0</x:v>
      </x:c>
      <x:c r="C8" s="80" t="n">
        <x:f>SUM('Curves'!D4:D13)</x:f>
        <x:v>0</x:v>
      </x:c>
      <x:c r="D8" s="81" t="str">
        <x:f>IF(ABS(C8-VALUE(B8))&lt;0.000001,"PASS","REVIEW")</x:f>
        <x:v>PASS</x:v>
      </x:c>
      <x:c r="E8" s="58" t="str">
        <x:v>no-event boundary</x:v>
      </x:c>
    </x:row>
    <x:row r="9">
      <x:c r="A9" s="58" t="str">
        <x:v>All curves monotone</x:v>
      </x:c>
      <x:c r="B9" s="82" t="str">
        <x:v>TRUE</x:v>
      </x:c>
      <x:c r="C9" s="82" t="b">
        <x:f>IF(AND('Curves'!M4="PASS",'Curves'!M5="PASS",'Curves'!M6="PASS",'Curves'!M7="PASS",'Curves'!M8="PASS",'Curves'!M9="PASS",'Curves'!M10="PASS",'Curves'!M11="PASS",'Curves'!M12="PASS",'Curves'!M13="PASS"),TRUE,FALSE)</x:f>
        <x:v>1</x:v>
      </x:c>
      <x:c r="D9" s="81" t="str">
        <x:f>IF(C9=TRUE,"PASS","REVIEW")</x:f>
        <x:v>PASS</x:v>
      </x:c>
      <x:c r="E9" s="58" t="str">
        <x:v>state ordering</x:v>
      </x:c>
    </x:row>
    <x:row r="10">
      <x:c r="A10" s="58" t="str">
        <x:v>All DRs in [0,1]</x:v>
      </x:c>
      <x:c r="B10" s="82" t="str">
        <x:v>TRUE</x:v>
      </x:c>
      <x:c r="C10" s="82" t="b">
        <x:f>IF(AND(MIN('Curves'!D4:J13)&gt;=0,MAX('Curves'!D4:J13)&lt;=1),TRUE,FALSE)</x:f>
        <x:v>1</x:v>
      </x:c>
      <x:c r="D10" s="81" t="str">
        <x:f>IF(C10=TRUE,"PASS","REVIEW")</x:f>
        <x:v>PASS</x:v>
      </x:c>
      <x:c r="E10" s="58" t="str">
        <x:v>bounded response</x:v>
      </x:c>
    </x:row>
    <x:row r="11">
      <x:c r="A11" s="58" t="str">
        <x:v>Class-6 physical DR</x:v>
      </x:c>
      <x:c r="B11" s="80" t="str">
        <x:v>0.583104476</x:v>
      </x:c>
      <x:c r="C11" s="80" t="n">
        <x:f>'Aggregate'!Q10</x:f>
        <x:v>0.5831044761134818</x:v>
      </x:c>
      <x:c r="D11" s="81" t="str">
        <x:f>IF(ABS(C11-VALUE(B11))&lt;0.000001,"PASS","REVIEW")</x:f>
        <x:v>PASS</x:v>
      </x:c>
      <x:c r="E11" s="58" t="str">
        <x:v>aggregate KAT</x:v>
      </x:c>
    </x:row>
    <x:row r="12">
      <x:c r="A12" s="58" t="str">
        <x:v>Class-6 installed DR</x:v>
      </x:c>
      <x:c r="B12" s="80" t="str">
        <x:v>0.457005896</x:v>
      </x:c>
      <x:c r="C12" s="80" t="n">
        <x:f>'Aggregate'!R10</x:f>
        <x:v>0.45700589567932914</x:v>
      </x:c>
      <x:c r="D12" s="81" t="str">
        <x:f>IF(ABS(C12-VALUE(B12))&lt;0.000001,"PASS","REVIEW")</x:f>
        <x:v>PASS</x:v>
      </x:c>
      <x:c r="E12" s="58" t="str">
        <x:v>aggregate KAT</x:v>
      </x:c>
    </x:row>
    <x:row r="13">
      <x:c r="A13" s="58" t="str">
        <x:v>Low sensitivity installed</x:v>
      </x:c>
      <x:c r="B13" s="80" t="str">
        <x:v>0.274203537</x:v>
      </x:c>
      <x:c r="C13" s="80" t="n">
        <x:f>'Sensitivity'!D17</x:f>
        <x:v>0.2742035374075975</x:v>
      </x:c>
      <x:c r="D13" s="81" t="str">
        <x:f>IF(ABS(C13-VALUE(B13))&lt;0.000001,"PASS","REVIEW")</x:f>
        <x:v>PASS</x:v>
      </x:c>
      <x:c r="E13" s="58" t="str">
        <x:v>scenario stress</x:v>
      </x:c>
    </x:row>
    <x:row r="14">
      <x:c r="A14" s="58" t="str">
        <x:v>High sensitivity installed</x:v>
      </x:c>
      <x:c r="B14" s="80" t="str">
        <x:v>0.641795835</x:v>
      </x:c>
      <x:c r="C14" s="80" t="n">
        <x:f>'Sensitivity'!F17</x:f>
        <x:v>0.6417958348276415</x:v>
      </x:c>
      <x:c r="D14" s="81" t="str">
        <x:f>IF(ABS(C14-VALUE(B14))&lt;0.000001,"PASS","REVIEW")</x:f>
        <x:v>PASS</x:v>
      </x:c>
      <x:c r="E14" s="58" t="str">
        <x:v>scenario stress</x:v>
      </x:c>
    </x:row>
    <x:row r="15">
      <x:c r="A15" s="58" t="str">
        <x:v>Curve count</x:v>
      </x:c>
      <x:c r="B15" s="80" t="str">
        <x:v>10</x:v>
      </x:c>
      <x:c r="C15" s="80" t="n">
        <x:f>COUNTA('Curves'!A4:A13)</x:f>
        <x:v>10</x:v>
      </x:c>
      <x:c r="D15" s="81" t="str">
        <x:f>IF(ABS(C15-VALUE(B15))&lt;0.000001,"PASS","REVIEW")</x:f>
        <x:v>PASS</x:v>
      </x:c>
      <x:c r="E15" s="58" t="str">
        <x:v>coverage count</x:v>
      </x:c>
    </x:row>
    <x:row r="16">
      <x:c r="A16" s="58" t="str">
        <x:v>Exact-state interpolation</x:v>
      </x:c>
      <x:c r="B16" s="82" t="str">
        <x:v>PROHIBITED</x:v>
      </x:c>
      <x:c r="C16" s="82" t="str">
        <x:v>PROHIBITED</x:v>
      </x:c>
      <x:c r="D16" s="81" t="str">
        <x:f>IF(C16=B16,"PASS","REVIEW")</x:f>
        <x:v>PASS</x:v>
      </x:c>
      <x:c r="E16" s="58" t="str">
        <x:v>categorical contract</x:v>
      </x:c>
    </x:row>
    <x:row r="17">
      <x:c r="A17" s="58" t="str">
        <x:v>Curve-intrinsic spread</x:v>
      </x:c>
      <x:c r="B17" s="82" t="str">
        <x:v>NOT CARRIED</x:v>
      </x:c>
      <x:c r="C17" s="82" t="str">
        <x:v>NOT CARRIED</x:v>
      </x:c>
      <x:c r="D17" s="81" t="str">
        <x:f>IF(C17=B17,"PASS","REVIEW")</x:f>
        <x:v>PASS</x:v>
      </x:c>
      <x:c r="E17" s="58" t="str">
        <x:v>tail capability boundary</x:v>
      </x:c>
    </x:row>
  </x:sheetData>
  <x:mergeCells>
    <x:mergeCell ref="A1:E1"/>
  </x:mergeCells>
  <x:pageMargins left="0.7" right="0.7" top="0.75" bottom="0.75" header="0.3" footer="0.3"/>
</x:worksheet>
</file>