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8fb289249c4a47" /></Relationships>
</file>

<file path=xl/workbook.xml><?xml version="1.0" encoding="utf-8"?>
<x:workbook xmlns:x="http://schemas.openxmlformats.org/spreadsheetml/2006/main">
  <x:sheets>
    <x:sheet xmlns:r="http://schemas.openxmlformats.org/officeDocument/2006/relationships" name="README" sheetId="1" r:id="Ref0a69c1d6f14004"/>
    <x:sheet xmlns:r="http://schemas.openxmlformats.org/officeDocument/2006/relationships" name="Seven_Steps" sheetId="2" r:id="Ra812b00936a64f13"/>
    <x:sheet xmlns:r="http://schemas.openxmlformats.org/officeDocument/2006/relationships" name="Asset_Value" sheetId="3" r:id="R2ea734f6fff54d5c"/>
    <x:sheet xmlns:r="http://schemas.openxmlformats.org/officeDocument/2006/relationships" name="Value_Crosswalk" sheetId="4" r:id="R749e932a50e84999"/>
    <x:sheet xmlns:r="http://schemas.openxmlformats.org/officeDocument/2006/relationships" name="Failure_Units" sheetId="5" r:id="R0320989d233a4488"/>
    <x:sheet xmlns:r="http://schemas.openxmlformats.org/officeDocument/2006/relationships" name="Evidence_Constraints" sheetId="6" r:id="R3db5ef411112437c"/>
    <x:sheet xmlns:r="http://schemas.openxmlformats.org/officeDocument/2006/relationships" name="Site_Adapter" sheetId="7" r:id="R45a43bb981594847"/>
    <x:sheet xmlns:r="http://schemas.openxmlformats.org/officeDocument/2006/relationships" name="Pressure_Test" sheetId="8" r:id="R8e8eadf2d08b4a54"/>
    <x:sheet xmlns:r="http://schemas.openxmlformats.org/officeDocument/2006/relationships" name="Legacy_Audit" sheetId="9" r:id="Rcbe87676d75d4394"/>
    <x:sheet xmlns:r="http://schemas.openxmlformats.org/officeDocument/2006/relationships" name="Claim_Register" sheetId="10" r:id="R0e57e20ff86e44c9"/>
    <x:sheet xmlns:r="http://schemas.openxmlformats.org/officeDocument/2006/relationships" name="Source_Register" sheetId="11" r:id="Re06d95a2d7c74d64"/>
    <x:sheet xmlns:r="http://schemas.openxmlformats.org/officeDocument/2006/relationships" name="Parameter_Tiers" sheetId="12" r:id="Rfd6b23f63e714acd"/>
    <x:sheet xmlns:r="http://schemas.openxmlformats.org/officeDocument/2006/relationships" name="QA_Checks" sheetId="13" r:id="R51d1d36bcc1f4e44"/>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000;[Red]-#,##0.000000"/>
    <x:numFmt numFmtId="201" formatCode="0.00"/>
    <x:numFmt numFmtId="202" formatCode="0.0000%"/>
    <x:numFmt numFmtId="203" formatCode="$#,##0;[Red]-$#,##0"/>
    <x:numFmt numFmtId="204" formatCode="0.00%"/>
    <x:numFmt numFmtId="205" formatCode="#,##0"/>
    <x:numFmt numFmtId="206" formatCode="0.00x"/>
    <x:numFmt numFmtId="207" formatCode="#,##0.000000"/>
  </x:numFmts>
  <x:fonts count="12">
    <x:font>
      <x:sz val="11"/>
      <x:name val="Carlito"/>
    </x:font>
    <x:font>
      <x:b/>
      <x:sz val="18"/>
      <x:color rgb="FFFFFFFF"/>
      <x:name val="Carlito"/>
    </x:font>
    <x:font>
      <x:i/>
      <x:sz val="10"/>
      <x:color rgb="FF595959"/>
      <x:name val="Carlito"/>
    </x:font>
    <x:font>
      <x:sz val="9"/>
      <x:name val="Carlito"/>
    </x:font>
    <x:font>
      <x:b/>
      <x:sz val="9"/>
      <x:color rgb="FFFFFFFF"/>
      <x:name val="Carlito"/>
    </x:font>
    <x:font>
      <x:b/>
      <x:sz val="9"/>
      <x:color rgb="FF1F1F1F"/>
      <x:name val="Carlito"/>
    </x:font>
    <x:font>
      <x:sz val="8"/>
      <x:name val="Carlito"/>
    </x:font>
    <x:font>
      <x:b/>
      <x:sz val="12"/>
      <x:color rgb="FFFFFFFF"/>
      <x:name val="Carlito"/>
    </x:font>
    <x:font>
      <x:b/>
      <x:sz val="10"/>
      <x:color rgb="FF7F0000"/>
      <x:name val="Carlito"/>
    </x:font>
    <x:font>
      <x:b/>
      <x:sz val="11"/>
      <x:color rgb="FFFFFFFF"/>
      <x:name val="Carlito"/>
    </x:font>
    <x:font>
      <x:sz val="7"/>
      <x:name val="Carlito"/>
    </x:font>
    <x:font>
      <x:b/>
      <x:sz val="11"/>
      <x:color rgb="FF7F6000"/>
      <x:name val="Carlito"/>
    </x:font>
  </x:fonts>
  <x:fills count="9">
    <x:fill>
      <x:patternFill patternType="none"/>
    </x:fill>
    <x:fill>
      <x:patternFill patternType="gray125"/>
    </x:fill>
    <x:fill>
      <x:patternFill patternType="solid">
        <x:fgColor rgb="FF17365D"/>
      </x:patternFill>
    </x:fill>
    <x:fill>
      <x:patternFill patternType="solid">
        <x:fgColor rgb="FFFCE4D6"/>
      </x:patternFill>
    </x:fill>
    <x:fill>
      <x:patternFill patternType="solid">
        <x:fgColor rgb="FF2F75B5"/>
      </x:patternFill>
    </x:fill>
    <x:fill>
      <x:patternFill patternType="solid">
        <x:fgColor rgb="FFFFF2CC"/>
      </x:patternFill>
    </x:fill>
    <x:fill>
      <x:patternFill patternType="solid">
        <x:fgColor rgb="FFF4CCCC"/>
      </x:patternFill>
    </x:fill>
    <x:fill>
      <x:patternFill patternType="solid">
        <x:fgColor rgb="FFC6E0B4"/>
      </x:patternFill>
    </x:fill>
    <x:fill>
      <x:patternFill patternType="solid">
        <x:fgColor rgb="FF595959"/>
      </x:patternFill>
    </x:fill>
  </x:fills>
  <x:borders count="3">
    <x:border/>
    <x:border>
      <x:left style="thin">
        <x:color rgb="FFB7C9DB"/>
      </x:left>
      <x:right style="thin">
        <x:color rgb="FFB7C9DB"/>
      </x:right>
      <x:top style="thin">
        <x:color rgb="FFB7C9DB"/>
      </x:top>
      <x:bottom style="thin">
        <x:color rgb="FFB7C9DB"/>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2" xfId="0" applyNumberFormat="1" applyFont="1" applyFill="1" applyBorder="1" applyAlignment="1">
      <x:alignment horizontal="left" vertical="top" wrapText="1"/>
    </x:xf>
    <x:xf numFmtId="0" fontId="4" fillId="4" borderId="2" xfId="0" applyNumberFormat="1" applyFont="1" applyFill="1" applyBorder="1" applyAlignment="1">
      <x:alignment horizontal="left" vertical="center" wrapText="1"/>
    </x:xf>
    <x:xf numFmtId="0" fontId="3" fillId="5"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201" fontId="6" fillId="0" borderId="1" xfId="0" applyNumberFormat="1" applyFont="1" applyFill="1" applyBorder="1" applyAlignment="1">
      <x:alignment vertical="top" wrapText="1"/>
    </x:xf>
    <x:xf numFmtId="0" fontId="7" fillId="2" borderId="0" xfId="0" applyNumberFormat="1" applyFont="1" applyFill="1" applyBorder="1"/>
    <x:xf numFmtId="0" fontId="6" fillId="8" borderId="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8" borderId="2" xfId="0" applyNumberFormat="1" applyFont="1" applyFill="1" applyBorder="1" applyAlignment="1">
      <x:alignment vertical="top" wrapText="1"/>
    </x:xf>
    <x:xf numFmtId="0" fontId="4" fillId="8" borderId="2" xfId="0" applyNumberFormat="1" applyFont="1" applyFill="1" applyBorder="1" applyAlignment="1">
      <x:alignment horizontal="left" vertical="top" wrapText="1"/>
    </x:xf>
    <x:xf numFmtId="0" fontId="4" fillId="8" borderId="2" xfId="0" applyNumberFormat="1" applyFont="1" applyFill="1" applyBorder="1" applyAlignment="1">
      <x:alignment horizontal="left" vertical="center" wrapText="1"/>
    </x:xf>
    <x:xf numFmtId="202" fontId="3" fillId="0" borderId="1" xfId="0" applyNumberFormat="1" applyFont="1" applyFill="1" applyBorder="1" applyAlignment="1">
      <x:alignment vertical="top" wrapText="1"/>
    </x:xf>
    <x:xf numFmtId="203" fontId="3" fillId="0" borderId="1" xfId="0" applyNumberFormat="1" applyFont="1" applyFill="1" applyBorder="1" applyAlignment="1">
      <x:alignment vertical="top" wrapText="1"/>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vertical="center" wrapText="1"/>
    </x:xf>
    <x:xf numFmtId="204" fontId="3" fillId="0" borderId="1" xfId="0" applyNumberFormat="1" applyFont="1" applyFill="1" applyBorder="1" applyAlignment="1">
      <x:alignment vertical="top" wrapText="1"/>
    </x:xf>
    <x:xf numFmtId="0" fontId="9" fillId="2" borderId="0" xfId="0" applyNumberFormat="1" applyFont="1" applyFill="1" applyBorder="1"/>
    <x:xf numFmtId="0" fontId="3" fillId="8" borderId="1" xfId="0" applyNumberFormat="1" applyFont="1" applyFill="1" applyBorder="1" applyAlignment="1">
      <x:alignment vertical="top" wrapText="1"/>
    </x:xf>
    <x:xf numFmtId="205" fontId="3" fillId="0" borderId="1" xfId="0" applyNumberFormat="1" applyFont="1" applyFill="1" applyBorder="1" applyAlignment="1">
      <x:alignment vertical="top" wrapText="1"/>
    </x:xf>
    <x:xf numFmtId="206" fontId="3" fillId="0" borderId="1" xfId="0" applyNumberFormat="1" applyFont="1" applyFill="1" applyBorder="1" applyAlignment="1">
      <x:alignment vertical="top" wrapText="1"/>
    </x:xf>
    <x:xf numFmtId="0" fontId="10" fillId="0" borderId="0"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xf numFmtId="0" fontId="10" fillId="4" borderId="1" xfId="0" applyNumberFormat="1" applyFont="1" applyFill="1" applyBorder="1" applyAlignment="1">
      <x:alignment vertical="top" wrapText="1"/>
    </x:xf>
    <x:xf numFmtId="0" fontId="10" fillId="7" borderId="1" xfId="0" applyNumberFormat="1" applyFont="1" applyFill="1" applyBorder="1" applyAlignment="1">
      <x:alignment vertical="top" wrapText="1"/>
    </x:xf>
    <x:xf numFmtId="0" fontId="10" fillId="6"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207" fontId="3" fillId="0" borderId="1"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f04b953d2d4912" /><Relationship Type="http://schemas.openxmlformats.org/officeDocument/2006/relationships/theme" Target="/xl/theme/theme1.xml" Id="R1b4675fd76b0448b" /><Relationship Type="http://schemas.openxmlformats.org/officeDocument/2006/relationships/sharedStrings" Target="/xl/sharedStrings.xml" Id="R653bfbb04e634cfe" /><Relationship Type="http://schemas.openxmlformats.org/officeDocument/2006/relationships/worksheet" Target="/xl/worksheets/sheet1.xml" Id="Ref0a69c1d6f14004" /><Relationship Type="http://schemas.openxmlformats.org/officeDocument/2006/relationships/worksheet" Target="/xl/worksheets/sheet2.xml" Id="Ra812b00936a64f13" /><Relationship Type="http://schemas.openxmlformats.org/officeDocument/2006/relationships/worksheet" Target="/xl/worksheets/sheet3.xml" Id="R2ea734f6fff54d5c" /><Relationship Type="http://schemas.openxmlformats.org/officeDocument/2006/relationships/worksheet" Target="/xl/worksheets/sheet4.xml" Id="R749e932a50e84999" /><Relationship Type="http://schemas.openxmlformats.org/officeDocument/2006/relationships/worksheet" Target="/xl/worksheets/sheet5.xml" Id="R0320989d233a4488" /><Relationship Type="http://schemas.openxmlformats.org/officeDocument/2006/relationships/worksheet" Target="/xl/worksheets/sheet6.xml" Id="R3db5ef411112437c" /><Relationship Type="http://schemas.openxmlformats.org/officeDocument/2006/relationships/worksheet" Target="/xl/worksheets/sheet7.xml" Id="R45a43bb981594847" /><Relationship Type="http://schemas.openxmlformats.org/officeDocument/2006/relationships/worksheet" Target="/xl/worksheets/sheet8.xml" Id="R8e8eadf2d08b4a54" /><Relationship Type="http://schemas.openxmlformats.org/officeDocument/2006/relationships/worksheet" Target="/xl/worksheets/sheet9.xml" Id="Rcbe87676d75d4394" /><Relationship Type="http://schemas.openxmlformats.org/officeDocument/2006/relationships/worksheet" Target="/xl/worksheets/sheet10.xml" Id="R0e57e20ff86e44c9" /><Relationship Type="http://schemas.openxmlformats.org/officeDocument/2006/relationships/worksheet" Target="/xl/worksheets/sheet11.xml" Id="Re06d95a2d7c74d64" /><Relationship Type="http://schemas.openxmlformats.org/officeDocument/2006/relationships/worksheet" Target="/xl/worksheets/sheet12.xml" Id="Rfd6b23f63e714acd" /><Relationship Type="http://schemas.openxmlformats.org/officeDocument/2006/relationships/worksheet" Target="/xl/worksheets/sheet13.xml" Id="R51d1d36bcc1f4e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42" hidden="0" customWidth="1"/>
    <x:col min="4" max="4" width="21" hidden="0" customWidth="1"/>
    <x:col min="5" max="5" width="34" hidden="0" customWidth="1"/>
    <x:col min="6" max="6" width="16" hidden="0" customWidth="1"/>
    <x:col min="7" max="7" width="26" hidden="0" customWidth="1"/>
    <x:col min="8" max="8" width="41" hidden="0" customWidth="1"/>
  </x:cols>
  <x:sheetData>
    <x:row r="1" ht="28" customHeight="1">
      <x:c r="A1" s="5" t="str">
        <x:v>wildfire_solar — governed research scaffold</x:v>
      </x:c>
      <x:c r="B1" s="5"/>
      <x:c r="C1" s="5"/>
      <x:c r="D1" s="5"/>
      <x:c r="E1" s="5"/>
      <x:c r="F1" s="5"/>
      <x:c r="G1" s="5"/>
      <x:c r="H1" s="5"/>
    </x:row>
    <x:row r="2" ht="28" customHeight="1">
      <x:c r="A2" s="5"/>
      <x:c r="B2" s="5"/>
      <x:c r="C2" s="5"/>
      <x:c r="D2" s="5"/>
      <x:c r="E2" s="5"/>
      <x:c r="F2" s="5"/>
      <x:c r="G2" s="5"/>
      <x:c r="H2" s="5"/>
    </x:row>
    <x:row r="3" ht="34" customHeight="1">
      <x:c r="A3" s="9" t="str">
        <x:v>No canonical/runtime damage curve. Source-native FSim severity bins are upstream hazard inputs only; direct damage ratio, loss, EAL, and tail metrics remain withheld.</x:v>
      </x:c>
      <x:c r="B3" s="9"/>
      <x:c r="C3" s="9"/>
      <x:c r="D3" s="9"/>
      <x:c r="E3" s="9"/>
      <x:c r="F3" s="9"/>
      <x:c r="G3" s="9"/>
      <x:c r="H3" s="9"/>
    </x:row>
    <x:row r="5" ht="32" customHeight="1">
      <x:c r="A5" s="18" t="str">
        <x:v>Field</x:v>
      </x:c>
      <x:c r="B5" s="18" t="str">
        <x:v>Governed state</x:v>
      </x:c>
      <x:c r="C5" s="18" t="str">
        <x:v>Reason / boundary</x:v>
      </x:c>
      <x:c r="D5" s="18" t="str">
        <x:v>Workbook sheet</x:v>
      </x:c>
      <x:c r="E5" s="18" t="str">
        <x:v>Purpose</x:v>
      </x:c>
      <x:c r="F5" s="18" t="str">
        <x:v>Runtime use</x:v>
      </x:c>
      <x:c r="G5" s="18" t="str">
        <x:v>Key gate</x:v>
      </x:c>
      <x:c r="H5" s="18" t="str">
        <x:v>Overestimation guardrail</x:v>
      </x:c>
    </x:row>
    <x:row r="6" ht="54" hidden="0" customHeight="1">
      <x:c r="A6" s="13" t="str">
        <x:v>Cell</x:v>
      </x:c>
      <x:c r="B6" s="13" t="str">
        <x:v>wildfire_solar</x:v>
      </x:c>
      <x:c r="C6" s="13" t="str">
        <x:v>Exogenous physical wildfire burnover only</x:v>
      </x:c>
      <x:c r="D6" s="13" t="str">
        <x:v>Seven_Steps</x:v>
      </x:c>
      <x:c r="E6" s="13" t="str">
        <x:v>Binding seven-step audit</x:v>
      </x:c>
      <x:c r="F6" s="13" t="str">
        <x:v>None</x:v>
      </x:c>
      <x:c r="G6" s="13" t="str">
        <x:v>All seven steps pass</x:v>
      </x:c>
      <x:c r="H6" s="13" t="str">
        <x:v>Do not mix smoke/soiling, PSPS, BI, or liability</x:v>
      </x:c>
    </x:row>
    <x:row r="7" ht="75.5999984741211" hidden="0" customHeight="1">
      <x:c r="A7" s="13" t="str">
        <x:v>Lifecycle</x:v>
      </x:c>
      <x:c r="B7" s="13" t="str">
        <x:v>scaffold / proposed / pressure-tested</x:v>
      </x:c>
      <x:c r="C7" s="13" t="str">
        <x:v>First governed evidence package; not canonical or package-released</x:v>
      </x:c>
      <x:c r="D7" s="13" t="str">
        <x:v>Asset_Value</x:v>
      </x:c>
      <x:c r="E7" s="13" t="str">
        <x:v>Reference archetype and denominators</x:v>
      </x:c>
      <x:c r="F7" s="13" t="str">
        <x:v>Reference only</x:v>
      </x:c>
      <x:c r="G7" s="13" t="str">
        <x:v>Site appraisal</x:v>
      </x:c>
      <x:c r="H7" s="13" t="str">
        <x:v>Generic benchmark is not site value</x:v>
      </x:c>
    </x:row>
    <x:row r="8" ht="64.80000305175781" hidden="0" customHeight="1">
      <x:c r="A8" s="13" t="str">
        <x:v>Hazard axis</x:v>
      </x:c>
      <x:c r="B8" s="13" t="str">
        <x:v>FSim FIL1–FIL6 / FLP source-native contract</x:v>
      </x:c>
      <x:c r="C8" s="13" t="str">
        <x:v>No continuous midpoint or local heat-flux inference</x:v>
      </x:c>
      <x:c r="D8" s="13" t="str">
        <x:v>Value_Crosswalk</x:v>
      </x:c>
      <x:c r="E8" s="13" t="str">
        <x:v>Rows 2:17 and support-cost treatment</x:v>
      </x:c>
      <x:c r="F8" s="13" t="str">
        <x:v>Reference only</x:v>
      </x:c>
      <x:c r="G8" s="13" t="str">
        <x:v>Site/component allocation</x:v>
      </x:c>
      <x:c r="H8" s="13" t="str">
        <x:v>Whole-site at-risk fraction never defaults to 1</x:v>
      </x:c>
    </x:row>
    <x:row r="9" ht="86.4000015258789" hidden="0" customHeight="1">
      <x:c r="A9" s="13" t="str">
        <x:v>Curve records</x:v>
      </x:c>
      <x:c r="B9" s="13" t="n">
        <x:v>0</x:v>
      </x:c>
      <x:c r="C9" s="13" t="str">
        <x:v>FIL→component exposure and exposure→economic DR are uncalibrated</x:v>
      </x:c>
      <x:c r="D9" s="13" t="str">
        <x:v>Failure_Units</x:v>
      </x:c>
      <x:c r="E9" s="13" t="str">
        <x:v>Candidate component failure units</x:v>
      </x:c>
      <x:c r="F9" s="13" t="str">
        <x:v>None</x:v>
      </x:c>
      <x:c r="G9" s="13" t="str">
        <x:v>Representative response data</x:v>
      </x:c>
      <x:c r="H9" s="13" t="str">
        <x:v>Unlike components may not share a curve</x:v>
      </x:c>
    </x:row>
    <x:row r="10" ht="97.19999694824219" hidden="0" customHeight="1">
      <x:c r="A10" s="13" t="str">
        <x:v>Site conditioning</x:v>
      </x:c>
      <x:c r="B10" s="20" t="str">
        <x:v>specified; numeric effects withheld</x:v>
      </x:c>
      <x:c r="C10" s="13" t="str">
        <x:v>Fences, walls, fuels, geometry, routing, enclosures and access are measured states</x:v>
      </x:c>
      <x:c r="D10" s="13" t="str">
        <x:v>Evidence_Constraints</x:v>
      </x:c>
      <x:c r="E10" s="13" t="str">
        <x:v>Exact test observations and transfer limits</x:v>
      </x:c>
      <x:c r="F10" s="13" t="str">
        <x:v>Evidence only</x:v>
      </x:c>
      <x:c r="G10" s="13" t="str">
        <x:v>BOM/geometry reconciliation</x:v>
      </x:c>
      <x:c r="H10" s="13" t="str">
        <x:v>Test endpoints are not economic DR</x:v>
      </x:c>
    </x:row>
    <x:row r="11" ht="75.5999984741211" hidden="0" customHeight="1">
      <x:c r="A11" s="13" t="str">
        <x:v>Legacy research</x:v>
      </x:c>
      <x:c r="B11" s="22" t="str">
        <x:v>audited and rejected for calibration</x:v>
      </x:c>
      <x:c r="C11" s="13" t="str">
        <x:v>Retained only for scope, mechanisms, source leads and research gaps</x:v>
      </x:c>
      <x:c r="D11" s="13" t="str">
        <x:v>Site_Adapter</x:v>
      </x:c>
      <x:c r="E11" s="13" t="str">
        <x:v>Site fields and double-count rules</x:v>
      </x:c>
      <x:c r="F11" s="13" t="str">
        <x:v>Input contract only</x:v>
      </x:c>
      <x:c r="G11" s="13" t="str">
        <x:v>Validated local attack bridge</x:v>
      </x:c>
      <x:c r="H11" s="13" t="str">
        <x:v>No generic wall/fence/firebreak percentage credit</x:v>
      </x:c>
    </x:row>
    <x:row r="12" ht="64.80000305175781" hidden="0" customHeight="1">
      <x:c r="A12" s="13" t="str">
        <x:v>Financial basis</x:v>
      </x:c>
      <x:c r="B12" s="13" t="str">
        <x:v>direct replacement-cost ratio of same failure unit proposed</x:v>
      </x:c>
      <x:c r="C12" s="13" t="str">
        <x:v>Split mixed civil row 14; allocate support rows 12, 13 and 15 once</x:v>
      </x:c>
      <x:c r="D12" s="13" t="str">
        <x:v>Pressure_Test</x:v>
      </x:c>
      <x:c r="E12" s="13" t="str">
        <x:v>Withdrawn DR and denominator sensitivity</x:v>
      </x:c>
      <x:c r="F12" s="13" t="str">
        <x:v>Audit only</x:v>
      </x:c>
      <x:c r="G12" s="13" t="str">
        <x:v>Claims-backed cost rule</x:v>
      </x:c>
      <x:c r="H12" s="13" t="str">
        <x:v>Never curve pure support costs independently</x:v>
      </x:c>
    </x:row>
    <x:row r="13" ht="75.5999984741211" hidden="0" customHeight="1">
      <x:c r="A13" s="13" t="str">
        <x:v>Evidence governance</x:v>
      </x:c>
      <x:c r="B13" s="13" t="str">
        <x:v>claim/source/tier registers complete</x:v>
      </x:c>
      <x:c r="C13" s="13" t="str">
        <x:v>Every retained claim is bounded by locator and prohibited inference</x:v>
      </x:c>
      <x:c r="D13" s="13" t="str">
        <x:v>Legacy_Audit</x:v>
      </x:c>
      <x:c r="E13" s="13" t="str">
        <x:v>Reproducible numerical rejection tests</x:v>
      </x:c>
      <x:c r="F13" s="13" t="str">
        <x:v>Validation only</x:v>
      </x:c>
      <x:c r="G13" s="13" t="str">
        <x:v>Independent calibration</x:v>
      </x:c>
      <x:c r="H13" s="13" t="str">
        <x:v>Do not soften rejected numbers and call them conservative</x:v>
      </x:c>
    </x:row>
    <x:row r="14" ht="43.20000076293945" hidden="0" customHeight="1">
      <x:c r="A14" s="13" t="str">
        <x:v>Capability</x:v>
      </x:c>
      <x:c r="B14" s="20" t="str">
        <x:v>all loss metrics withheld</x:v>
      </x:c>
      <x:c r="C14" s="13" t="str">
        <x:v>Fail-closed reason: NO_RUNTIME_CURVE</x:v>
      </x:c>
      <x:c r="D14" s="13" t="str">
        <x:v>Claim_Register</x:v>
      </x:c>
      <x:c r="E14" s="13" t="str">
        <x:v>Row-level claim provenance</x:v>
      </x:c>
      <x:c r="F14" s="13" t="str">
        <x:v>None</x:v>
      </x:c>
      <x:c r="G14" s="13" t="str">
        <x:v>Promotion evidence</x:v>
      </x:c>
      <x:c r="H14" s="13" t="str">
        <x:v>No numeric DR or loss response</x:v>
      </x:c>
    </x:row>
    <x:row r="15" ht="54" hidden="0" customHeight="1">
      <x:c r="A15" s="13" t="str">
        <x:v>Workbook integrity</x:v>
      </x:c>
      <x:c r="B15" s="13" t="str">
        <x:v>formula-driven checks</x:v>
      </x:c>
      <x:c r="C15" s="13" t="str">
        <x:v>A structural PASS does not imply scientific calibration</x:v>
      </x:c>
      <x:c r="D15" s="13" t="str">
        <x:v>Source_Register</x:v>
      </x:c>
      <x:c r="E15" s="13" t="str">
        <x:v>Full citations, URLs, roles and status</x:v>
      </x:c>
      <x:c r="F15" s="13" t="str">
        <x:v>Evidence only</x:v>
      </x:c>
      <x:c r="G15" s="13" t="str">
        <x:v>Source update review</x:v>
      </x:c>
      <x:c r="H15" s="13" t="str">
        <x:v>No orphan source identifiers</x:v>
      </x:c>
    </x:row>
    <x:row r="16" ht="54" hidden="0" customHeight="1">
      <x:c r="A16" s="13" t="str">
        <x:v>Parameter governance</x:v>
      </x:c>
      <x:c r="B16" s="13" t="str">
        <x:v>canonical tier enums</x:v>
      </x:c>
      <x:c r="C16" s="13" t="str">
        <x:v>T1–T4 describe evidence role, not optimism</x:v>
      </x:c>
      <x:c r="D16" s="13" t="str">
        <x:v>Parameter_Tiers</x:v>
      </x:c>
      <x:c r="E16" s="13" t="str">
        <x:v>Rule-by-rule evidence tiers</x:v>
      </x:c>
      <x:c r="F16" s="13" t="str">
        <x:v>Input/guardrail only</x:v>
      </x:c>
      <x:c r="G16" s="13" t="str">
        <x:v>Tier-specific update trigger</x:v>
      </x:c>
      <x:c r="H16" s="13" t="str">
        <x:v>T4 never silently becomes a runtime coefficient</x:v>
      </x:c>
    </x:row>
    <x:row r="17" ht="64.80000305175781" hidden="0" customHeight="1">
      <x:c r="A17" s="13" t="str">
        <x:v>Final disposition</x:v>
      </x:c>
      <x:c r="B17" s="20" t="str">
        <x:v>STRUCTURAL PASS / SCIENTIFIC CURVE WITHHELD</x:v>
      </x:c>
      <x:c r="C17" s="13" t="str">
        <x:v>Site and exposure architecture are ready for calibration data</x:v>
      </x:c>
      <x:c r="D17" s="13" t="str">
        <x:v>QA_Checks</x:v>
      </x:c>
      <x:c r="E17" s="13" t="str">
        <x:v>Formula, count and withholding checks</x:v>
      </x:c>
      <x:c r="F17" s="13" t="str">
        <x:v>None</x:v>
      </x:c>
      <x:c r="G17" s="13" t="str">
        <x:v>All promotion gates</x:v>
      </x:c>
      <x:c r="H17" s="13" t="str">
        <x:v>Absence of a curve is the correct output</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32" hidden="0" customWidth="1"/>
    <x:col min="4" max="4" width="31" hidden="0" customWidth="1"/>
    <x:col min="5" max="5" width="34" hidden="0" customWidth="1"/>
    <x:col min="6" max="6" width="34" hidden="0" customWidth="1"/>
    <x:col min="7" max="7" width="31" hidden="0" customWidth="1"/>
    <x:col min="8" max="8" width="35" hidden="0" customWidth="1"/>
  </x:cols>
  <x:sheetData>
    <x:row r="1" ht="28" customHeight="1">
      <x:c r="A1" s="5" t="str">
        <x:v>Seven-step governance audit</x:v>
      </x:c>
      <x:c r="B1" s="5"/>
      <x:c r="C1" s="5"/>
      <x:c r="D1" s="5"/>
      <x:c r="E1" s="5"/>
      <x:c r="F1" s="5"/>
      <x:c r="G1" s="5"/>
      <x:c r="H1" s="5"/>
    </x:row>
    <x:row r="2" ht="28" customHeight="1">
      <x:c r="A2" s="5"/>
      <x:c r="B2" s="5"/>
      <x:c r="C2" s="5"/>
      <x:c r="D2" s="5"/>
      <x:c r="E2" s="5"/>
      <x:c r="F2" s="5"/>
      <x:c r="G2" s="5"/>
      <x:c r="H2" s="5"/>
    </x:row>
    <x:row r="3" ht="34" customHeight="1">
      <x:c r="A3" s="9" t="str">
        <x:v>Future loss assembly: Σ failure-unit/zone value × at-risk fraction × burned fraction × attack fraction given burning × conditional direct replacement-cost DR. No factor silently defaults to one.</x:v>
      </x:c>
      <x:c r="B3" s="9"/>
      <x:c r="C3" s="9"/>
      <x:c r="D3" s="9"/>
      <x:c r="E3" s="9"/>
      <x:c r="F3" s="9"/>
      <x:c r="G3" s="9"/>
      <x:c r="H3" s="9"/>
    </x:row>
    <x:row r="5" ht="32" customHeight="1">
      <x:c r="A5" s="18" t="str">
        <x:v>Step</x:v>
      </x:c>
      <x:c r="B5" s="18" t="str">
        <x:v>Question</x:v>
      </x:c>
      <x:c r="C5" s="18" t="str">
        <x:v>Evidence / lineage</x:v>
      </x:c>
      <x:c r="D5" s="18" t="str">
        <x:v>Current status</x:v>
      </x:c>
      <x:c r="E5" s="18" t="str">
        <x:v>What passed</x:v>
      </x:c>
      <x:c r="F5" s="18" t="str">
        <x:v>What remains</x:v>
      </x:c>
      <x:c r="G5" s="18" t="str">
        <x:v>Fail-closed rule</x:v>
      </x:c>
      <x:c r="H5" s="18" t="str">
        <x:v>Overestimation check</x:v>
      </x:c>
    </x:row>
    <x:row r="6" ht="64.80000305175781" hidden="0" customHeight="1">
      <x:c r="A6" s="13" t="n">
        <x:v>1</x:v>
      </x:c>
      <x:c r="B6" s="13" t="str">
        <x:v>Define asset</x:v>
      </x:c>
      <x:c r="C6" s="13" t="str">
        <x:v>NLR Q1-2025 benchmark + governed solar value workbook</x:v>
      </x:c>
      <x:c r="D6" s="24" t="str">
        <x:v>PASS_VALUE_ARCHETYPE_ONLY</x:v>
      </x:c>
      <x:c r="E6" s="13" t="str">
        <x:v>100 MWdc tracker/central-inverter reference archetype is explicit</x:v>
      </x:c>
      <x:c r="F6" s="13" t="str">
        <x:v>Site capacity, topology, age, BOM and appraisal</x:v>
      </x:c>
      <x:c r="G6" s="13" t="str">
        <x:v>Reference cannot emit site loss</x:v>
      </x:c>
      <x:c r="H6" s="13" t="str">
        <x:v>Generic value is never assumed site value</x:v>
      </x:c>
    </x:row>
    <x:row r="7" ht="108" hidden="0" customHeight="1">
      <x:c r="A7" s="13" t="n">
        <x:v>2</x:v>
      </x:c>
      <x:c r="B7" s="13" t="str">
        <x:v>Decompose asset</x:v>
      </x:c>
      <x:c r="C7" s="13" t="str">
        <x:v>VALUE_CROSSWALK + NREL O&amp;M + DOE FEMP</x:v>
      </x:c>
      <x:c r="D7" s="20" t="str">
        <x:v>PARTIAL_COVERAGE_UNRECONCILED</x:v>
      </x:c>
      <x:c r="E7" s="13" t="str">
        <x:v>Candidate module, cable, combiner, inverter/control, MV, racking, foundation and civil units</x:v>
      </x:c>
      <x:c r="F7" s="13" t="str">
        <x:v>Transformer/switchgear, cable routing, module/J-box/frame and support-cost splits</x:v>
      </x:c>
      <x:c r="G7" s="13" t="str">
        <x:v>Pooled unlike value withholds loss</x:v>
      </x:c>
      <x:c r="H7" s="13" t="str">
        <x:v>One exposed specimen cannot reach protected/buried value</x:v>
      </x:c>
    </x:row>
    <x:row r="8" ht="75.5999984741211" hidden="0" customHeight="1">
      <x:c r="A8" s="13" t="n">
        <x:v>3</x:v>
      </x:c>
      <x:c r="B8" s="13" t="str">
        <x:v>Choose financial basis</x:v>
      </x:c>
      <x:c r="C8" s="13" t="str">
        <x:v>Asset_Value + governance contract</x:v>
      </x:c>
      <x:c r="D8" s="24" t="str">
        <x:v>PASS_REFERENCE_BASIS_Y_AXIS_PROPOSED</x:v>
      </x:c>
      <x:c r="E8" s="13" t="str">
        <x:v>Proposed y-axis is direct replacement-cost ratio of the same failure unit</x:v>
      </x:c>
      <x:c r="F8" s="13" t="str">
        <x:v>Claims-backed repair/replacement and support-cost allocation</x:v>
      </x:c>
      <x:c r="G8" s="13" t="str">
        <x:v>No whole-plant insured-loss ordinate</x:v>
      </x:c>
      <x:c r="H8" s="13" t="str">
        <x:v>Support costs excluded from DR denominator</x:v>
      </x:c>
    </x:row>
    <x:row r="9" ht="86.4000015258789" hidden="0" customHeight="1">
      <x:c r="A9" s="13" t="n">
        <x:v>4</x:v>
      </x:c>
      <x:c r="B9" s="13" t="str">
        <x:v>Split value basis</x:v>
      </x:c>
      <x:c r="C9" s="13" t="str">
        <x:v>Solar_Map rows 2:17 + VALUE_CROSSWALK</x:v>
      </x:c>
      <x:c r="D9" s="20" t="str">
        <x:v>PARTIAL_ROW_GROUPS_ONLY</x:v>
      </x:c>
      <x:c r="E9" s="13" t="str">
        <x:v>Installed = physical + excluded; direct hardware and mixed row 14 are explicit</x:v>
      </x:c>
      <x:c r="F9" s="13" t="str">
        <x:v>Site/BOM failure-unit and exposed/protected allocation</x:v>
      </x:c>
      <x:c r="G9" s="13" t="str">
        <x:v>Rows 12, 13 and 15 receive no curve; row 14 must split first</x:v>
      </x:c>
      <x:c r="H9" s="13" t="str">
        <x:v>Eligible direct civil units are not discarded as support</x:v>
      </x:c>
    </x:row>
    <x:row r="10" ht="75.5999984741211" hidden="0" customHeight="1">
      <x:c r="A10" s="13" t="n">
        <x:v>5</x:v>
      </x:c>
      <x:c r="B10" s="13" t="str">
        <x:v>Allocate at-risk value</x:v>
      </x:c>
      <x:c r="C10" s="13" t="str">
        <x:v>Site inventory contract</x:v>
      </x:c>
      <x:c r="D10" s="20" t="str">
        <x:v>PARTIAL_FAIL_CLOSED</x:v>
      </x:c>
      <x:c r="E10" s="13" t="str">
        <x:v>Required fields and allocation seams are specified</x:v>
      </x:c>
      <x:c r="F10" s="13" t="str">
        <x:v>As-built component-zone quantities and protected/buried shares</x:v>
      </x:c>
      <x:c r="G10" s="13" t="str">
        <x:v>Unknown load-bearing allocation withholds loss</x:v>
      </x:c>
      <x:c r="H10" s="13" t="str">
        <x:v>At-risk fraction never defaults to 1</x:v>
      </x:c>
    </x:row>
    <x:row r="11" ht="97.19999694824219" hidden="0" customHeight="1">
      <x:c r="A11" s="13" t="n">
        <x:v>6</x:v>
      </x:c>
      <x:c r="B11" s="13" t="str">
        <x:v>Resolve site exposure</x:v>
      </x:c>
      <x:c r="C11" s="13" t="str">
        <x:v>FSim + NIST + DOE + ESV + NSW RFS + component tests</x:v>
      </x:c>
      <x:c r="D11" s="20" t="str">
        <x:v>SPECIFIED_NOT_PARAMETERIZED</x:v>
      </x:c>
      <x:c r="E11" s="13" t="str">
        <x:v>Selector/conditioner/exposure roles and double-count rules are explicit</x:v>
      </x:c>
      <x:c r="F11" s="13" t="str">
        <x:v>Validated FIL/event→zone flux/contact/duration bridge and separate ember pathway</x:v>
      </x:c>
      <x:c r="G11" s="13" t="str">
        <x:v>No generic control credit</x:v>
      </x:c>
      <x:c r="H11" s="13" t="str">
        <x:v>Fence/wall/access fields cannot directly scale DR</x:v>
      </x:c>
    </x:row>
    <x:row r="12" ht="86.4000015258789" hidden="0" customHeight="1">
      <x:c r="A12" s="13" t="n">
        <x:v>7</x:v>
      </x:c>
      <x:c r="B12" s="13" t="str">
        <x:v>Apply curves and aggregate</x:v>
      </x:c>
      <x:c r="C12" s="13" t="str">
        <x:v>Pressure_Test + capability + known-answer tests</x:v>
      </x:c>
      <x:c r="D12" s="20" t="str">
        <x:v>WITHHELD_NO_RUNTIME_CURVE</x:v>
      </x:c>
      <x:c r="E12" s="13" t="str">
        <x:v>Unsupported ordinates were removed and tests require withholding</x:v>
      </x:c>
      <x:c r="F12" s="13" t="str">
        <x:v>Paired exposure/damage/economic data, uncertainty and independent validation</x:v>
      </x:c>
      <x:c r="G12" s="13" t="str">
        <x:v>Emit no DR/loss/EAL/tail metric</x:v>
      </x:c>
      <x:c r="H12" s="13" t="str">
        <x:v>Do not lower rejected values and relabel conservative</x:v>
      </x:c>
    </x:row>
  </x:sheetData>
  <x:mergeCells>
    <x:mergeCell ref="A1:H2"/>
    <x:mergeCell ref="A3:H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22" hidden="0" customWidth="1"/>
    <x:col min="4" max="4" width="34" hidden="0" customWidth="1"/>
    <x:col min="5" max="5" width="29" hidden="0" customWidth="1"/>
    <x:col min="6" max="6" width="18" hidden="0" customWidth="1"/>
    <x:col min="7" max="7" width="37" hidden="0" customWidth="1"/>
  </x:cols>
  <x:sheetData>
    <x:row r="1" ht="28" customHeight="1">
      <x:c r="A1" s="5" t="str">
        <x:v>Asset definition and value reconciliation</x:v>
      </x:c>
      <x:c r="B1" s="5"/>
      <x:c r="C1" s="5"/>
      <x:c r="D1" s="5"/>
      <x:c r="E1" s="5"/>
      <x:c r="F1" s="5"/>
      <x:c r="G1" s="5"/>
    </x:row>
    <x:row r="2" ht="28" customHeight="1">
      <x:c r="A2" s="5"/>
      <x:c r="B2" s="5"/>
      <x:c r="C2" s="5"/>
      <x:c r="D2" s="5"/>
      <x:c r="E2" s="5"/>
      <x:c r="F2" s="5"/>
      <x:c r="G2" s="5"/>
    </x:row>
    <x:row r="3" ht="34" customHeight="1">
      <x:c r="A3" s="9" t="str">
        <x:v>Generic 100 MWdc tracker / central-inverter reference archetype in 2024 USD. It is a denominator cross-check, not a site appraisal or vulnerability selector.</x:v>
      </x:c>
      <x:c r="B3" s="9"/>
      <x:c r="C3" s="9"/>
      <x:c r="D3" s="9"/>
      <x:c r="E3" s="9"/>
      <x:c r="F3" s="9"/>
      <x:c r="G3" s="9"/>
    </x:row>
    <x:row r="5" ht="32" customHeight="1">
      <x:c r="A5" s="18" t="str">
        <x:v>Metric</x:v>
      </x:c>
      <x:c r="B5" s="18" t="str">
        <x:v>USD/kWdc</x:v>
      </x:c>
      <x:c r="C5" s="18" t="str">
        <x:v>100 MWdc USD</x:v>
      </x:c>
      <x:c r="D5" s="18" t="str">
        <x:v>Exact lineage</x:v>
      </x:c>
      <x:c r="E5" s="18" t="str">
        <x:v>Runtime treatment</x:v>
      </x:c>
      <x:c r="F5" s="18" t="str">
        <x:v>Site override</x:v>
      </x:c>
      <x:c r="G5" s="18" t="str">
        <x:v>Guardrail</x:v>
      </x:c>
    </x:row>
    <x:row r="6" ht="43.20000076293945" hidden="0" customHeight="1">
      <x:c r="A6" s="13" t="str">
        <x:v>Installed basis</x:v>
      </x:c>
      <x:c r="B6" s="25" t="n">
        <x:v>1120</x:v>
      </x:c>
      <x:c r="C6" s="25" t="n">
        <x:f>B6*100000</x:f>
        <x:v>112000000</x:v>
      </x:c>
      <x:c r="D6" s="13" t="str">
        <x:v>value workbook Inputs!B6; Summary!B5</x:v>
      </x:c>
      <x:c r="E6" s="13" t="str">
        <x:v>reconciliation only</x:v>
      </x:c>
      <x:c r="F6" s="13" t="str">
        <x:v>required</x:v>
      </x:c>
      <x:c r="G6" s="13" t="str">
        <x:v>Includes excluded/nonphysical rows</x:v>
      </x:c>
    </x:row>
    <x:row r="7" ht="32.400001525878906" hidden="0" customHeight="1">
      <x:c r="A7" s="13" t="str">
        <x:v>Physical replaceable basis</x:v>
      </x:c>
      <x:c r="B7" s="25" t="n">
        <x:v>877.7957023626668</x:v>
      </x:c>
      <x:c r="C7" s="25" t="n">
        <x:f>B7*100000</x:f>
        <x:v>87779570.23626669</x:v>
      </x:c>
      <x:c r="D7" s="13" t="str">
        <x:v>Inputs!B7; Summary!B6</x:v>
      </x:c>
      <x:c r="E7" s="13" t="str">
        <x:v>reference denominator only</x:v>
      </x:c>
      <x:c r="F7" s="13" t="str">
        <x:v>required</x:v>
      </x:c>
      <x:c r="G7" s="13" t="str">
        <x:v>Not automatically exposed</x:v>
      </x:c>
    </x:row>
    <x:row r="8" ht="32.400001525878906" hidden="0" customHeight="1">
      <x:c r="A8" s="13" t="str">
        <x:v>Excluded soft/sunk/nonphysical</x:v>
      </x:c>
      <x:c r="B8" s="25" t="n">
        <x:v>242.20429763733296</x:v>
      </x:c>
      <x:c r="C8" s="25" t="n">
        <x:f>B8*100000</x:f>
        <x:v>24220429.763733294</x:v>
      </x:c>
      <x:c r="D8" s="13" t="str">
        <x:v>Inputs!B8; Summary!B7</x:v>
      </x:c>
      <x:c r="E8" s="13" t="str">
        <x:v>excluded</x:v>
      </x:c>
      <x:c r="F8" s="13" t="str">
        <x:v>not applicable</x:v>
      </x:c>
      <x:c r="G8" s="13" t="str">
        <x:v>Never reintroduce</x:v>
      </x:c>
    </x:row>
    <x:row r="9" ht="32.400001525878906" hidden="0" customHeight="1">
      <x:c r="A9" s="13" t="str">
        <x:v>Reconciled installed basis</x:v>
      </x:c>
      <x:c r="B9" s="25" t="n">
        <x:f>B7+B8</x:f>
        <x:v>1119.9999999999998</x:v>
      </x:c>
      <x:c r="C9" s="25" t="n">
        <x:f>B9*100000</x:f>
        <x:v>111999999.99999997</x:v>
      </x:c>
      <x:c r="D9" s="13" t="str">
        <x:v>physical + excluded</x:v>
      </x:c>
      <x:c r="E9" s="13" t="str">
        <x:v>QA</x:v>
      </x:c>
      <x:c r="F9" s="13" t="str">
        <x:v>not applicable</x:v>
      </x:c>
      <x:c r="G9" s="13" t="str">
        <x:v>Must equal installed</x:v>
      </x:c>
    </x:row>
    <x:row r="10" ht="32.400001525878906" hidden="0" customHeight="1">
      <x:c r="A10" s="13" t="str">
        <x:v>Direct hardware rows 2:10</x:v>
      </x:c>
      <x:c r="B10" s="25" t="n">
        <x:v>656.9814571503722</x:v>
      </x:c>
      <x:c r="C10" s="25" t="n">
        <x:f>B10*100000</x:f>
        <x:v>65698145.71503722</x:v>
      </x:c>
      <x:c r="D10" s="13" t="str">
        <x:v>Solar_Map!2:10</x:v>
      </x:c>
      <x:c r="E10" s="13" t="str">
        <x:v>component allocation required</x:v>
      </x:c>
      <x:c r="F10" s="13" t="str">
        <x:v>required</x:v>
      </x:c>
      <x:c r="G10" s="13" t="str">
        <x:v>No pooled DR</x:v>
      </x:c>
    </x:row>
    <x:row r="11" ht="64.80000305175781" hidden="0" customHeight="1">
      <x:c r="A11" s="13" t="str">
        <x:v>Mixed civil/replacement/support rows 12:15</x:v>
      </x:c>
      <x:c r="B11" s="25" t="n">
        <x:v>220.81424521229468</x:v>
      </x:c>
      <x:c r="C11" s="25" t="n">
        <x:f>B11*100000</x:f>
        <x:v>22081424.52122947</x:v>
      </x:c>
      <x:c r="D11" s="13" t="str">
        <x:v>Solar_Map!12:15</x:v>
      </x:c>
      <x:c r="E11" s="13" t="str">
        <x:v>split row 14; allocate rows 12, 13 and 15 once</x:v>
      </x:c>
      <x:c r="F11" s="13" t="str">
        <x:v>required</x:v>
      </x:c>
      <x:c r="G11" s="13" t="str">
        <x:v>Eligible row-14 civil units may need separate models</x:v>
      </x:c>
    </x:row>
    <x:row r="12" ht="32.400001525878906" hidden="0" customHeight="1">
      <x:c r="A12" s="13" t="str">
        <x:v>Reconciled physical basis</x:v>
      </x:c>
      <x:c r="B12" s="25" t="n">
        <x:f>B10+B11</x:f>
        <x:v>877.7957023626668</x:v>
      </x:c>
      <x:c r="C12" s="25" t="n">
        <x:f>B12*100000</x:f>
        <x:v>87779570.23626669</x:v>
      </x:c>
      <x:c r="D12" s="13" t="str">
        <x:v>direct hardware + rows 12:15</x:v>
      </x:c>
      <x:c r="E12" s="13" t="str">
        <x:v>QA</x:v>
      </x:c>
      <x:c r="F12" s="13" t="str">
        <x:v>not applicable</x:v>
      </x:c>
      <x:c r="G12" s="13" t="str">
        <x:v>Must equal physical</x:v>
      </x:c>
    </x:row>
  </x:sheetData>
  <x:mergeCells>
    <x:mergeCell ref="A1:G2"/>
    <x:mergeCell ref="A3:G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25" hidden="0" customWidth="1"/>
    <x:col min="3" max="3" width="26" hidden="0" customWidth="1"/>
    <x:col min="4" max="4" width="36" hidden="0" customWidth="1"/>
    <x:col min="5" max="5" width="17" hidden="0" customWidth="1"/>
    <x:col min="6" max="6" width="22" hidden="0" customWidth="1"/>
    <x:col min="7" max="7" width="24" hidden="0" customWidth="1"/>
    <x:col min="8" max="8" width="39" hidden="0" customWidth="1"/>
    <x:col min="9" max="9" width="22" hidden="0" customWidth="1"/>
    <x:col min="10" max="10" width="22" hidden="0" customWidth="1"/>
    <x:col min="11" max="11" width="47" hidden="0" customWidth="1"/>
  </x:cols>
  <x:sheetData>
    <x:row r="1" ht="28" customHeight="1">
      <x:c r="A1" s="5" t="str">
        <x:v>Row-level value crosswalk</x:v>
      </x:c>
      <x:c r="B1" s="5"/>
      <x:c r="C1" s="5"/>
      <x:c r="D1" s="5"/>
      <x:c r="E1" s="5"/>
      <x:c r="F1" s="5"/>
      <x:c r="G1" s="5"/>
      <x:c r="H1" s="5"/>
      <x:c r="I1" s="5"/>
      <x:c r="J1" s="5"/>
      <x:c r="K1" s="5"/>
    </x:row>
    <x:row r="2" ht="28" customHeight="1">
      <x:c r="A2" s="5"/>
      <x:c r="B2" s="5"/>
      <x:c r="C2" s="5"/>
      <x:c r="D2" s="5"/>
      <x:c r="E2" s="5"/>
      <x:c r="F2" s="5"/>
      <x:c r="G2" s="5"/>
      <x:c r="H2" s="5"/>
      <x:c r="I2" s="5"/>
      <x:c r="J2" s="5"/>
      <x:c r="K2" s="5"/>
    </x:row>
    <x:row r="3" ht="34" customHeight="1">
      <x:c r="A3" s="9" t="str">
        <x:v>Every source cost row is classified before wildfire allocation. Rows 12, 13 and 15 are support allocations with no curve; mixed civil row 14 must split eligible direct failure units from pathway/support treatment.</x:v>
      </x:c>
      <x:c r="B3" s="9"/>
      <x:c r="C3" s="9"/>
      <x:c r="D3" s="9"/>
      <x:c r="E3" s="9"/>
      <x:c r="F3" s="9"/>
      <x:c r="G3" s="9"/>
      <x:c r="H3" s="9"/>
      <x:c r="I3" s="9"/>
      <x:c r="J3" s="9"/>
      <x:c r="K3" s="9"/>
    </x:row>
    <x:row r="5" ht="32" customHeight="1">
      <x:c r="A5" s="18" t="str">
        <x:v>source_row</x:v>
      </x:c>
      <x:c r="B5" s="18" t="str">
        <x:v>subsystem</x:v>
      </x:c>
      <x:c r="C5" s="18" t="str">
        <x:v>component</x:v>
      </x:c>
      <x:c r="D5" s="18" t="str">
        <x:v>source_cost_item</x:v>
      </x:c>
      <x:c r="E5" s="18" t="str">
        <x:v>physical_usd_per_kwdc</x:v>
      </x:c>
      <x:c r="F5" s="18" t="str">
        <x:v>reference_value_100_mwdc_usd</x:v>
      </x:c>
      <x:c r="G5" s="18" t="str">
        <x:v>value_class</x:v>
      </x:c>
      <x:c r="H5" s="18" t="str">
        <x:v>failure_unit_or_treatment</x:v>
      </x:c>
      <x:c r="I5" s="18" t="str">
        <x:v>at_risk_status</x:v>
      </x:c>
      <x:c r="J5" s="18" t="str">
        <x:v>exposure_status</x:v>
      </x:c>
      <x:c r="K5" s="18" t="str">
        <x:v>guardrail</x:v>
      </x:c>
    </x:row>
    <x:row r="6" ht="48" hidden="0" customHeight="1">
      <x:c r="A6" s="29" t="str">
        <x:v>Solar_Map!2</x:v>
      </x:c>
      <x:c r="B6" s="29" t="str">
        <x:v>PV_ARRAY</x:v>
      </x:c>
      <x:c r="C6" s="29" t="str">
        <x:v>PV_MODULE</x:v>
      </x:c>
      <x:c r="D6" s="29" t="str">
        <x:v>Module hardware + manufacturing allocation</x:v>
      </x:c>
      <x:c r="E6" s="31" t="n">
        <x:v>291.21485143992487</x:v>
      </x:c>
      <x:c r="F6" s="31" t="n">
        <x:v>29121485.143992487</x:v>
      </x:c>
      <x:c r="G6" s="29" t="str">
        <x:v>direct_hardware</x:v>
      </x:c>
      <x:c r="H6" s="29" t="str">
        <x:v>WS_MODULE_THERMAL; open J-box/frame/lead sub-split</x:v>
      </x:c>
      <x:c r="I6" s="29" t="str">
        <x:v>site/BOM required</x:v>
      </x:c>
      <x:c r="J6" s="29" t="str">
        <x:v>zone required</x:v>
      </x:c>
      <x:c r="K6" s="29" t="str">
        <x:v>No whole-module population DR from a material specimen.</x:v>
      </x:c>
    </x:row>
    <x:row r="7" ht="76.80000305175781" hidden="0" customHeight="1">
      <x:c r="A7" s="29" t="str">
        <x:v>Solar_Map!3</x:v>
      </x:c>
      <x:c r="B7" s="29" t="str">
        <x:v>MOUNTING</x:v>
      </x:c>
      <x:c r="C7" s="29" t="str">
        <x:v>TRACKER + RACKING_STRUCTURE</x:v>
      </x:c>
      <x:c r="D7" s="29" t="str">
        <x:v>Tracker/racking hardware</x:v>
      </x:c>
      <x:c r="E7" s="31" t="n">
        <x:v>109.98972602739727</x:v>
      </x:c>
      <x:c r="F7" s="31" t="n">
        <x:v>10998972.602739727</x:v>
      </x:c>
      <x:c r="G7" s="29" t="str">
        <x:v>direct_hardware</x:v>
      </x:c>
      <x:c r="H7" s="29" t="str">
        <x:v>WS_RACKING_THERMAL; tracker-drive split required</x:v>
      </x:c>
      <x:c r="I7" s="29" t="str">
        <x:v>material/member/load required</x:v>
      </x:c>
      <x:c r="J7" s="29" t="str">
        <x:v>zone required</x:v>
      </x:c>
      <x:c r="K7" s="29" t="str">
        <x:v>Steel and aluminum cannot share one thermal response without a selector/model.</x:v>
      </x:c>
    </x:row>
    <x:row r="8" ht="67.19999694824219" hidden="0" customHeight="1">
      <x:c r="A8" s="29" t="str">
        <x:v>Solar_Map!4</x:v>
      </x:c>
      <x:c r="B8" s="29" t="str">
        <x:v>FOUNDATION</x:v>
      </x:c>
      <x:c r="C8" s="29" t="str">
        <x:v>FOUNDATION_BASE</x:v>
      </x:c>
      <x:c r="D8" s="29" t="str">
        <x:v>Driven piers + inverter pad</x:v>
      </x:c>
      <x:c r="E8" s="31" t="n">
        <x:v>31.12448715327472</x:v>
      </x:c>
      <x:c r="F8" s="31" t="n">
        <x:v>3112448.715327472</x:v>
      </x:c>
      <x:c r="G8" s="29" t="str">
        <x:v>direct_hardware</x:v>
      </x:c>
      <x:c r="H8" s="29" t="str">
        <x:v>WS_FOUNDATION_REVIEW</x:v>
      </x:c>
      <x:c r="I8" s="29" t="str">
        <x:v>exception state required</x:v>
      </x:c>
      <x:c r="J8" s="29" t="str">
        <x:v>zone required</x:v>
      </x:c>
      <x:c r="K8" s="29" t="str">
        <x:v>No assumed zero or nonzero curve without prolonged/contact exposure review.</x:v>
      </x:c>
    </x:row>
    <x:row r="9" ht="28.799999237060547" hidden="0" customHeight="1">
      <x:c r="A9" s="29" t="str">
        <x:v>Solar_Map!5</x:v>
      </x:c>
      <x:c r="B9" s="29" t="str">
        <x:v>INVERTER_SYSTEM</x:v>
      </x:c>
      <x:c r="C9" s="29" t="str">
        <x:v>INVERTER</x:v>
      </x:c>
      <x:c r="D9" s="29" t="str">
        <x:v>Central inverter hardware</x:v>
      </x:c>
      <x:c r="E9" s="31" t="n">
        <x:v>32.306366410372384</x:v>
      </x:c>
      <x:c r="F9" s="31" t="n">
        <x:v>3230636.6410372383</x:v>
      </x:c>
      <x:c r="G9" s="29" t="str">
        <x:v>direct_hardware</x:v>
      </x:c>
      <x:c r="H9" s="29" t="str">
        <x:v>WS_INVERTER_CONTROL_DIRECT</x:v>
      </x:c>
      <x:c r="I9" s="29" t="str">
        <x:v>enclosure/configuration required</x:v>
      </x:c>
      <x:c r="J9" s="29" t="str">
        <x:v>zone required</x:v>
      </x:c>
      <x:c r="K9" s="29" t="str">
        <x:v>Ingress/IP rating is not fire resistance.</x:v>
      </x:c>
    </x:row>
    <x:row r="10" ht="38.400001525878906" hidden="0" customHeight="1">
      <x:c r="A10" s="29" t="str">
        <x:v>Solar_Map!6</x:v>
      </x:c>
      <x:c r="B10" s="29" t="str">
        <x:v>INVERTER_SYSTEM</x:v>
      </x:c>
      <x:c r="C10" s="29" t="str">
        <x:v>COMBINER_BOX</x:v>
      </x:c>
      <x:c r="D10" s="29" t="str">
        <x:v>Combiner boxes</x:v>
      </x:c>
      <x:c r="E10" s="31" t="n">
        <x:v>6.82625</x:v>
      </x:c>
      <x:c r="F10" s="31" t="n">
        <x:v>682625</x:v>
      </x:c>
      <x:c r="G10" s="29" t="str">
        <x:v>direct_hardware</x:v>
      </x:c>
      <x:c r="H10" s="29" t="str">
        <x:v>WS_COMBINER_CONNECTOR</x:v>
      </x:c>
      <x:c r="I10" s="29" t="str">
        <x:v>enclosure/J-box split required</x:v>
      </x:c>
      <x:c r="J10" s="29" t="str">
        <x:v>zone required</x:v>
      </x:c>
      <x:c r="K10" s="29" t="str">
        <x:v>Do not pool with cables or inverter response.</x:v>
      </x:c>
    </x:row>
    <x:row r="11" ht="57.599998474121094" hidden="0" customHeight="1">
      <x:c r="A11" s="29" t="str">
        <x:v>Solar_Map!7</x:v>
      </x:c>
      <x:c r="B11" s="29" t="str">
        <x:v>ELECTRICAL_COLLECTION</x:v>
      </x:c>
      <x:c r="C11" s="29" t="str">
        <x:v>CABLE_AC + CABLE_DC</x:v>
      </x:c>
      <x:c r="D11" s="29" t="str">
        <x:v>Conductors + project electrical line + shipping</x:v>
      </x:c>
      <x:c r="E11" s="31" t="n">
        <x:v>69.3201119402985</x:v>
      </x:c>
      <x:c r="F11" s="31" t="n">
        <x:v>6932011.19402985</x:v>
      </x:c>
      <x:c r="G11" s="29" t="str">
        <x:v>direct_hardware</x:v>
      </x:c>
      <x:c r="H11" s="29" t="str">
        <x:v>WS_DC_CABLE_EXPOSED plus buried/conduit/AC/MV/termination splits</x:v>
      </x:c>
      <x:c r="I11" s="29" t="str">
        <x:v>as-built routing required</x:v>
      </x:c>
      <x:c r="J11" s="29" t="str">
        <x:v>segment/zone required</x:v>
      </x:c>
      <x:c r="K11" s="29" t="str">
        <x:v>Only exposed matching construction may use future exposed-cable response.</x:v>
      </x:c>
    </x:row>
    <x:row r="12" ht="38.400001525878906" hidden="0" customHeight="1">
      <x:c r="A12" s="29" t="str">
        <x:v>Solar_Map!8</x:v>
      </x:c>
      <x:c r="B12" s="29" t="str">
        <x:v>SUBSTATION</x:v>
      </x:c>
      <x:c r="C12" s="29" t="str">
        <x:v>TRANSFORMER_MAIN + SWITCHGEAR</x:v>
      </x:c>
      <x:c r="D12" s="29" t="str">
        <x:v>Transformer/switches/breakers/substation</x:v>
      </x:c>
      <x:c r="E12" s="31" t="n">
        <x:v>106.50466417910448</x:v>
      </x:c>
      <x:c r="F12" s="31" t="n">
        <x:v>10650466.417910447</x:v>
      </x:c>
      <x:c r="G12" s="29" t="str">
        <x:v>direct_hardware</x:v>
      </x:c>
      <x:c r="H12" s="29" t="str">
        <x:v>WS_MV_EQUIPMENT_SPLIT_REQUIRED</x:v>
      </x:c>
      <x:c r="I12" s="29" t="str">
        <x:v>fluid/equipment/enclosure split required</x:v>
      </x:c>
      <x:c r="J12" s="29" t="str">
        <x:v>zone required</x:v>
      </x:c>
      <x:c r="K12" s="29" t="str">
        <x:v>Transformer, switchgear and breaker cannot share a curve.</x:v>
      </x:c>
    </x:row>
    <x:row r="13" ht="38.400001525878906" hidden="0" customHeight="1">
      <x:c r="A13" s="29" t="str">
        <x:v>Solar_Map!9</x:v>
      </x:c>
      <x:c r="B13" s="29" t="str">
        <x:v>GROUNDING_LIGHTNING</x:v>
      </x:c>
      <x:c r="C13" s="29" t="str">
        <x:v>GROUNDING_GRID + LIGHTNING_PROTECTION</x:v>
      </x:c>
      <x:c r="D13" s="29" t="str">
        <x:v>Grounding and lightning protection</x:v>
      </x:c>
      <x:c r="E13" s="31" t="n">
        <x:v>8.385</x:v>
      </x:c>
      <x:c r="F13" s="31" t="n">
        <x:v>838500</x:v>
      </x:c>
      <x:c r="G13" s="29" t="str">
        <x:v>direct_hardware</x:v>
      </x:c>
      <x:c r="H13" s="29" t="str">
        <x:v>WS_GROUNDING_LIGHTNING_REVIEW</x:v>
      </x:c>
      <x:c r="I13" s="29" t="str">
        <x:v>construction required</x:v>
      </x:c>
      <x:c r="J13" s="29" t="str">
        <x:v>zone required</x:v>
      </x:c>
      <x:c r="K13" s="29" t="str">
        <x:v>Retain for reconciliation; no forced wildfire DR.</x:v>
      </x:c>
    </x:row>
    <x:row r="14" ht="28.799999237060547" hidden="0" customHeight="1">
      <x:c r="A14" s="29" t="str">
        <x:v>Solar_Map!10</x:v>
      </x:c>
      <x:c r="B14" s="29" t="str">
        <x:v>SCADA</x:v>
      </x:c>
      <x:c r="C14" s="29" t="str">
        <x:v>MONITORING_SYSTEM</x:v>
      </x:c>
      <x:c r="D14" s="29" t="str">
        <x:v>System monitor</x:v>
      </x:c>
      <x:c r="E14" s="31" t="n">
        <x:v>1.31</x:v>
      </x:c>
      <x:c r="F14" s="31" t="n">
        <x:v>131000</x:v>
      </x:c>
      <x:c r="G14" s="29" t="str">
        <x:v>direct_hardware</x:v>
      </x:c>
      <x:c r="H14" s="29" t="str">
        <x:v>WS_SCADA_CONTROL_DIRECT</x:v>
      </x:c>
      <x:c r="I14" s="29" t="str">
        <x:v>location/enclosure required</x:v>
      </x:c>
      <x:c r="J14" s="29" t="str">
        <x:v>zone required</x:v>
      </x:c>
      <x:c r="K14" s="29" t="str">
        <x:v>Separate from inverter and tracker drives.</x:v>
      </x:c>
    </x:row>
    <x:row r="15" ht="38.400001525878906" hidden="0" customHeight="1">
      <x:c r="A15" s="29" t="str">
        <x:v>Solar_Map!11</x:v>
      </x:c>
      <x:c r="B15" s="29" t="str">
        <x:v>ELECTRICAL_COLLECTION</x:v>
      </x:c>
      <x:c r="C15" s="29" t="str">
        <x:v>NETWORK_UPGRADE</x:v>
      </x:c>
      <x:c r="D15" s="29" t="str">
        <x:v>Grid network upgrade</x:v>
      </x:c>
      <x:c r="E15" s="31" t="n">
        <x:v>0</x:v>
      </x:c>
      <x:c r="F15" s="31" t="n">
        <x:v>0</x:v>
      </x:c>
      <x:c r="G15" s="29" t="str">
        <x:v>excluded_nonphysical</x:v>
      </x:c>
      <x:c r="H15" s="29" t="str">
        <x:v>outside cell physical base</x:v>
      </x:c>
      <x:c r="I15" s="29" t="str">
        <x:v>not applicable</x:v>
      </x:c>
      <x:c r="J15" s="29" t="str">
        <x:v>not applicable</x:v>
      </x:c>
      <x:c r="K15" s="29" t="str">
        <x:v>Never reintroduce through wildfire loss.</x:v>
      </x:c>
    </x:row>
    <x:row r="16" ht="28.799999237060547" hidden="0" customHeight="1">
      <x:c r="A16" s="29" t="str">
        <x:v>Solar_Map!12</x:v>
      </x:c>
      <x:c r="B16" s="29" t="str">
        <x:v>MOUNTING</x:v>
      </x:c>
      <x:c r="C16" s="29" t="str">
        <x:v>TRACKER + RACKING_STRUCTURE</x:v>
      </x:c>
      <x:c r="D16" s="29" t="str">
        <x:v>SBOS field labor</x:v>
      </x:c>
      <x:c r="E16" s="31" t="n">
        <x:v>43.273972602739725</x:v>
      </x:c>
      <x:c r="F16" s="31" t="n">
        <x:v>4327397.2602739725</x:v>
      </x:c>
      <x:c r="G16" s="29" t="str">
        <x:v>replacement_support_cost</x:v>
      </x:c>
      <x:c r="H16" s="29" t="str">
        <x:v>allocate once to damaged units</x:v>
      </x:c>
      <x:c r="I16" s="29" t="str">
        <x:v>not independent</x:v>
      </x:c>
      <x:c r="J16" s="29" t="str">
        <x:v>follows damaged units</x:v>
      </x:c>
      <x:c r="K16" s="29" t="str">
        <x:v>No independent DR curve.</x:v>
      </x:c>
    </x:row>
    <x:row r="17" ht="28.799999237060547" hidden="0" customHeight="1">
      <x:c r="A17" s="29" t="str">
        <x:v>Solar_Map!13</x:v>
      </x:c>
      <x:c r="B17" s="29" t="str">
        <x:v>ELECTRICAL_COLLECTION</x:v>
      </x:c>
      <x:c r="C17" s="29" t="str">
        <x:v>CABLE_AC + CABLE_DC + SCADA</x:v>
      </x:c>
      <x:c r="D17" s="29" t="str">
        <x:v>EBOS field labor</x:v>
      </x:c>
      <x:c r="E17" s="31" t="n">
        <x:v>39.447761194029844</x:v>
      </x:c>
      <x:c r="F17" s="31" t="n">
        <x:v>3944776.1194029846</x:v>
      </x:c>
      <x:c r="G17" s="29" t="str">
        <x:v>replacement_support_cost</x:v>
      </x:c>
      <x:c r="H17" s="29" t="str">
        <x:v>allocate once to damaged units</x:v>
      </x:c>
      <x:c r="I17" s="29" t="str">
        <x:v>not independent</x:v>
      </x:c>
      <x:c r="J17" s="29" t="str">
        <x:v>follows damaged units</x:v>
      </x:c>
      <x:c r="K17" s="29" t="str">
        <x:v>No independent DR curve.</x:v>
      </x:c>
    </x:row>
    <x:row r="18" ht="48" hidden="0" customHeight="1">
      <x:c r="A18" s="29" t="str">
        <x:v>Solar_Map!14</x:v>
      </x:c>
      <x:c r="B18" s="29" t="str">
        <x:v>CIVIL_INFRA</x:v>
      </x:c>
      <x:c r="C18" s="29" t="str">
        <x:v>SITE_PREP</x:v>
      </x:c>
      <x:c r="D18" s="29" t="str">
        <x:v>Grading, fencing, roads, maintenance buildings</x:v>
      </x:c>
      <x:c r="E18" s="31" t="n">
        <x:v>31.223744292237445</x:v>
      </x:c>
      <x:c r="F18" s="31" t="n">
        <x:v>3122374.4292237447</x:v>
      </x:c>
      <x:c r="G18" s="29" t="str">
        <x:v>mixed_civil_replacement_bucket</x:v>
      </x:c>
      <x:c r="H18" s="29" t="str">
        <x:v>WS_CIVIL_INFRA_SPLIT_REQUIRED</x:v>
      </x:c>
      <x:c r="I18" s="29" t="str">
        <x:v>asset-type split required</x:v>
      </x:c>
      <x:c r="J18" s="29" t="str">
        <x:v>zone/pathway required</x:v>
      </x:c>
      <x:c r="K18" s="29" t="str">
        <x:v>Direct-fire and post-fire geotechnical consequences must split.</x:v>
      </x:c>
    </x:row>
    <x:row r="19" ht="57.599998474121094" hidden="0" customHeight="1">
      <x:c r="A19" s="29" t="str">
        <x:v>Solar_Map!15</x:v>
      </x:c>
      <x:c r="B19" s="29" t="str">
        <x:v>REPLACEMENT_FIELDWORK</x:v>
      </x:c>
      <x:c r="C19" s="29" t="str">
        <x:v>SITE_MANAGEMENT + EQUIPMENT_RENTAL + INSPECTION</x:v>
      </x:c>
      <x:c r="D19" s="29" t="str">
        <x:v>Site management, rental and inspection</x:v>
      </x:c>
      <x:c r="E19" s="31" t="n">
        <x:v>106.86876712328767</x:v>
      </x:c>
      <x:c r="F19" s="31" t="n">
        <x:v>10686876.712328767</x:v>
      </x:c>
      <x:c r="G19" s="29" t="str">
        <x:v>replacement_support_cost</x:v>
      </x:c>
      <x:c r="H19" s="29" t="str">
        <x:v>allocate once to damaged units</x:v>
      </x:c>
      <x:c r="I19" s="29" t="str">
        <x:v>not independent</x:v>
      </x:c>
      <x:c r="J19" s="29" t="str">
        <x:v>follows damaged units</x:v>
      </x:c>
      <x:c r="K19" s="29" t="str">
        <x:v>No independent DR curve; claim-stage allocation required.</x:v>
      </x:c>
    </x:row>
    <x:row r="20" ht="38.400001525878906" hidden="0" customHeight="1">
      <x:c r="A20" s="29" t="str">
        <x:v>Solar_Map!16</x:v>
      </x:c>
      <x:c r="B20" s="29" t="str">
        <x:v>SUNK_SOFT_NONPHYSICAL</x:v>
      </x:c>
      <x:c r="C20" s="29" t="str">
        <x:v>OFFICEWORK</x:v>
      </x:c>
      <x:c r="D20" s="29" t="str">
        <x:v>Officework total</x:v>
      </x:c>
      <x:c r="E20" s="31" t="n">
        <x:v>0</x:v>
      </x:c>
      <x:c r="F20" s="31" t="n">
        <x:v>0</x:v>
      </x:c>
      <x:c r="G20" s="29" t="str">
        <x:v>excluded_nonphysical</x:v>
      </x:c>
      <x:c r="H20" s="29" t="str">
        <x:v>outside cell physical base</x:v>
      </x:c>
      <x:c r="I20" s="29" t="str">
        <x:v>not applicable</x:v>
      </x:c>
      <x:c r="J20" s="29" t="str">
        <x:v>not applicable</x:v>
      </x:c>
      <x:c r="K20" s="29" t="str">
        <x:v>Never reintroduce through wildfire loss.</x:v>
      </x:c>
    </x:row>
    <x:row r="21" ht="48" hidden="0" customHeight="1">
      <x:c r="A21" s="29" t="str">
        <x:v>Solar_Map!17</x:v>
      </x:c>
      <x:c r="B21" s="29" t="str">
        <x:v>SUNK_SOFT_NONPHYSICAL</x:v>
      </x:c>
      <x:c r="C21" s="29" t="str">
        <x:v>OTHER</x:v>
      </x:c>
      <x:c r="D21" s="29" t="str">
        <x:v>Tax, contingency, management, developer profit/residual</x:v>
      </x:c>
      <x:c r="E21" s="31" t="n">
        <x:v>0</x:v>
      </x:c>
      <x:c r="F21" s="31" t="n">
        <x:v>0</x:v>
      </x:c>
      <x:c r="G21" s="29" t="str">
        <x:v>excluded_nonphysical</x:v>
      </x:c>
      <x:c r="H21" s="29" t="str">
        <x:v>outside cell physical base</x:v>
      </x:c>
      <x:c r="I21" s="29" t="str">
        <x:v>not applicable</x:v>
      </x:c>
      <x:c r="J21" s="29" t="str">
        <x:v>not applicable</x:v>
      </x:c>
      <x:c r="K21" s="29" t="str">
        <x:v>Never reintroduce through wildfire loss.</x:v>
      </x:c>
    </x:row>
    <x:row r="22" ht="57.599998474121094" hidden="0" customHeight="1">
      <x:c r="A22" s="29" t="str">
        <x:v>SUMMARY</x:v>
      </x:c>
      <x:c r="B22" s="29" t="str">
        <x:v>DIRECT_HARDWARE_ROWS_2_TO_10</x:v>
      </x:c>
      <x:c r="C22" s="29" t="str"/>
      <x:c r="D22" s="29" t="str">
        <x:v>Direct hardware subtotal</x:v>
      </x:c>
      <x:c r="E22" s="31" t="n">
        <x:f>SUM(E6:E14)</x:f>
        <x:v>656.9814571503722</x:v>
      </x:c>
      <x:c r="F22" s="31" t="n">
        <x:f>E22*100000</x:f>
        <x:v>65698145.71503722</x:v>
      </x:c>
      <x:c r="G22" s="29" t="str">
        <x:v>reconciliation</x:v>
      </x:c>
      <x:c r="H22" s="29" t="str">
        <x:v>no pooled DR</x:v>
      </x:c>
      <x:c r="I22" s="29" t="str">
        <x:v>fail closed</x:v>
      </x:c>
      <x:c r="J22" s="29" t="str">
        <x:v>fail closed</x:v>
      </x:c>
      <x:c r="K22" s="29" t="str">
        <x:v>Separate from $220.81424521229468/kWdc replacement/civil/support rows.</x:v>
      </x:c>
    </x:row>
    <x:row r="23" ht="86.4000015258789" hidden="0" customHeight="1">
      <x:c r="A23" s="29" t="str">
        <x:v>SUMMARY</x:v>
      </x:c>
      <x:c r="B23" s="29" t="str">
        <x:v>PHYSICAL_ROWS_2_TO_10_AND_12_TO_15</x:v>
      </x:c>
      <x:c r="C23" s="29" t="str"/>
      <x:c r="D23" s="29" t="str">
        <x:v>Physical replaceable reference basis</x:v>
      </x:c>
      <x:c r="E23" s="31" t="n">
        <x:f>SUM(E6:E14)+SUM(E16:E19)</x:f>
        <x:v>877.7957023626668</x:v>
      </x:c>
      <x:c r="F23" s="31" t="n">
        <x:f>E23*100000</x:f>
        <x:v>87779570.23626669</x:v>
      </x:c>
      <x:c r="G23" s="29" t="str">
        <x:v>reconciliation</x:v>
      </x:c>
      <x:c r="H23" s="29" t="str">
        <x:v>reference denominator only</x:v>
      </x:c>
      <x:c r="I23" s="29" t="str">
        <x:v>site override required</x:v>
      </x:c>
      <x:c r="J23" s="29" t="str">
        <x:v>zone required</x:v>
      </x:c>
      <x:c r="K23" s="29" t="str">
        <x:v>Installed = physical 877.7957023626668 + excluded 242.20429763733296 = 1120.000000 USD/kWdc.</x:v>
      </x:c>
    </x:row>
  </x:sheetData>
  <x:mergeCells>
    <x:mergeCell ref="A1:K2"/>
    <x:mergeCell ref="A3:K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29" hidden="0" customWidth="1"/>
    <x:col min="4" max="4" width="31" hidden="0" customWidth="1"/>
    <x:col min="5" max="5" width="31" hidden="0" customWidth="1"/>
    <x:col min="6" max="6" width="27" hidden="0" customWidth="1"/>
    <x:col min="7" max="7" width="16" hidden="0" customWidth="1"/>
    <x:col min="8" max="8" width="42" hidden="0" customWidth="1"/>
    <x:col min="9" max="9" width="34" hidden="0" customWidth="1"/>
  </x:cols>
  <x:sheetData>
    <x:row r="1" ht="28" customHeight="1">
      <x:c r="A1" s="5" t="str">
        <x:v>Candidate failure units and coverage seams</x:v>
      </x:c>
      <x:c r="B1" s="5"/>
      <x:c r="C1" s="5"/>
      <x:c r="D1" s="5"/>
      <x:c r="E1" s="5"/>
      <x:c r="F1" s="5"/>
      <x:c r="G1" s="5"/>
      <x:c r="H1" s="5"/>
      <x:c r="I1" s="5"/>
    </x:row>
    <x:row r="2" ht="28" customHeight="1">
      <x:c r="A2" s="5"/>
      <x:c r="B2" s="5"/>
      <x:c r="C2" s="5"/>
      <x:c r="D2" s="5"/>
      <x:c r="E2" s="5"/>
      <x:c r="F2" s="5"/>
      <x:c r="G2" s="5"/>
      <x:c r="H2" s="5"/>
      <x:c r="I2" s="5"/>
    </x:row>
    <x:row r="3" ht="34" customHeight="1">
      <x:c r="A3" s="9" t="str">
        <x:v>These are proposed calibration grains, not released curves. A source observation may constrain only a matching BOM, installation state, exposure channel and endpoint.</x:v>
      </x:c>
      <x:c r="B3" s="9"/>
      <x:c r="C3" s="9"/>
      <x:c r="D3" s="9"/>
      <x:c r="E3" s="9"/>
      <x:c r="F3" s="9"/>
      <x:c r="G3" s="9"/>
      <x:c r="H3" s="9"/>
      <x:c r="I3" s="9"/>
    </x:row>
    <x:row r="5" ht="32" customHeight="1">
      <x:c r="A5" s="18" t="str">
        <x:v>failure_unit</x:v>
      </x:c>
      <x:c r="B5" s="18" t="str">
        <x:v>component / boundary</x:v>
      </x:c>
      <x:c r="C5" s="18" t="str">
        <x:v>current role</x:v>
      </x:c>
      <x:c r="D5" s="18" t="str">
        <x:v>direct source support</x:v>
      </x:c>
      <x:c r="E5" s="18" t="str">
        <x:v>value seam</x:v>
      </x:c>
      <x:c r="F5" s="18" t="str">
        <x:v>exposure selector</x:v>
      </x:c>
      <x:c r="G5" s="18" t="str">
        <x:v>curve status</x:v>
      </x:c>
      <x:c r="H5" s="18" t="str">
        <x:v>next evidence</x:v>
      </x:c>
      <x:c r="I5" s="18" t="str">
        <x:v>prohibited pooling</x:v>
      </x:c>
    </x:row>
    <x:row r="6" ht="76.80000305175781" hidden="0" customHeight="1">
      <x:c r="A6" s="29" t="str">
        <x:v>WS_MODULE_THERMAL</x:v>
      </x:c>
      <x:c r="B6" s="29" t="str">
        <x:v>module laminate/glass</x:v>
      </x:c>
      <x:c r="C6" s="29" t="str">
        <x:v>candidate thermal/contact response</x:v>
      </x:c>
      <x:c r="D6" s="29" t="str">
        <x:v>WANG_2025_PV_THERMAL; YANG_2015_PV_IGNITION; ZHAO_2026_PV_POOL_FIRE</x:v>
      </x:c>
      <x:c r="E6" s="29" t="str">
        <x:v>module vs frame/J-box/leads</x:v>
      </x:c>
      <x:c r="F6" s="29" t="str">
        <x:v>construction, glass condition, tilt</x:v>
      </x:c>
      <x:c r="G6" s="20" t="str">
        <x:v>WITHHELD</x:v>
      </x:c>
      <x:c r="H6" s="29" t="str">
        <x:v>representative full-size BOM flux/contact/time + replacement rule</x:v>
      </x:c>
      <x:c r="I6" s="29" t="str">
        <x:v>all modules or whole array</x:v>
      </x:c>
    </x:row>
    <x:row r="7" ht="38.400001525878906" hidden="0" customHeight="1">
      <x:c r="A7" s="29" t="str">
        <x:v>WS_DC_CABLE_EXPOSED</x:v>
      </x:c>
      <x:c r="B7" s="29" t="str">
        <x:v>exposed DC cable segment</x:v>
      </x:c>
      <x:c r="C7" s="29" t="str">
        <x:v>candidate ignition/thermal response</x:v>
      </x:c>
      <x:c r="D7" s="29" t="str">
        <x:v>ZHANG_2022_XLPE (transfer-limited)</x:v>
      </x:c>
      <x:c r="E7" s="29" t="str">
        <x:v>DC vs AC/MV; segment/termination</x:v>
      </x:c>
      <x:c r="F7" s="29" t="str">
        <x:v>exposed/tray/conduit/buried</x:v>
      </x:c>
      <x:c r="G7" s="20" t="str">
        <x:v>WITHHELD</x:v>
      </x:c>
      <x:c r="H7" s="29" t="str">
        <x:v>installed PV cable construction tests</x:v>
      </x:c>
      <x:c r="I7" s="29" t="str">
        <x:v>all cable rollup</x:v>
      </x:c>
    </x:row>
    <x:row r="8" ht="38.400001525878906" hidden="0" customHeight="1">
      <x:c r="A8" s="29" t="str">
        <x:v>WS_COMBINER_CONNECTOR</x:v>
      </x:c>
      <x:c r="B8" s="29" t="str">
        <x:v>connectors, J-box, combiner</x:v>
      </x:c>
      <x:c r="C8" s="29" t="str">
        <x:v>candidate enclosure/connection response</x:v>
      </x:c>
      <x:c r="D8" s="29" t="str">
        <x:v>NO_DIRECT_SOURCE_T4</x:v>
      </x:c>
      <x:c r="E8" s="29" t="str">
        <x:v>separate from cable/inverter</x:v>
      </x:c>
      <x:c r="F8" s="29" t="str">
        <x:v>enclosure, sealing, zone</x:v>
      </x:c>
      <x:c r="G8" s="20" t="str">
        <x:v>WITHHELD</x:v>
      </x:c>
      <x:c r="H8" s="29" t="str">
        <x:v>component/enclosure tests and forensics</x:v>
      </x:c>
      <x:c r="I8" s="29" t="str">
        <x:v>cables or inverter</x:v>
      </x:c>
    </x:row>
    <x:row r="9" ht="28.799999237060547" hidden="0" customHeight="1">
      <x:c r="A9" s="29" t="str">
        <x:v>WS_INVERTER_CONTROL_DIRECT</x:v>
      </x:c>
      <x:c r="B9" s="29" t="str">
        <x:v>inverter/control enclosure</x:v>
      </x:c>
      <x:c r="C9" s="29" t="str">
        <x:v>candidate direct-attack response</x:v>
      </x:c>
      <x:c r="D9" s="29" t="str">
        <x:v>DOE_FEMP_PV_WILDFIRE (qualitative)</x:v>
      </x:c>
      <x:c r="E9" s="29" t="str">
        <x:v>inverter vs SCADA/tracker drives</x:v>
      </x:c>
      <x:c r="F9" s="29" t="str">
        <x:v>enclosure/fire rating, zone</x:v>
      </x:c>
      <x:c r="G9" s="20" t="str">
        <x:v>WITHHELD</x:v>
      </x:c>
      <x:c r="H9" s="29" t="str">
        <x:v>equipment/BOM calibration</x:v>
      </x:c>
      <x:c r="I9" s="29" t="str">
        <x:v>ordinary IP rating as fire protection</x:v>
      </x:c>
    </x:row>
    <x:row r="10" ht="28.799999237060547" hidden="0" customHeight="1">
      <x:c r="A10" s="29" t="str">
        <x:v>WS_SCADA_CONTROL_DIRECT</x:v>
      </x:c>
      <x:c r="B10" s="29" t="str">
        <x:v>monitoring/communication system</x:v>
      </x:c>
      <x:c r="C10" s="29" t="str">
        <x:v>candidate direct-attack response</x:v>
      </x:c>
      <x:c r="D10" s="29" t="str">
        <x:v>DOE_FEMP_PV_WILDFIRE (qualitative)</x:v>
      </x:c>
      <x:c r="E10" s="29" t="str">
        <x:v>separate from inverter/tracker drives</x:v>
      </x:c>
      <x:c r="F10" s="29" t="str">
        <x:v>location, enclosure, zone</x:v>
      </x:c>
      <x:c r="G10" s="20" t="str">
        <x:v>WITHHELD</x:v>
      </x:c>
      <x:c r="H10" s="29" t="str">
        <x:v>equipment/BOM calibration</x:v>
      </x:c>
      <x:c r="I10" s="29" t="str">
        <x:v>inverter pooled curve</x:v>
      </x:c>
    </x:row>
    <x:row r="11" ht="38.400001525878906" hidden="0" customHeight="1">
      <x:c r="A11" s="29" t="str">
        <x:v>WS_GROUNDING_LIGHTNING_REVIEW</x:v>
      </x:c>
      <x:c r="B11" s="29" t="str">
        <x:v>grounding grid/lightning protection</x:v>
      </x:c>
      <x:c r="C11" s="29" t="str">
        <x:v>exception/deferred review</x:v>
      </x:c>
      <x:c r="D11" s="29" t="str">
        <x:v>NO_DIRECT_SOURCE_T4</x:v>
      </x:c>
      <x:c r="E11" s="29" t="str">
        <x:v>construction and inspected replacement unit</x:v>
      </x:c>
      <x:c r="F11" s="29" t="str">
        <x:v>zone/contact state</x:v>
      </x:c>
      <x:c r="G11" s="22" t="str">
        <x:v>NO CURVE</x:v>
      </x:c>
      <x:c r="H11" s="29" t="str">
        <x:v>credible failure mode and replacement criteria</x:v>
      </x:c>
      <x:c r="I11" s="29" t="str">
        <x:v>assumed zero or nonzero</x:v>
      </x:c>
    </x:row>
    <x:row r="12" ht="38.400001525878906" hidden="0" customHeight="1">
      <x:c r="A12" s="29" t="str">
        <x:v>WS_MV_EQUIPMENT_SPLIT_REQUIRED</x:v>
      </x:c>
      <x:c r="B12" s="29" t="str">
        <x:v>transformer/switchgear/breaker</x:v>
      </x:c>
      <x:c r="C12" s="29" t="str">
        <x:v>decomposition gate</x:v>
      </x:c>
      <x:c r="D12" s="29" t="str">
        <x:v>NO_DIRECT_SOURCE_T4</x:v>
      </x:c>
      <x:c r="E12" s="29" t="str">
        <x:v>equipment/fluid/enclosure types</x:v>
      </x:c>
      <x:c r="F12" s="29" t="str">
        <x:v>zone and construction</x:v>
      </x:c>
      <x:c r="G12" s="20" t="str">
        <x:v>WITHHELD</x:v>
      </x:c>
      <x:c r="H12" s="29" t="str">
        <x:v>equipment-specific response/claims</x:v>
      </x:c>
      <x:c r="I12" s="29" t="str">
        <x:v>substation pooled curve</x:v>
      </x:c>
    </x:row>
    <x:row r="13" ht="38.400001525878906" hidden="0" customHeight="1">
      <x:c r="A13" s="29" t="str">
        <x:v>WS_RACKING_THERMAL</x:v>
      </x:c>
      <x:c r="B13" s="29" t="str">
        <x:v>steel/aluminum members and drives</x:v>
      </x:c>
      <x:c r="C13" s="29" t="str">
        <x:v>candidate thermal-structural response</x:v>
      </x:c>
      <x:c r="D13" s="29" t="str">
        <x:v>NO_DIRECT_SOURCE_T4 (mechanism only)</x:v>
      </x:c>
      <x:c r="E13" s="29" t="str">
        <x:v>material/member/drive split</x:v>
      </x:c>
      <x:c r="F13" s="29" t="str">
        <x:v>material, load, tilt</x:v>
      </x:c>
      <x:c r="G13" s="20" t="str">
        <x:v>WITHHELD</x:v>
      </x:c>
      <x:c r="H13" s="29" t="str">
        <x:v>member thermal-structural bridge</x:v>
      </x:c>
      <x:c r="I13" s="29" t="str">
        <x:v>mounting bucket pooled curve</x:v>
      </x:c>
    </x:row>
    <x:row r="14" ht="28.799999237060547" hidden="0" customHeight="1">
      <x:c r="A14" s="29" t="str">
        <x:v>WS_FOUNDATION_REVIEW</x:v>
      </x:c>
      <x:c r="B14" s="29" t="str">
        <x:v>pile/concrete/inverter pad</x:v>
      </x:c>
      <x:c r="C14" s="29" t="str">
        <x:v>exception/deferred review</x:v>
      </x:c>
      <x:c r="D14" s="29" t="str">
        <x:v>NO_DIRECT_SOURCE_T4</x:v>
      </x:c>
      <x:c r="E14" s="29" t="str">
        <x:v>pile vs pad vs buried service</x:v>
      </x:c>
      <x:c r="F14" s="29" t="str">
        <x:v>contact/prolonged exposure</x:v>
      </x:c>
      <x:c r="G14" s="22" t="str">
        <x:v>NO CURVE</x:v>
      </x:c>
      <x:c r="H14" s="29" t="str">
        <x:v>foundation exposure/failure review</x:v>
      </x:c>
      <x:c r="I14" s="29" t="str">
        <x:v>assumed zero or nonzero</x:v>
      </x:c>
    </x:row>
    <x:row r="15" ht="38.400001525878906" hidden="0" customHeight="1">
      <x:c r="A15" s="29" t="str">
        <x:v>WS_CIVIL_INFRA_SPLIT_REQUIRED</x:v>
      </x:c>
      <x:c r="B15" s="29" t="str">
        <x:v>roads, fence, building, site prep</x:v>
      </x:c>
      <x:c r="C15" s="29" t="str">
        <x:v>decomposition/consequence gate</x:v>
      </x:c>
      <x:c r="D15" s="29" t="str">
        <x:v>DOE_FEMP_PV_WILDFIRE; NIST_TN_2205 (qualitative)</x:v>
      </x:c>
      <x:c r="E15" s="29" t="str">
        <x:v>asset vs exposure-control vs post-fire consequence</x:v>
      </x:c>
      <x:c r="F15" s="29" t="str">
        <x:v>pathway/zone</x:v>
      </x:c>
      <x:c r="G15" s="20" t="str">
        <x:v>WITHHELD</x:v>
      </x:c>
      <x:c r="H15" s="29" t="str">
        <x:v>asset-specific value and damage rules</x:v>
      </x:c>
      <x:c r="I15" s="29" t="str">
        <x:v>one civil DR</x:v>
      </x:c>
    </x:row>
    <x:row r="16" ht="38.400001525878906" hidden="0" customHeight="1">
      <x:c r="A16" s="29" t="str">
        <x:v>WS_SUPPORT_COST_ALLOCATION</x:v>
      </x:c>
      <x:c r="B16" s="29" t="str">
        <x:v>field labor/site management/equipment/inspection</x:v>
      </x:c>
      <x:c r="C16" s="29" t="str">
        <x:v>cost allocation only</x:v>
      </x:c>
      <x:c r="D16" s="29" t="str">
        <x:v>VALUE_SOLAR_WORKBOOK</x:v>
      </x:c>
      <x:c r="E16" s="29" t="str">
        <x:v>allocate once to damaged units</x:v>
      </x:c>
      <x:c r="F16" s="29" t="str">
        <x:v>follows damaged unit</x:v>
      </x:c>
      <x:c r="G16" s="22" t="str">
        <x:v>NO CURVE</x:v>
      </x:c>
      <x:c r="H16" s="29" t="str">
        <x:v>claims-backed allocation</x:v>
      </x:c>
      <x:c r="I16" s="29" t="str">
        <x:v>independent fragility</x:v>
      </x:c>
    </x:row>
  </x:sheetData>
  <x:mergeCells>
    <x:mergeCell ref="A1:I2"/>
    <x:mergeCell ref="A3:I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43" hidden="0" customWidth="1"/>
    <x:col min="3" max="3" width="18" hidden="0" customWidth="1"/>
    <x:col min="4" max="4" width="19" hidden="0" customWidth="1"/>
    <x:col min="5" max="5" width="42" hidden="0" customWidth="1"/>
    <x:col min="6" max="6" width="27" hidden="0" customWidth="1"/>
    <x:col min="7" max="7" width="33" hidden="0" customWidth="1"/>
    <x:col min="8" max="8" width="36" hidden="0" customWidth="1"/>
    <x:col min="9" max="9" width="42" hidden="0" customWidth="1"/>
  </x:cols>
  <x:sheetData>
    <x:row r="1" ht="28" customHeight="1">
      <x:c r="A1" s="5" t="str">
        <x:v>Source-specific thermal evidence constraints</x:v>
      </x:c>
      <x:c r="B1" s="5"/>
      <x:c r="C1" s="5"/>
      <x:c r="D1" s="5"/>
      <x:c r="E1" s="5"/>
      <x:c r="F1" s="5"/>
      <x:c r="G1" s="5"/>
      <x:c r="H1" s="5"/>
      <x:c r="I1" s="5"/>
    </x:row>
    <x:row r="2" ht="28" customHeight="1">
      <x:c r="A2" s="5"/>
      <x:c r="B2" s="5"/>
      <x:c r="C2" s="5"/>
      <x:c r="D2" s="5"/>
      <x:c r="E2" s="5"/>
      <x:c r="F2" s="5"/>
      <x:c r="G2" s="5"/>
      <x:c r="H2" s="5"/>
      <x:c r="I2" s="5"/>
    </x:row>
    <x:row r="3" ht="34" customHeight="1">
      <x:c r="A3" s="9" t="str">
        <x:v>Direct laboratory observations are retained in their native exposure units and exact endpoints. They are not FIL ordinates, population fragilities, economic damage ratios, or cross-study rankings.</x:v>
      </x:c>
      <x:c r="B3" s="9"/>
      <x:c r="C3" s="9"/>
      <x:c r="D3" s="9"/>
      <x:c r="E3" s="9"/>
      <x:c r="F3" s="9"/>
      <x:c r="G3" s="9"/>
      <x:c r="H3" s="9"/>
      <x:c r="I3" s="9"/>
    </x:row>
    <x:row r="5" ht="32" customHeight="1">
      <x:c r="A5" s="18" t="str">
        <x:v>source_id</x:v>
      </x:c>
      <x:c r="B5" s="18" t="str">
        <x:v>specimen / geometry</x:v>
      </x:c>
      <x:c r="C5" s="18" t="str">
        <x:v>incident flux kW/m²</x:v>
      </x:c>
      <x:c r="D5" s="18" t="str">
        <x:v>duration / time s</x:v>
      </x:c>
      <x:c r="E5" s="18" t="str">
        <x:v>observed endpoint</x:v>
      </x:c>
      <x:c r="F5" s="18" t="str">
        <x:v>exact locator</x:v>
      </x:c>
      <x:c r="G5" s="18" t="str">
        <x:v>canonical tier</x:v>
      </x:c>
      <x:c r="H5" s="18" t="str">
        <x:v>permitted use</x:v>
      </x:c>
      <x:c r="I5" s="18" t="str">
        <x:v>prohibited inference</x:v>
      </x:c>
    </x:row>
    <x:row r="6" ht="76.80000305175781" hidden="0" customHeight="1">
      <x:c r="A6" s="29" t="str">
        <x:v>WANG_2025_PV_THERMAL</x:v>
      </x:c>
      <x:c r="B6" s="29" t="str">
        <x:v>15 four-edge-shielded 300×300×4.7 mm specimens; five inclinations</x:v>
      </x:c>
      <x:c r="C6" s="29" t="str">
        <x:v>8–15</x:v>
      </x:c>
      <x:c r="D6" s="29" t="str">
        <x:v>study-specific</x:v>
      </x:c>
      <x:c r="E6" s="29" t="str">
        <x:v>primarily reported tolerance range; 61–84°C max temperature difference</x:v>
      </x:c>
      <x:c r="F6" s="29" t="str">
        <x:v>abstract / results</x:v>
      </x:c>
      <x:c r="G6" s="29" t="str">
        <x:v>T2_public_lab_standard_or_physics</x:v>
      </x:c>
      <x:c r="H6" s="29" t="str">
        <x:v>future matching-BOM flux/time constraint</x:v>
      </x:c>
      <x:c r="I6" s="29" t="str">
        <x:v>universal module threshold, FIL ordinate, DR</x:v>
      </x:c>
    </x:row>
    <x:row r="7" ht="38.400001525878906" hidden="0" customHeight="1">
      <x:c r="A7" s="29" t="str">
        <x:v>YANG_2015_PV_IGNITION</x:v>
      </x:c>
      <x:c r="B7" s="29" t="str">
        <x:v>11.2×11.2×0.39 cm, 135±2 g 2014 poly-Si specimens</x:v>
      </x:c>
      <x:c r="C7" s="34" t="n">
        <x:v>26</x:v>
      </x:c>
      <x:c r="D7" s="34"/>
      <x:c r="E7" s="29" t="str">
        <x:v>empirical sustained-flame critical heat flux</x:v>
      </x:c>
      <x:c r="F7" s="29" t="str">
        <x:v>§3.1 specimen; §4.2, Figures 5–7</x:v>
      </x:c>
      <x:c r="G7" s="29" t="str">
        <x:v>T2_public_lab_standard_or_physics</x:v>
      </x:c>
      <x:c r="H7" s="29" t="str">
        <x:v>BOM-specific ignition constraint</x:v>
      </x:c>
      <x:c r="I7" s="29" t="str">
        <x:v>first functional damage or replacement</x:v>
      </x:c>
    </x:row>
    <x:row r="8" ht="28.799999237060547" hidden="0" customHeight="1">
      <x:c r="A8" s="29" t="str">
        <x:v>YANG_2015_PV_IGNITION</x:v>
      </x:c>
      <x:c r="B8" s="29" t="str">
        <x:v>same tested specimen</x:v>
      </x:c>
      <x:c r="C8" s="34" t="n">
        <x:v>28</x:v>
      </x:c>
      <x:c r="D8" s="34" t="n">
        <x:v>913</x:v>
      </x:c>
      <x:c r="E8" s="29" t="str">
        <x:v>piloted ignition</x:v>
      </x:c>
      <x:c r="F8" s="29" t="str">
        <x:v>Table 2</x:v>
      </x:c>
      <x:c r="G8" s="29" t="str">
        <x:v>T2_public_lab_standard_or_physics</x:v>
      </x:c>
      <x:c r="H8" s="29" t="str">
        <x:v>native flux/time observation</x:v>
      </x:c>
      <x:c r="I8" s="29" t="str">
        <x:v>FIL mapping or economic DR</x:v>
      </x:c>
    </x:row>
    <x:row r="9" ht="28.799999237060547" hidden="0" customHeight="1">
      <x:c r="A9" s="29" t="str">
        <x:v>YANG_2015_PV_IGNITION</x:v>
      </x:c>
      <x:c r="B9" s="29" t="str">
        <x:v>same tested specimen</x:v>
      </x:c>
      <x:c r="C9" s="34" t="n">
        <x:v>30</x:v>
      </x:c>
      <x:c r="D9" s="34" t="n">
        <x:v>636</x:v>
      </x:c>
      <x:c r="E9" s="29" t="str">
        <x:v>piloted ignition</x:v>
      </x:c>
      <x:c r="F9" s="29" t="str">
        <x:v>Table 2</x:v>
      </x:c>
      <x:c r="G9" s="29" t="str">
        <x:v>T2_public_lab_standard_or_physics</x:v>
      </x:c>
      <x:c r="H9" s="29" t="str">
        <x:v>native flux/time observation</x:v>
      </x:c>
      <x:c r="I9" s="29" t="str">
        <x:v>FIL mapping or economic DR</x:v>
      </x:c>
    </x:row>
    <x:row r="10" ht="28.799999237060547" hidden="0" customHeight="1">
      <x:c r="A10" s="29" t="str">
        <x:v>YANG_2015_PV_IGNITION</x:v>
      </x:c>
      <x:c r="B10" s="29" t="str">
        <x:v>same tested specimen</x:v>
      </x:c>
      <x:c r="C10" s="34" t="n">
        <x:v>35</x:v>
      </x:c>
      <x:c r="D10" s="34" t="n">
        <x:v>218</x:v>
      </x:c>
      <x:c r="E10" s="29" t="str">
        <x:v>piloted ignition</x:v>
      </x:c>
      <x:c r="F10" s="29" t="str">
        <x:v>Table 2</x:v>
      </x:c>
      <x:c r="G10" s="29" t="str">
        <x:v>T2_public_lab_standard_or_physics</x:v>
      </x:c>
      <x:c r="H10" s="29" t="str">
        <x:v>native flux/time observation</x:v>
      </x:c>
      <x:c r="I10" s="29" t="str">
        <x:v>FIL mapping or economic DR</x:v>
      </x:c>
    </x:row>
    <x:row r="11" ht="28.799999237060547" hidden="0" customHeight="1">
      <x:c r="A11" s="29" t="str">
        <x:v>YANG_2015_PV_IGNITION</x:v>
      </x:c>
      <x:c r="B11" s="29" t="str">
        <x:v>same tested specimen</x:v>
      </x:c>
      <x:c r="C11" s="34" t="n">
        <x:v>40</x:v>
      </x:c>
      <x:c r="D11" s="34" t="n">
        <x:v>133</x:v>
      </x:c>
      <x:c r="E11" s="29" t="str">
        <x:v>piloted ignition</x:v>
      </x:c>
      <x:c r="F11" s="29" t="str">
        <x:v>Table 2</x:v>
      </x:c>
      <x:c r="G11" s="29" t="str">
        <x:v>T2_public_lab_standard_or_physics</x:v>
      </x:c>
      <x:c r="H11" s="29" t="str">
        <x:v>native flux/time observation</x:v>
      </x:c>
      <x:c r="I11" s="29" t="str">
        <x:v>FIL mapping or economic DR</x:v>
      </x:c>
    </x:row>
    <x:row r="12" ht="28.799999237060547" hidden="0" customHeight="1">
      <x:c r="A12" s="29" t="str">
        <x:v>YANG_2015_PV_IGNITION</x:v>
      </x:c>
      <x:c r="B12" s="29" t="str">
        <x:v>same tested specimen</x:v>
      </x:c>
      <x:c r="C12" s="34" t="n">
        <x:v>45</x:v>
      </x:c>
      <x:c r="D12" s="34" t="n">
        <x:v>83</x:v>
      </x:c>
      <x:c r="E12" s="29" t="str">
        <x:v>piloted ignition</x:v>
      </x:c>
      <x:c r="F12" s="29" t="str">
        <x:v>Table 2</x:v>
      </x:c>
      <x:c r="G12" s="29" t="str">
        <x:v>T2_public_lab_standard_or_physics</x:v>
      </x:c>
      <x:c r="H12" s="29" t="str">
        <x:v>native flux/time observation</x:v>
      </x:c>
      <x:c r="I12" s="29" t="str">
        <x:v>FIL mapping or economic DR</x:v>
      </x:c>
    </x:row>
    <x:row r="13" ht="38.400001525878906" hidden="0" customHeight="1">
      <x:c r="A13" s="29" t="str">
        <x:v>ZHANG_2022_XLPE</x:v>
      </x:c>
      <x:c r="B13" s="29" t="str">
        <x:v>9 mm self-developed XLPE cable specimen</x:v>
      </x:c>
      <x:c r="C13" s="34" t="n">
        <x:v>16.24</x:v>
      </x:c>
      <x:c r="D13" s="34"/>
      <x:c r="E13" s="29" t="str">
        <x:v>estimated critical heat flux</x:v>
      </x:c>
      <x:c r="F13" s="29" t="str">
        <x:v>§2.1 specimen; §3.1, Figure 4</x:v>
      </x:c>
      <x:c r="G13" s="29" t="str">
        <x:v>T2_public_lab_standard_or_physics</x:v>
      </x:c>
      <x:c r="H13" s="29" t="str">
        <x:v>tested-construction ignition constraint</x:v>
      </x:c>
      <x:c r="I13" s="29" t="str">
        <x:v>all PV cable threshold</x:v>
      </x:c>
    </x:row>
    <x:row r="14" ht="28.799999237060547" hidden="0" customHeight="1">
      <x:c r="A14" s="29" t="str">
        <x:v>ZHANG_2022_XLPE</x:v>
      </x:c>
      <x:c r="B14" s="29" t="str">
        <x:v>same tested construction</x:v>
      </x:c>
      <x:c r="C14" s="34" t="n">
        <x:v>20</x:v>
      </x:c>
      <x:c r="D14" s="34" t="n">
        <x:v>83.5</x:v>
      </x:c>
      <x:c r="E14" s="29" t="str">
        <x:v>mean piloted ignition</x:v>
      </x:c>
      <x:c r="F14" s="29" t="str">
        <x:v>§3.1, Table 2</x:v>
      </x:c>
      <x:c r="G14" s="29" t="str">
        <x:v>T2_public_lab_standard_or_physics</x:v>
      </x:c>
      <x:c r="H14" s="29" t="str">
        <x:v>native flux/time observation</x:v>
      </x:c>
      <x:c r="I14" s="29" t="str">
        <x:v>installed cable DR</x:v>
      </x:c>
    </x:row>
    <x:row r="15" ht="28.799999237060547" hidden="0" customHeight="1">
      <x:c r="A15" s="29" t="str">
        <x:v>ZHANG_2022_XLPE</x:v>
      </x:c>
      <x:c r="B15" s="29" t="str">
        <x:v>same tested construction</x:v>
      </x:c>
      <x:c r="C15" s="34" t="n">
        <x:v>30</x:v>
      </x:c>
      <x:c r="D15" s="34" t="n">
        <x:v>25</x:v>
      </x:c>
      <x:c r="E15" s="29" t="str">
        <x:v>mean piloted ignition</x:v>
      </x:c>
      <x:c r="F15" s="29" t="str">
        <x:v>§3.1, Table 2</x:v>
      </x:c>
      <x:c r="G15" s="29" t="str">
        <x:v>T2_public_lab_standard_or_physics</x:v>
      </x:c>
      <x:c r="H15" s="29" t="str">
        <x:v>native flux/time observation</x:v>
      </x:c>
      <x:c r="I15" s="29" t="str">
        <x:v>installed cable DR</x:v>
      </x:c>
    </x:row>
    <x:row r="16" ht="28.799999237060547" hidden="0" customHeight="1">
      <x:c r="A16" s="29" t="str">
        <x:v>ZHANG_2022_XLPE</x:v>
      </x:c>
      <x:c r="B16" s="29" t="str">
        <x:v>same tested construction</x:v>
      </x:c>
      <x:c r="C16" s="34" t="n">
        <x:v>40</x:v>
      </x:c>
      <x:c r="D16" s="34" t="n">
        <x:v>13.3</x:v>
      </x:c>
      <x:c r="E16" s="29" t="str">
        <x:v>mean piloted ignition</x:v>
      </x:c>
      <x:c r="F16" s="29" t="str">
        <x:v>§3.1, Table 2</x:v>
      </x:c>
      <x:c r="G16" s="29" t="str">
        <x:v>T2_public_lab_standard_or_physics</x:v>
      </x:c>
      <x:c r="H16" s="29" t="str">
        <x:v>native flux/time observation</x:v>
      </x:c>
      <x:c r="I16" s="29" t="str">
        <x:v>module-vs-cable ranking</x:v>
      </x:c>
    </x:row>
    <x:row r="17" ht="67.19999694824219" hidden="0" customHeight="1">
      <x:c r="A17" s="29" t="str">
        <x:v>ZHAO_2026_PV_POOL_FIRE</x:v>
      </x:c>
      <x:c r="B17" s="29" t="str">
        <x:v>full-size single-glass modules; pool fire; intact/cracked; tilt varied</x:v>
      </x:c>
      <x:c r="C17" s="34" t="str">
        <x:v>not a uniform-cone flux</x:v>
      </x:c>
      <x:c r="D17" s="34" t="str">
        <x:v>test-specific</x:v>
      </x:c>
      <x:c r="E17" s="29" t="str">
        <x:v>cracked modules burned faster; response non-monotonic with tested peak at 15°</x:v>
      </x:c>
      <x:c r="F17" s="29" t="str">
        <x:v>§§3.1–3.2; Conclusions</x:v>
      </x:c>
      <x:c r="G17" s="29" t="str">
        <x:v>T2_public_lab_standard_or_physics</x:v>
      </x:c>
      <x:c r="H17" s="29" t="str">
        <x:v>selector/conditioner direction</x:v>
      </x:c>
      <x:c r="I17" s="29" t="str">
        <x:v>universal 15° penalty or population fragility</x:v>
      </x:c>
    </x:row>
  </x:sheetData>
  <x:mergeCells>
    <x:mergeCell ref="A1:I2"/>
    <x:mergeCell ref="A3:I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26" hidden="0" customWidth="1"/>
    <x:col min="3" max="3" width="31" hidden="0" customWidth="1"/>
    <x:col min="4" max="4" width="42" hidden="0" customWidth="1"/>
    <x:col min="5" max="5" width="25" hidden="0" customWidth="1"/>
    <x:col min="6" max="6" width="29" hidden="0" customWidth="1"/>
    <x:col min="7" max="7" width="35" hidden="0" customWidth="1"/>
    <x:col min="8" max="8" width="43" hidden="0" customWidth="1"/>
  </x:cols>
  <x:sheetData>
    <x:row r="1" ht="28" customHeight="1">
      <x:c r="A1" s="5" t="str">
        <x:v>Site-condition adapter — measured state, no generic discounts</x:v>
      </x:c>
      <x:c r="B1" s="5"/>
      <x:c r="C1" s="5"/>
      <x:c r="D1" s="5"/>
      <x:c r="E1" s="5"/>
      <x:c r="F1" s="5"/>
      <x:c r="G1" s="5"/>
      <x:c r="H1" s="5"/>
    </x:row>
    <x:row r="2" ht="28" customHeight="1">
      <x:c r="A2" s="5"/>
      <x:c r="B2" s="5"/>
      <x:c r="C2" s="5"/>
      <x:c r="D2" s="5"/>
      <x:c r="E2" s="5"/>
      <x:c r="F2" s="5"/>
      <x:c r="G2" s="5"/>
      <x:c r="H2" s="5"/>
    </x:row>
    <x:row r="3" ht="34" customHeight="1">
      <x:c r="A3" s="9" t="str">
        <x:v>Site conditions can materially increase or reduce delivered attack. They select an archetype, condition exposure, or allocate value; they do not directly scale damage ratio without validated evidence.</x:v>
      </x:c>
      <x:c r="B3" s="9"/>
      <x:c r="C3" s="9"/>
      <x:c r="D3" s="9"/>
      <x:c r="E3" s="9"/>
      <x:c r="F3" s="9"/>
      <x:c r="G3" s="9"/>
      <x:c r="H3" s="9"/>
    </x:row>
    <x:row r="5" ht="32" customHeight="1">
      <x:c r="A5" s="18" t="str">
        <x:v>canonical callable field</x:v>
      </x:c>
      <x:c r="B5" s="18" t="str">
        <x:v>role</x:v>
      </x:c>
      <x:c r="C5" s="18" t="str">
        <x:v>source anchor</x:v>
      </x:c>
      <x:c r="D5" s="18" t="str">
        <x:v>required measurement/state</x:v>
      </x:c>
      <x:c r="E5" s="18" t="str">
        <x:v>missing-data rule</x:v>
      </x:c>
      <x:c r="F5" s="18" t="str">
        <x:v>numeric treatment now</x:v>
      </x:c>
      <x:c r="G5" s="18" t="str">
        <x:v>double-count boundary</x:v>
      </x:c>
      <x:c r="H5" s="18" t="str">
        <x:v>overestimation guardrail</x:v>
      </x:c>
    </x:row>
    <x:row r="6" ht="28.799999237060547" hidden="0" customHeight="1">
      <x:c r="A6" s="29" t="str">
        <x:v>conditional_flame_length_class</x:v>
      </x:c>
      <x:c r="B6" s="29" t="str">
        <x:v>upstream hazard selector</x:v>
      </x:c>
      <x:c r="C6" s="29" t="str">
        <x:v>USFS_FSIM_RDS_2023</x:v>
      </x:c>
      <x:c r="D6" s="29" t="str">
        <x:v>one exact canonical bin ID</x:v>
      </x:c>
      <x:c r="E6" s="29" t="str">
        <x:v>invalid/withhold</x:v>
      </x:c>
      <x:c r="F6" s="29" t="str">
        <x:v>input validation only</x:v>
      </x:c>
      <x:c r="G6" s="29" t="str">
        <x:v>never repeated in local attack or DR</x:v>
      </x:c>
      <x:c r="H6" s="29" t="str">
        <x:v>no continuous midpoint or FIL6 cap</x:v>
      </x:c>
    </x:row>
    <x:row r="7" ht="38.400001525878906" hidden="0" customHeight="1">
      <x:c r="A7" s="29" t="str">
        <x:v>conditional_flame_length_probability_by_bin</x:v>
      </x:c>
      <x:c r="B7" s="29" t="str">
        <x:v>upstream hazard distribution</x:v>
      </x:c>
      <x:c r="C7" s="29" t="str">
        <x:v>USFS_FSIM_RDS_2023</x:v>
      </x:c>
      <x:c r="D7" s="29" t="str">
        <x:v>six probabilities plus imputation provenance</x:v>
      </x:c>
      <x:c r="E7" s="29" t="str">
        <x:v>invalid/withhold</x:v>
      </x:c>
      <x:c r="F7" s="29" t="str">
        <x:v>input validation only</x:v>
      </x:c>
      <x:c r="G7" s="29" t="str">
        <x:v>burn probability stays in frequency</x:v>
      </x:c>
      <x:c r="H7" s="29" t="str">
        <x:v>imputed FLP is not direct site evidence</x:v>
      </x:c>
    </x:row>
    <x:row r="8" ht="48" hidden="0" customHeight="1">
      <x:c r="A8" s="29" t="str">
        <x:v>zone_id</x:v>
      </x:c>
      <x:c r="B8" s="29" t="str">
        <x:v>exposure/value join</x:v>
      </x:c>
      <x:c r="C8" s="29" t="str">
        <x:v>NIST_TN_1796; GOVERNANCE_CONTRACT</x:v>
      </x:c>
      <x:c r="D8" s="29" t="str">
        <x:v>stable spatial zone and component quantities</x:v>
      </x:c>
      <x:c r="E8" s="29" t="str">
        <x:v>withhold site loss</x:v>
      </x:c>
      <x:c r="F8" s="29" t="str">
        <x:v>join key only</x:v>
      </x:c>
      <x:c r="G8" s="29" t="str">
        <x:v>one value row maps once</x:v>
      </x:c>
      <x:c r="H8" s="29" t="str">
        <x:v>no whole-site default</x:v>
      </x:c>
    </x:row>
    <x:row r="9" ht="48" hidden="0" customHeight="1">
      <x:c r="A9" s="29" t="str">
        <x:v>local_fire_state_basis</x:v>
      </x:c>
      <x:c r="B9" s="29" t="str">
        <x:v>bridge provenance</x:v>
      </x:c>
      <x:c r="C9" s="29" t="str">
        <x:v>NIST_TN_1796; GOVERNANCE_CONTRACT</x:v>
      </x:c>
      <x:c r="D9" s="29" t="str">
        <x:v>measured/modelled/screening/unknown basis</x:v>
      </x:c>
      <x:c r="E9" s="29" t="str">
        <x:v>unknown withholds</x:v>
      </x:c>
      <x:c r="F9" s="29" t="str">
        <x:v>provenance only</x:v>
      </x:c>
      <x:c r="G9" s="29" t="str">
        <x:v>does not itself modify DR</x:v>
      </x:c>
      <x:c r="H9" s="29" t="str">
        <x:v>screening state cannot masquerade as measured exposure</x:v>
      </x:c>
    </x:row>
    <x:row r="10" ht="38.400001525878906" hidden="0" customHeight="1">
      <x:c r="A10" s="29" t="str">
        <x:v>fuel_surface_class</x:v>
      </x:c>
      <x:c r="B10" s="29" t="str">
        <x:v>bridge input</x:v>
      </x:c>
      <x:c r="C10" s="29" t="str">
        <x:v>DOE_FEMP_PV_WILDFIRE; NIST_TN_2228</x:v>
      </x:c>
      <x:c r="D10" s="29" t="str">
        <x:v>zone/event fuel state</x:v>
      </x:c>
      <x:c r="E10" s="29" t="str">
        <x:v>withhold fuel transfer</x:v>
      </x:c>
      <x:c r="F10" s="29" t="str">
        <x:v>qualified-model input</x:v>
      </x:c>
      <x:c r="G10" s="29" t="str">
        <x:v>not also a DR modifier</x:v>
      </x:c>
      <x:c r="H10" s="29" t="str">
        <x:v>no default fuel class</x:v>
      </x:c>
    </x:row>
    <x:row r="11" ht="38.400001525878906" hidden="0" customHeight="1">
      <x:c r="A11" s="29" t="str">
        <x:v>grass_height_mm</x:v>
      </x:c>
      <x:c r="B11" s="29" t="str">
        <x:v>bridge input</x:v>
      </x:c>
      <x:c r="C11" s="29" t="str">
        <x:v>ENERGY_SAFE_VICTORIA_SOLAR</x:v>
      </x:c>
      <x:c r="D11" s="29" t="str">
        <x:v>height plus inspection date</x:v>
      </x:c>
      <x:c r="E11" s="29" t="str">
        <x:v>no maintenance credit</x:v>
      </x:c>
      <x:c r="F11" s="29" t="str">
        <x:v>control/compliance field</x:v>
      </x:c>
      <x:c r="G11" s="29" t="str">
        <x:v>not also at-risk or DR</x:v>
      </x:c>
      <x:c r="H11" s="29" t="str">
        <x:v>100 mm is a jurisdictional control, not efficacy</x:v>
      </x:c>
    </x:row>
    <x:row r="12" ht="38.400001525878906" hidden="0" customHeight="1">
      <x:c r="A12" s="29" t="str">
        <x:v>vegetation_clearance_m</x:v>
      </x:c>
      <x:c r="B12" s="29" t="str">
        <x:v>bridge input</x:v>
      </x:c>
      <x:c r="C12" s="29" t="str">
        <x:v>DOE_FEMP_PV_WILDFIRE; SYPHARD_2014</x:v>
      </x:c>
      <x:c r="D12" s="29" t="str">
        <x:v>measured by component zone</x:v>
      </x:c>
      <x:c r="E12" s="29" t="str">
        <x:v>no universal safe distance</x:v>
      </x:c>
      <x:c r="F12" s="29" t="str">
        <x:v>qualified-model input</x:v>
      </x:c>
      <x:c r="G12" s="29" t="str">
        <x:v>not also firebreak credit</x:v>
      </x:c>
      <x:c r="H12" s="29" t="str">
        <x:v>distance alone is not mitigation efficacy</x:v>
      </x:c>
    </x:row>
    <x:row r="13" ht="38.400001525878906" hidden="0" customHeight="1">
      <x:c r="A13" s="29" t="str">
        <x:v>nearest_external_fuel_distance_m</x:v>
      </x:c>
      <x:c r="B13" s="29" t="str">
        <x:v>bridge input</x:v>
      </x:c>
      <x:c r="C13" s="29" t="str">
        <x:v>COHEN_USDA_2000; DOE_FEMP_PV_WILDFIRE</x:v>
      </x:c>
      <x:c r="D13" s="29" t="str">
        <x:v>component-zone distance by fuel/flame source</x:v>
      </x:c>
      <x:c r="E13" s="29" t="str">
        <x:v>withhold bridge</x:v>
      </x:c>
      <x:c r="F13" s="29" t="str">
        <x:v>measured/model input</x:v>
      </x:c>
      <x:c r="G13" s="29" t="str">
        <x:v>not also a DR multiplier</x:v>
      </x:c>
      <x:c r="H13" s="29" t="str">
        <x:v>fixed 10 m prohibited</x:v>
      </x:c>
    </x:row>
    <x:row r="14" ht="38.400001525878906" hidden="0" customHeight="1">
      <x:c r="A14" s="29" t="str">
        <x:v>fuel_continuity_to_component</x:v>
      </x:c>
      <x:c r="B14" s="29" t="str">
        <x:v>bridge input</x:v>
      </x:c>
      <x:c r="C14" s="29" t="str">
        <x:v>NIST_TN_1796; NIST_TN_2228</x:v>
      </x:c>
      <x:c r="D14" s="29" t="str">
        <x:v>documented continuous/broken path</x:v>
      </x:c>
      <x:c r="E14" s="29" t="str">
        <x:v>unknown withholds</x:v>
      </x:c>
      <x:c r="F14" s="29" t="str">
        <x:v>qualified-model input</x:v>
      </x:c>
      <x:c r="G14" s="29" t="str">
        <x:v>not also fence/firebreak multiplier</x:v>
      </x:c>
      <x:c r="H14" s="29" t="str">
        <x:v>coarse burned pixel does not prove attack</x:v>
      </x:c>
    </x:row>
    <x:row r="15" ht="48" hidden="0" customHeight="1">
      <x:c r="A15" s="29" t="str">
        <x:v>vegetation_management_state</x:v>
      </x:c>
      <x:c r="B15" s="29" t="str">
        <x:v>conditioner</x:v>
      </x:c>
      <x:c r="C15" s="29" t="str">
        <x:v>DOE_FEMP_PV_WILDFIRE; ENERGY_SAFE_VICTORIA_SOLAR</x:v>
      </x:c>
      <x:c r="D15" s="29" t="str">
        <x:v>maintained/overdue/failed/unknown plus date</x:v>
      </x:c>
      <x:c r="E15" s="29" t="str">
        <x:v>unknown gets no credit</x:v>
      </x:c>
      <x:c r="F15" s="29" t="str">
        <x:v>state capture only</x:v>
      </x:c>
      <x:c r="G15" s="29" t="str">
        <x:v>feeds one fuel model</x:v>
      </x:c>
      <x:c r="H15" s="29" t="str">
        <x:v>maintenance label alone is not efficacy</x:v>
      </x:c>
    </x:row>
    <x:row r="16" ht="38.400001525878906" hidden="0" customHeight="1">
      <x:c r="A16" s="29" t="str">
        <x:v>firebreak_width_m</x:v>
      </x:c>
      <x:c r="B16" s="29" t="str">
        <x:v>bridge input</x:v>
      </x:c>
      <x:c r="C16" s="29" t="str">
        <x:v>ENERGY_SAFE_VICTORIA_SOLAR</x:v>
      </x:c>
      <x:c r="D16" s="29" t="str">
        <x:v>measured width plus breach/continuity record</x:v>
      </x:c>
      <x:c r="E16" s="29" t="str">
        <x:v>no credit</x:v>
      </x:c>
      <x:c r="F16" s="29" t="str">
        <x:v>qualified-model input</x:v>
      </x:c>
      <x:c r="G16" s="29" t="str">
        <x:v>not also clearance/wall multiplier</x:v>
      </x:c>
      <x:c r="H16" s="29" t="str">
        <x:v>10 m is not proof severe fire stops</x:v>
      </x:c>
    </x:row>
    <x:row r="17" ht="48" hidden="0" customHeight="1">
      <x:c r="A17" s="29" t="str">
        <x:v>firebreak_surface</x:v>
      </x:c>
      <x:c r="B17" s="29" t="str">
        <x:v>selector</x:v>
      </x:c>
      <x:c r="C17" s="29" t="str">
        <x:v>DOE_FEMP_PV_WILDFIRE; ENERGY_SAFE_VICTORIA_SOLAR</x:v>
      </x:c>
      <x:c r="D17" s="29" t="str">
        <x:v>verified surface and condition</x:v>
      </x:c>
      <x:c r="E17" s="29" t="str">
        <x:v>no credit</x:v>
      </x:c>
      <x:c r="F17" s="29" t="str">
        <x:v>archetype/model selector</x:v>
      </x:c>
      <x:c r="G17" s="29" t="str">
        <x:v>not also vegetation discount</x:v>
      </x:c>
      <x:c r="H17" s="29" t="str">
        <x:v>noncombustible label is not measured effectiveness</x:v>
      </x:c>
    </x:row>
    <x:row r="18" ht="38.400001525878906" hidden="0" customHeight="1">
      <x:c r="A18" s="29" t="str">
        <x:v>perimeter_fence_material</x:v>
      </x:c>
      <x:c r="B18" s="29" t="str">
        <x:v>selector</x:v>
      </x:c>
      <x:c r="C18" s="29" t="str">
        <x:v>NIST_TN_2228</x:v>
      </x:c>
      <x:c r="D18" s="29" t="str">
        <x:v>material, openness, continuity and geometry</x:v>
      </x:c>
      <x:c r="E18" s="29" t="str">
        <x:v>unknown/no credit</x:v>
      </x:c>
      <x:c r="F18" s="29" t="str">
        <x:v>categorical state only</x:v>
      </x:c>
      <x:c r="G18" s="29" t="str">
        <x:v>not also radiant shield</x:v>
      </x:c>
      <x:c r="H18" s="29" t="str">
        <x:v>combustible fence may be a conduit</x:v>
      </x:c>
    </x:row>
    <x:row r="19" ht="38.400001525878906" hidden="0" customHeight="1">
      <x:c r="A19" s="29" t="str">
        <x:v>parallel_combustible_fence_state</x:v>
      </x:c>
      <x:c r="B19" s="29" t="str">
        <x:v>conditioner</x:v>
      </x:c>
      <x:c r="C19" s="29" t="str">
        <x:v>NIST_TN_2228</x:v>
      </x:c>
      <x:c r="D19" s="29" t="str">
        <x:v>presence, spacing, orientation and wind</x:v>
      </x:c>
      <x:c r="E19" s="29" t="str">
        <x:v>flag unknown</x:v>
      </x:c>
      <x:c r="F19" s="29" t="str">
        <x:v>capture/qualified model</x:v>
      </x:c>
      <x:c r="G19" s="29" t="str">
        <x:v>not also generic wind penalty</x:v>
      </x:c>
      <x:c r="H19" s="29" t="str">
        <x:v>configuration-specific transferred evidence</x:v>
      </x:c>
    </x:row>
    <x:row r="20" ht="48" hidden="0" customHeight="1">
      <x:c r="A20" s="29" t="str">
        <x:v>fuel_accumulation_at_fence</x:v>
      </x:c>
      <x:c r="B20" s="29" t="str">
        <x:v>conditioner</x:v>
      </x:c>
      <x:c r="C20" s="29" t="str">
        <x:v>NIST_TN_2228</x:v>
      </x:c>
      <x:c r="D20" s="29" t="str">
        <x:v>debris/mulch/fuels plus maintenance date</x:v>
      </x:c>
      <x:c r="E20" s="29" t="str">
        <x:v>unknown/no credit</x:v>
      </x:c>
      <x:c r="F20" s="29" t="str">
        <x:v>capture/qualified model</x:v>
      </x:c>
      <x:c r="G20" s="29" t="str">
        <x:v>one fence/fuel assessment</x:v>
      </x:c>
      <x:c r="H20" s="29" t="str">
        <x:v>open metal with debris is not automatically benign</x:v>
      </x:c>
    </x:row>
    <x:row r="21" ht="38.400001525878906" hidden="0" customHeight="1">
      <x:c r="A21" s="29" t="str">
        <x:v>solid_barrier_material</x:v>
      </x:c>
      <x:c r="B21" s="29" t="str">
        <x:v>selector</x:v>
      </x:c>
      <x:c r="C21" s="29" t="str">
        <x:v>DOE_FEMP_PV_WILDFIRE; NIST_TN_2228</x:v>
      </x:c>
      <x:c r="D21" s="29" t="str">
        <x:v>material/construction</x:v>
      </x:c>
      <x:c r="E21" s="29" t="str">
        <x:v>no credit</x:v>
      </x:c>
      <x:c r="F21" s="29" t="str">
        <x:v>qualified-model selector</x:v>
      </x:c>
      <x:c r="G21" s="29" t="str">
        <x:v>not a direct DR discount</x:v>
      </x:c>
      <x:c r="H21" s="29" t="str">
        <x:v>noncombustible does not imply effective shielding</x:v>
      </x:c>
    </x:row>
    <x:row r="22" ht="38.400001525878906" hidden="0" customHeight="1">
      <x:c r="A22" s="29" t="str">
        <x:v>solid_barrier_height_m</x:v>
      </x:c>
      <x:c r="B22" s="29" t="str">
        <x:v>bridge input</x:v>
      </x:c>
      <x:c r="C22" s="29" t="str">
        <x:v>COHEN_USDA_2000; DOE_FEMP_PV_WILDFIRE</x:v>
      </x:c>
      <x:c r="D22" s="29" t="str">
        <x:v>measured height</x:v>
      </x:c>
      <x:c r="E22" s="29" t="str">
        <x:v>no credit</x:v>
      </x:c>
      <x:c r="F22" s="29" t="str">
        <x:v>geometry-model input</x:v>
      </x:c>
      <x:c r="G22" s="29" t="str">
        <x:v>not also wall multiplier</x:v>
      </x:c>
      <x:c r="H22" s="29" t="str">
        <x:v>requires flame/view geometry</x:v>
      </x:c>
    </x:row>
    <x:row r="23" ht="48" hidden="0" customHeight="1">
      <x:c r="A23" s="29" t="str">
        <x:v>solid_barrier_continuity</x:v>
      </x:c>
      <x:c r="B23" s="29" t="str">
        <x:v>bridge input</x:v>
      </x:c>
      <x:c r="C23" s="29" t="str">
        <x:v>NIST_TN_2205; GOVERNANCE_CONTRACT</x:v>
      </x:c>
      <x:c r="D23" s="29" t="str">
        <x:v>gaps, gates and continuity fraction</x:v>
      </x:c>
      <x:c r="E23" s="29" t="str">
        <x:v>no credit</x:v>
      </x:c>
      <x:c r="F23" s="29" t="str">
        <x:v>geometry-model input</x:v>
      </x:c>
      <x:c r="G23" s="29" t="str">
        <x:v>not also bypass discount</x:v>
      </x:c>
      <x:c r="H23" s="29" t="str">
        <x:v>gaps may dominate</x:v>
      </x:c>
    </x:row>
    <x:row r="24" ht="48" hidden="0" customHeight="1">
      <x:c r="A24" s="29" t="str">
        <x:v>barrier_component_distance_m</x:v>
      </x:c>
      <x:c r="B24" s="29" t="str">
        <x:v>bridge input</x:v>
      </x:c>
      <x:c r="C24" s="29" t="str">
        <x:v>COHEN_USDA_2000; GOVERNANCE_CONTRACT</x:v>
      </x:c>
      <x:c r="D24" s="29" t="str">
        <x:v>measured by component zone</x:v>
      </x:c>
      <x:c r="E24" s="29" t="str">
        <x:v>no credit</x:v>
      </x:c>
      <x:c r="F24" s="29" t="str">
        <x:v>geometry-model input</x:v>
      </x:c>
      <x:c r="G24" s="29" t="str">
        <x:v>not also setback discount</x:v>
      </x:c>
      <x:c r="H24" s="29" t="str">
        <x:v>distance definition must be explicit</x:v>
      </x:c>
    </x:row>
    <x:row r="25" ht="67.19999694824219" hidden="0" customHeight="1">
      <x:c r="A25" s="29" t="str">
        <x:v>solid_barrier_geometry_model_id</x:v>
      </x:c>
      <x:c r="B25" s="29" t="str">
        <x:v>bridge provenance</x:v>
      </x:c>
      <x:c r="C25" s="29" t="str">
        <x:v>COHEN_USDA_2000; NIST_TN_2205; GOVERNANCE_CONTRACT</x:v>
      </x:c>
      <x:c r="D25" s="29" t="str">
        <x:v>qualified model/protocol identifier</x:v>
      </x:c>
      <x:c r="E25" s="29" t="str">
        <x:v>null means no credit</x:v>
      </x:c>
      <x:c r="F25" s="29" t="str">
        <x:v>provenance gate</x:v>
      </x:c>
      <x:c r="G25" s="29" t="str">
        <x:v>inputs and attenuation applied once</x:v>
      </x:c>
      <x:c r="H25" s="29" t="str">
        <x:v>wall credit cannot be user-guessed</x:v>
      </x:c>
    </x:row>
    <x:row r="26" ht="48" hidden="0" customHeight="1">
      <x:c r="A26" s="29" t="str">
        <x:v>barrier_line_of_sight_fraction</x:v>
      </x:c>
      <x:c r="B26" s="29" t="str">
        <x:v>derived exposure</x:v>
      </x:c>
      <x:c r="C26" s="29" t="str">
        <x:v>COHEN_USDA_2000; GOVERNANCE_CONTRACT</x:v>
      </x:c>
      <x:c r="D26" s="29" t="str">
        <x:v>qualified model output</x:v>
      </x:c>
      <x:c r="E26" s="29" t="str">
        <x:v>withhold bridge</x:v>
      </x:c>
      <x:c r="F26" s="29" t="str">
        <x:v>derived value only</x:v>
      </x:c>
      <x:c r="G26" s="29" t="str">
        <x:v>do not reapply geometry inputs</x:v>
      </x:c>
      <x:c r="H26" s="29" t="str">
        <x:v>not an uncited discount</x:v>
      </x:c>
    </x:row>
    <x:row r="27" ht="28.799999237060547" hidden="0" customHeight="1">
      <x:c r="A27" s="29" t="str">
        <x:v>slope_pct</x:v>
      </x:c>
      <x:c r="B27" s="29" t="str">
        <x:v>bridge input</x:v>
      </x:c>
      <x:c r="C27" s="29" t="str">
        <x:v>USFS_FARSITE_1998</x:v>
      </x:c>
      <x:c r="D27" s="29" t="str">
        <x:v>site/event slope</x:v>
      </x:c>
      <x:c r="E27" s="29" t="str">
        <x:v>withhold bridge</x:v>
      </x:c>
      <x:c r="F27" s="29" t="str">
        <x:v>qualified-model input</x:v>
      </x:c>
      <x:c r="G27" s="29" t="str">
        <x:v>do not reapply upstream adjustment</x:v>
      </x:c>
      <x:c r="H27" s="29" t="str">
        <x:v>no generic slope multiplier</x:v>
      </x:c>
    </x:row>
    <x:row r="28" ht="38.400001525878906" hidden="0" customHeight="1">
      <x:c r="A28" s="29" t="str">
        <x:v>wind_direction_relative_to_row_deg</x:v>
      </x:c>
      <x:c r="B28" s="29" t="str">
        <x:v>bridge input</x:v>
      </x:c>
      <x:c r="C28" s="29" t="str">
        <x:v>USFS_FARSITE_1998; NIST_TN_2228</x:v>
      </x:c>
      <x:c r="D28" s="29" t="str">
        <x:v>event direction relative to equipment</x:v>
      </x:c>
      <x:c r="E28" s="29" t="str">
        <x:v>withhold bridge</x:v>
      </x:c>
      <x:c r="F28" s="29" t="str">
        <x:v>qualified-model input</x:v>
      </x:c>
      <x:c r="G28" s="29" t="str">
        <x:v>not also response/vulnerability penalty</x:v>
      </x:c>
      <x:c r="H28" s="29" t="str">
        <x:v>event-specific, not scalar DR</x:v>
      </x:c>
    </x:row>
    <x:row r="29" ht="38.400001525878906" hidden="0" customHeight="1">
      <x:c r="A29" s="29" t="str">
        <x:v>component_setback_m</x:v>
      </x:c>
      <x:c r="B29" s="29" t="str">
        <x:v>bridge input</x:v>
      </x:c>
      <x:c r="C29" s="29" t="str">
        <x:v>COHEN_USDA_2000; DOE_FEMP_PV_WILDFIRE</x:v>
      </x:c>
      <x:c r="D29" s="29" t="str">
        <x:v>measured from defined fuel/fire source</x:v>
      </x:c>
      <x:c r="E29" s="29" t="str">
        <x:v>withhold bridge</x:v>
      </x:c>
      <x:c r="F29" s="29" t="str">
        <x:v>geometry-model input</x:v>
      </x:c>
      <x:c r="G29" s="29" t="str">
        <x:v>not also clearance discount</x:v>
      </x:c>
      <x:c r="H29" s="29" t="str">
        <x:v>no universal setback credit</x:v>
      </x:c>
    </x:row>
    <x:row r="30" ht="48" hidden="0" customHeight="1">
      <x:c r="A30" s="29" t="str">
        <x:v>component_elevation_m</x:v>
      </x:c>
      <x:c r="B30" s="29" t="str">
        <x:v>bridge input</x:v>
      </x:c>
      <x:c r="C30" s="29" t="str">
        <x:v>COHEN_USDA_2000; GOVERNANCE_CONTRACT</x:v>
      </x:c>
      <x:c r="D30" s="29" t="str">
        <x:v>measured component elevation</x:v>
      </x:c>
      <x:c r="E30" s="29" t="str">
        <x:v>withhold bridge</x:v>
      </x:c>
      <x:c r="F30" s="29" t="str">
        <x:v>geometry-model input</x:v>
      </x:c>
      <x:c r="G30" s="29" t="str">
        <x:v>used once in delivered exposure</x:v>
      </x:c>
      <x:c r="H30" s="29" t="str">
        <x:v>no default</x:v>
      </x:c>
    </x:row>
    <x:row r="31" ht="48" hidden="0" customHeight="1">
      <x:c r="A31" s="29" t="str">
        <x:v>module_construction</x:v>
      </x:c>
      <x:c r="B31" s="29" t="str">
        <x:v>selector</x:v>
      </x:c>
      <x:c r="C31" s="29" t="str">
        <x:v>YANG_2015_PV_IGNITION; ZHAO_2026_PV_POOL_FIRE</x:v>
      </x:c>
      <x:c r="D31" s="29" t="str">
        <x:v>verified BOM/construction</x:v>
      </x:c>
      <x:c r="E31" s="29" t="str">
        <x:v>unknown withholds transfer</x:v>
      </x:c>
      <x:c r="F31" s="29" t="str">
        <x:v>capture only</x:v>
      </x:c>
      <x:c r="G31" s="29" t="str">
        <x:v>not a universal module curve</x:v>
      </x:c>
      <x:c r="H31" s="29" t="str">
        <x:v>tested BOM cannot cover every module</x:v>
      </x:c>
    </x:row>
    <x:row r="32" ht="28.799999237060547" hidden="0" customHeight="1">
      <x:c r="A32" s="29" t="str">
        <x:v>module_glass_integrity</x:v>
      </x:c>
      <x:c r="B32" s="29" t="str">
        <x:v>selector</x:v>
      </x:c>
      <x:c r="C32" s="29" t="str">
        <x:v>ZHAO_2026_PV_POOL_FIRE</x:v>
      </x:c>
      <x:c r="D32" s="29" t="str">
        <x:v>intact/pre-cracked/unknown</x:v>
      </x:c>
      <x:c r="E32" s="29" t="str">
        <x:v>unknown/no credit</x:v>
      </x:c>
      <x:c r="F32" s="29" t="str">
        <x:v>capture only</x:v>
      </x:c>
      <x:c r="G32" s="29" t="str">
        <x:v>not also damage uplift</x:v>
      </x:c>
      <x:c r="H32" s="29" t="str">
        <x:v>mechanism direction is not population DR</x:v>
      </x:c>
    </x:row>
    <x:row r="33" ht="57.599998474121094" hidden="0" customHeight="1">
      <x:c r="A33" s="29" t="str">
        <x:v>module_tilt_deg</x:v>
      </x:c>
      <x:c r="B33" s="29" t="str">
        <x:v>selector</x:v>
      </x:c>
      <x:c r="C33" s="29" t="str">
        <x:v>WANG_2025_PV_THERMAL; ZHAO_2026_PV_POOL_FIRE</x:v>
      </x:c>
      <x:c r="D33" s="29" t="str">
        <x:v>event-time tilt/stow</x:v>
      </x:c>
      <x:c r="E33" s="29" t="str">
        <x:v>unknown/unparameterized</x:v>
      </x:c>
      <x:c r="F33" s="29" t="str">
        <x:v>capture only</x:v>
      </x:c>
      <x:c r="G33" s="29" t="str">
        <x:v>not a universal stow multiplier</x:v>
      </x:c>
      <x:c r="H33" s="29" t="str">
        <x:v>tested 15° peak is configuration-specific</x:v>
      </x:c>
    </x:row>
    <x:row r="34" ht="38.400001525878906" hidden="0" customHeight="1">
      <x:c r="A34" s="29" t="str">
        <x:v>racking_primary_material</x:v>
      </x:c>
      <x:c r="B34" s="29" t="str">
        <x:v>selector</x:v>
      </x:c>
      <x:c r="C34" s="29" t="str">
        <x:v>GOVERNANCE_CONTRACT</x:v>
      </x:c>
      <x:c r="D34" s="29" t="str">
        <x:v>steel/aluminum/mixed/unknown</x:v>
      </x:c>
      <x:c r="E34" s="29" t="str">
        <x:v>unknown withholds matching</x:v>
      </x:c>
      <x:c r="F34" s="29" t="str">
        <x:v>capture only</x:v>
      </x:c>
      <x:c r="G34" s="29" t="str">
        <x:v>no pooled material response</x:v>
      </x:c>
      <x:c r="H34" s="29" t="str">
        <x:v>generic material temperature is not DR</x:v>
      </x:c>
    </x:row>
    <x:row r="35" ht="38.400001525878906" hidden="0" customHeight="1">
      <x:c r="A35" s="29" t="str">
        <x:v>cable_installation</x:v>
      </x:c>
      <x:c r="B35" s="29" t="str">
        <x:v>selector/value allocation</x:v>
      </x:c>
      <x:c r="C35" s="29" t="str">
        <x:v>DOE_FEMP_PV_WILDFIRE; NREL_PV_OM_2018</x:v>
      </x:c>
      <x:c r="D35" s="29" t="str">
        <x:v>exposed/tray/conduit/buried/mixed</x:v>
      </x:c>
      <x:c r="E35" s="29" t="str">
        <x:v>withhold affected loss</x:v>
      </x:c>
      <x:c r="F35" s="29" t="str">
        <x:v>split quantity/value</x:v>
      </x:c>
      <x:c r="G35" s="29" t="str">
        <x:v>not also survival/DR credit</x:v>
      </x:c>
      <x:c r="H35" s="29" t="str">
        <x:v>protected value leaves exposed path once</x:v>
      </x:c>
    </x:row>
    <x:row r="36" ht="38.400001525878906" hidden="0" customHeight="1">
      <x:c r="A36" s="29" t="str">
        <x:v>equipment_enclosure</x:v>
      </x:c>
      <x:c r="B36" s="29" t="str">
        <x:v>selector</x:v>
      </x:c>
      <x:c r="C36" s="29" t="str">
        <x:v>DOE_FEMP_PV_WILDFIRE</x:v>
      </x:c>
      <x:c r="D36" s="29" t="str">
        <x:v>construction and independent fire rating</x:v>
      </x:c>
      <x:c r="E36" s="29" t="str">
        <x:v>no credit</x:v>
      </x:c>
      <x:c r="F36" s="29" t="str">
        <x:v>archetype selector</x:v>
      </x:c>
      <x:c r="G36" s="29" t="str">
        <x:v>not also site barrier credit</x:v>
      </x:c>
      <x:c r="H36" s="29" t="str">
        <x:v>IP rating is not fire resistance</x:v>
      </x:c>
    </x:row>
    <x:row r="37" ht="38.400001525878906" hidden="0" customHeight="1">
      <x:c r="A37" s="29" t="str">
        <x:v>suppression_system_state</x:v>
      </x:c>
      <x:c r="B37" s="29" t="str">
        <x:v>conditioner</x:v>
      </x:c>
      <x:c r="C37" s="29" t="str">
        <x:v>DOE_FEMP_PV_WILDFIRE; NIST_TN_1796</x:v>
      </x:c>
      <x:c r="D37" s="29" t="str">
        <x:v>event availability/effectiveness</x:v>
      </x:c>
      <x:c r="E37" s="29" t="str">
        <x:v>no credit</x:v>
      </x:c>
      <x:c r="F37" s="29" t="str">
        <x:v>separate response model</x:v>
      </x:c>
      <x:c r="G37" s="29" t="str">
        <x:v>not also duration/spread credit</x:v>
      </x:c>
      <x:c r="H37" s="29" t="str">
        <x:v>installed system does not prove intervention</x:v>
      </x:c>
    </x:row>
    <x:row r="38" ht="38.400001525878906" hidden="0" customHeight="1">
      <x:c r="A38" s="29" t="str">
        <x:v>firefighter_access_state</x:v>
      </x:c>
      <x:c r="B38" s="29" t="str">
        <x:v>conditioner</x:v>
      </x:c>
      <x:c r="C38" s="29" t="str">
        <x:v>DOE_FEMP_PV_WILDFIRE; NSW_RFS_OP_1_2_22</x:v>
      </x:c>
      <x:c r="D38" s="29" t="str">
        <x:v>event access under electrical safety</x:v>
      </x:c>
      <x:c r="E38" s="29" t="str">
        <x:v>no credit</x:v>
      </x:c>
      <x:c r="F38" s="29" t="str">
        <x:v>separate response model</x:v>
      </x:c>
      <x:c r="G38" s="29" t="str">
        <x:v>not also suppression probability</x:v>
      </x:c>
      <x:c r="H38" s="29" t="str">
        <x:v>access existence does not prove success</x:v>
      </x:c>
    </x:row>
    <x:row r="39" ht="28.799999237060547" hidden="0" customHeight="1">
      <x:c r="A39" s="29" t="str">
        <x:v>deenergization_state</x:v>
      </x:c>
      <x:c r="B39" s="29" t="str">
        <x:v>conditioner</x:v>
      </x:c>
      <x:c r="C39" s="29" t="str">
        <x:v>NSW_RFS_OP_1_2_22</x:v>
      </x:c>
      <x:c r="D39" s="29" t="str">
        <x:v>confirmed/not-confirmed/unknown</x:v>
      </x:c>
      <x:c r="E39" s="29" t="str">
        <x:v>no response credit</x:v>
      </x:c>
      <x:c r="F39" s="29" t="str">
        <x:v>separate response model</x:v>
      </x:c>
      <x:c r="G39" s="29" t="str">
        <x:v>not radiant fragility</x:v>
      </x:c>
      <x:c r="H39" s="29" t="str">
        <x:v>operational state only</x:v>
      </x:c>
    </x:row>
    <x:row r="40" ht="57.599998474121094" hidden="0" customHeight="1">
      <x:c r="A40" s="29" t="str">
        <x:v>at_risk_fraction_by_failure_unit_zone</x:v>
      </x:c>
      <x:c r="B40" s="29" t="str">
        <x:v>allocation</x:v>
      </x:c>
      <x:c r="C40" s="29" t="str">
        <x:v>VALUE_SOLAR_WORKBOOK; GOVERNANCE_CONTRACT</x:v>
      </x:c>
      <x:c r="D40" s="29" t="str">
        <x:v>documented fraction [0,1]</x:v>
      </x:c>
      <x:c r="E40" s="29" t="str">
        <x:v>missing withholds</x:v>
      </x:c>
      <x:c r="F40" s="29" t="str">
        <x:v>required future allocation</x:v>
      </x:c>
      <x:c r="G40" s="29" t="str">
        <x:v>separate from burned/attack fractions</x:v>
      </x:c>
      <x:c r="H40" s="29" t="str">
        <x:v>never defaults to 1</x:v>
      </x:c>
    </x:row>
    <x:row r="41" ht="38.400001525878906" hidden="0" customHeight="1">
      <x:c r="A41" s="29" t="str">
        <x:v>at_risk_fraction_basis</x:v>
      </x:c>
      <x:c r="B41" s="29" t="str">
        <x:v>allocation provenance</x:v>
      </x:c>
      <x:c r="C41" s="29" t="str">
        <x:v>GOVERNANCE_CONTRACT</x:v>
      </x:c>
      <x:c r="D41" s="29" t="str">
        <x:v>inventory/drawing/inspection/model identifier</x:v>
      </x:c>
      <x:c r="E41" s="29" t="str">
        <x:v>missing withholds</x:v>
      </x:c>
      <x:c r="F41" s="29" t="str">
        <x:v>provenance gate</x:v>
      </x:c>
      <x:c r="G41" s="29" t="str">
        <x:v>does not independently scale loss</x:v>
      </x:c>
      <x:c r="H41" s="29" t="str">
        <x:v>no undocumented fraction</x:v>
      </x:c>
    </x:row>
    <x:row r="42" ht="48" hidden="0" customHeight="1">
      <x:c r="A42" s="29" t="str">
        <x:v>component_burned_fraction_by_zone</x:v>
      </x:c>
      <x:c r="B42" s="29" t="str">
        <x:v>spatial allocation</x:v>
      </x:c>
      <x:c r="C42" s="29" t="str">
        <x:v>NIST_TN_1796; GOVERNANCE_CONTRACT</x:v>
      </x:c>
      <x:c r="D42" s="29" t="str">
        <x:v>fraction in reconstructed burn footprint</x:v>
      </x:c>
      <x:c r="E42" s="29" t="str">
        <x:v>missing withholds</x:v>
      </x:c>
      <x:c r="F42" s="29" t="str">
        <x:v>required future allocation</x:v>
      </x:c>
      <x:c r="G42" s="29" t="str">
        <x:v>separate from attack fraction</x:v>
      </x:c>
      <x:c r="H42" s="29" t="str">
        <x:v>never defaults to 1</x:v>
      </x:c>
    </x:row>
    <x:row r="43" ht="48" hidden="0" customHeight="1">
      <x:c r="A43" s="29" t="str">
        <x:v>component_attack_fraction_by_zone</x:v>
      </x:c>
      <x:c r="B43" s="29" t="str">
        <x:v>local allocation</x:v>
      </x:c>
      <x:c r="C43" s="29" t="str">
        <x:v>NIST_TN_1796; GOVERNANCE_CONTRACT</x:v>
      </x:c>
      <x:c r="D43" s="29" t="str">
        <x:v>fraction reached by damaging load conditional on burned</x:v>
      </x:c>
      <x:c r="E43" s="29" t="str">
        <x:v>missing withholds</x:v>
      </x:c>
      <x:c r="F43" s="29" t="str">
        <x:v>required future allocation</x:v>
      </x:c>
      <x:c r="G43" s="29" t="str">
        <x:v>separate from burned/at-risk fractions</x:v>
      </x:c>
      <x:c r="H43" s="29" t="str">
        <x:v>never defaults to 1</x:v>
      </x:c>
    </x:row>
    <x:row r="44" ht="38.400001525878906" hidden="0" customHeight="1">
      <x:c r="A44" s="29" t="str">
        <x:v>direct_flame_contact_state</x:v>
      </x:c>
      <x:c r="B44" s="29" t="str">
        <x:v>derived exposure</x:v>
      </x:c>
      <x:c r="C44" s="29" t="str">
        <x:v>NIST_TN_1796; DOE_FEMP_PV_WILDFIRE</x:v>
      </x:c>
      <x:c r="D44" s="29" t="str">
        <x:v>yes/no/unknown by component zone</x:v>
      </x:c>
      <x:c r="E44" s="29" t="str">
        <x:v>unknown withholds pathway</x:v>
      </x:c>
      <x:c r="F44" s="29" t="str">
        <x:v>separate pathway</x:v>
      </x:c>
      <x:c r="G44" s="29" t="str">
        <x:v>not folded into radiant flux</x:v>
      </x:c>
      <x:c r="H44" s="29" t="str">
        <x:v>contact is not inferred from FIL</x:v>
      </x:c>
    </x:row>
    <x:row r="45" ht="86.4000015258789" hidden="0" customHeight="1">
      <x:c r="A45" s="29" t="str">
        <x:v>incident_heat_flux_kw_m2</x:v>
      </x:c>
      <x:c r="B45" s="29" t="str">
        <x:v>derived exposure</x:v>
      </x:c>
      <x:c r="C45" s="29" t="str">
        <x:v>COHEN_USDA_2000; WANG_2025_PV_THERMAL; YANG_2015_PV_IGNITION; ZHANG_2022_XLPE</x:v>
      </x:c>
      <x:c r="D45" s="29" t="str">
        <x:v>location/orientation/model provenance</x:v>
      </x:c>
      <x:c r="E45" s="29" t="str">
        <x:v>withhold curve</x:v>
      </x:c>
      <x:c r="F45" s="29" t="str">
        <x:v>preferred future input</x:v>
      </x:c>
      <x:c r="G45" s="29" t="str">
        <x:v>not inferred again inside DR</x:v>
      </x:c>
      <x:c r="H45" s="29" t="str">
        <x:v>FIL kW/m is not a unit conversion</x:v>
      </x:c>
    </x:row>
    <x:row r="46" ht="57.599998474121094" hidden="0" customHeight="1">
      <x:c r="A46" s="29" t="str">
        <x:v>exposure_duration_s</x:v>
      </x:c>
      <x:c r="B46" s="29" t="str">
        <x:v>derived exposure</x:v>
      </x:c>
      <x:c r="C46" s="29" t="str">
        <x:v>COHEN_USDA_2000; YANG_2015_PV_IGNITION; ZHANG_2022_XLPE</x:v>
      </x:c>
      <x:c r="D46" s="29" t="str">
        <x:v>component-zone duration</x:v>
      </x:c>
      <x:c r="E46" s="29" t="str">
        <x:v>withhold curve</x:v>
      </x:c>
      <x:c r="F46" s="29" t="str">
        <x:v>paired with flux/contact</x:v>
      </x:c>
      <x:c r="G46" s="29" t="str">
        <x:v>not FSim active period</x:v>
      </x:c>
      <x:c r="H46" s="29" t="str">
        <x:v>thermal response is time dependent</x:v>
      </x:c>
    </x:row>
    <x:row r="47" ht="57.599998474121094" hidden="0" customHeight="1">
      <x:c r="A47" s="29" t="str">
        <x:v>firebrand_or_ember_attack_state</x:v>
      </x:c>
      <x:c r="B47" s="29" t="str">
        <x:v>deferred pathway</x:v>
      </x:c>
      <x:c r="C47" s="29" t="str">
        <x:v>NIST_TN_1796; NIST_TN_2205; NIST_TN_2228</x:v>
      </x:c>
      <x:c r="D47" s="29" t="str">
        <x:v>none/present/unknown plus basis</x:v>
      </x:c>
      <x:c r="E47" s="29" t="str">
        <x:v>no damage emit</x:v>
      </x:c>
      <x:c r="F47" s="29" t="str">
        <x:v>capture/defer</x:v>
      </x:c>
      <x:c r="G47" s="29" t="str">
        <x:v>not folded into radiant DR</x:v>
      </x:c>
      <x:c r="H47" s="29" t="str">
        <x:v>requires recipient-side ignition calibration</x:v>
      </x:c>
    </x:row>
    <x:row r="50">
      <x:c r="A50" s="35" t="str">
        <x:v>Double-count control matrix</x:v>
      </x:c>
      <x:c r="B50" s="35"/>
      <x:c r="C50" s="35"/>
      <x:c r="D50" s="35"/>
      <x:c r="E50" s="35"/>
      <x:c r="F50" s="35"/>
      <x:c r="G50" s="35"/>
      <x:c r="H50" s="35"/>
    </x:row>
    <x:row r="51" ht="32" customHeight="1">
      <x:c r="A51" s="40" t="str">
        <x:v>field group</x:v>
      </x:c>
      <x:c r="B51" s="40" t="str">
        <x:v>primary role</x:v>
      </x:c>
      <x:c r="C51" s="40" t="str">
        <x:v>may affect</x:v>
      </x:c>
      <x:c r="D51" s="40" t="str">
        <x:v>must not also affect</x:v>
      </x:c>
      <x:c r="E51" s="40" t="str">
        <x:v>required join</x:v>
      </x:c>
      <x:c r="F51" s="40" t="str">
        <x:v>unknown rule</x:v>
      </x:c>
      <x:c r="G51" s="40" t="str">
        <x:v>why</x:v>
      </x:c>
      <x:c r="H51" s="40" t="str">
        <x:v>test</x:v>
      </x:c>
    </x:row>
    <x:row r="52" ht="15" hidden="0" customHeight="1">
      <x:c r="A52" s="29" t="str">
        <x:v>fuel/vegetation/firebreak</x:v>
      </x:c>
      <x:c r="B52" s="29" t="str">
        <x:v>exposure conditioner</x:v>
      </x:c>
      <x:c r="C52" s="29" t="str">
        <x:v>local attack model</x:v>
      </x:c>
      <x:c r="D52" s="29" t="str">
        <x:v>at-risk value and DR directly</x:v>
      </x:c>
      <x:c r="E52" s="29" t="str">
        <x:v>zone/event</x:v>
      </x:c>
      <x:c r="F52" s="29" t="str">
        <x:v>no credit</x:v>
      </x:c>
      <x:c r="G52" s="29" t="str">
        <x:v>one control cannot be counted in three factors</x:v>
      </x:c>
      <x:c r="H52" s="29" t="str">
        <x:v>no numeric output in scaffold</x:v>
      </x:c>
    </x:row>
    <x:row r="53" ht="15" hidden="0" customHeight="1">
      <x:c r="A53" s="29" t="str">
        <x:v>fence/wall/barrier</x:v>
      </x:c>
      <x:c r="B53" s="29" t="str">
        <x:v>selector/geometry bridge</x:v>
      </x:c>
      <x:c r="C53" s="29" t="str">
        <x:v>fuel continuity/view/contact</x:v>
      </x:c>
      <x:c r="D53" s="29" t="str">
        <x:v>direct DR multiplier</x:v>
      </x:c>
      <x:c r="E53" s="29" t="str">
        <x:v>zone/geometry</x:v>
      </x:c>
      <x:c r="F53" s="29" t="str">
        <x:v>no credit</x:v>
      </x:c>
      <x:c r="G53" s="29" t="str">
        <x:v>can shield, conduct, channel, trap fuels or be bypassed</x:v>
      </x:c>
      <x:c r="H53" s="29" t="str">
        <x:v>geometry required</x:v>
      </x:c>
    </x:row>
    <x:row r="54" ht="15" hidden="0" customHeight="1">
      <x:c r="A54" s="29" t="str">
        <x:v>burial/enclosure</x:v>
      </x:c>
      <x:c r="B54" s="29" t="str">
        <x:v>component selector + value allocation</x:v>
      </x:c>
      <x:c r="C54" s="29" t="str">
        <x:v>matching exposed/protected archetype</x:v>
      </x:c>
      <x:c r="D54" s="29" t="str">
        <x:v>independent survival credit</x:v>
      </x:c>
      <x:c r="E54" s="29" t="str">
        <x:v>failure unit/value row</x:v>
      </x:c>
      <x:c r="F54" s="29" t="str">
        <x:v>withhold split</x:v>
      </x:c>
      <x:c r="G54" s="29" t="str">
        <x:v>protected value must leave exposed pathway once</x:v>
      </x:c>
      <x:c r="H54" s="29" t="str">
        <x:v>no pooled cable/equipment bucket</x:v>
      </x:c>
    </x:row>
    <x:row r="55" ht="15" hidden="0" customHeight="1">
      <x:c r="A55" s="29" t="str">
        <x:v>burned fraction vs attack fraction</x:v>
      </x:c>
      <x:c r="B55" s="29" t="str">
        <x:v>two separate exposure fractions</x:v>
      </x:c>
      <x:c r="C55" s="29" t="str">
        <x:v>spatial reach then damaging-load reach</x:v>
      </x:c>
      <x:c r="D55" s="29" t="str">
        <x:v>duplicate reduction in DR</x:v>
      </x:c>
      <x:c r="E55" s="29" t="str">
        <x:v>failure unit/zone/event</x:v>
      </x:c>
      <x:c r="F55" s="29" t="str">
        <x:v>withhold</x:v>
      </x:c>
      <x:c r="G55" s="29" t="str">
        <x:v>coarse footprint does not prove attack</x:v>
      </x:c>
      <x:c r="H55" s="29" t="str">
        <x:v>neither defaults to 1</x:v>
      </x:c>
    </x:row>
    <x:row r="56" ht="15" hidden="0" customHeight="1">
      <x:c r="A56" s="29" t="str">
        <x:v>access/de-energization</x:v>
      </x:c>
      <x:c r="B56" s="29" t="str">
        <x:v>response conditioner</x:v>
      </x:c>
      <x:c r="C56" s="29" t="str">
        <x:v>event duration/defensive action model</x:v>
      </x:c>
      <x:c r="D56" s="29" t="str">
        <x:v>automatic mitigation percentage</x:v>
      </x:c>
      <x:c r="E56" s="29" t="str">
        <x:v>event/site</x:v>
      </x:c>
      <x:c r="F56" s="29" t="str">
        <x:v>no credit</x:v>
      </x:c>
      <x:c r="G56" s="29" t="str">
        <x:v>control presence does not prove response outcome</x:v>
      </x:c>
      <x:c r="H56" s="29" t="str">
        <x:v>response evidence required</x:v>
      </x:c>
    </x:row>
  </x:sheetData>
  <x:mergeCells>
    <x:mergeCell ref="A1:H2"/>
    <x:mergeCell ref="A3:H3"/>
    <x:mergeCell ref="A50:H5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9" hidden="0" customWidth="1"/>
    <x:col min="2" max="2" width="20" hidden="0" customWidth="1"/>
    <x:col min="3" max="3" width="25" hidden="0" customWidth="1"/>
    <x:col min="4" max="4" width="31" hidden="0" customWidth="1"/>
    <x:col min="5" max="5" width="18" hidden="0" customWidth="1"/>
    <x:col min="6" max="6" width="16" hidden="0" customWidth="1"/>
    <x:col min="7" max="7" width="48" hidden="0" customWidth="1"/>
    <x:col min="8" max="8" width="15" hidden="0" customWidth="1"/>
  </x:cols>
  <x:sheetData>
    <x:row r="1" ht="28" customHeight="1">
      <x:c r="A1" s="5" t="str">
        <x:v>Withdrawn FIL→DR pressure test</x:v>
      </x:c>
      <x:c r="B1" s="5"/>
      <x:c r="C1" s="5"/>
      <x:c r="D1" s="5"/>
      <x:c r="E1" s="5"/>
      <x:c r="F1" s="5"/>
      <x:c r="G1" s="5"/>
      <x:c r="H1" s="5"/>
    </x:row>
    <x:row r="2" ht="28" customHeight="1">
      <x:c r="A2" s="5"/>
      <x:c r="B2" s="5"/>
      <x:c r="C2" s="5"/>
      <x:c r="D2" s="5"/>
      <x:c r="E2" s="5"/>
      <x:c r="F2" s="5"/>
      <x:c r="G2" s="5"/>
      <x:c r="H2" s="5"/>
    </x:row>
    <x:row r="3" ht="34" customHeight="1">
      <x:c r="A3" s="9" t="str">
        <x:v>The ordinates are retained only to show why they were removed. Direct hardware and the broader physical basis (including pure support rows plus unsplit mixed civil row 14) are shown separately; neither is a model estimate.</x:v>
      </x:c>
      <x:c r="B3" s="9"/>
      <x:c r="C3" s="9"/>
      <x:c r="D3" s="9"/>
      <x:c r="E3" s="9"/>
      <x:c r="F3" s="9"/>
      <x:c r="G3" s="9"/>
      <x:c r="H3" s="9"/>
    </x:row>
    <x:row r="5" ht="32" customHeight="1">
      <x:c r="A5" s="18" t="str">
        <x:v>FIL</x:v>
      </x:c>
      <x:c r="B5" s="18" t="str">
        <x:v>withdrawn base DR</x:v>
      </x:c>
      <x:c r="C5" s="18" t="str">
        <x:v>direct hardware loss USD</x:v>
      </x:c>
      <x:c r="D5" s="18" t="str">
        <x:v>broader physical-basis arithmetic USD</x:v>
      </x:c>
      <x:c r="E5" s="18" t="str">
        <x:v>legacy proxy DR</x:v>
      </x:c>
      <x:c r="F5" s="18" t="str">
        <x:v>status</x:v>
      </x:c>
      <x:c r="G5" s="18" t="str">
        <x:v>finding</x:v>
      </x:c>
      <x:c r="H5" s="18" t="str">
        <x:v>runtime use</x:v>
      </x:c>
    </x:row>
    <x:row r="6" ht="54" hidden="0" customHeight="1">
      <x:c r="A6" s="13" t="n">
        <x:v>1</x:v>
      </x:c>
      <x:c r="B6" s="41" t="n">
        <x:v>0.0045</x:v>
      </x:c>
      <x:c r="C6" s="42" t="n">
        <x:f>B6*Asset_Value!$C$10</x:f>
        <x:v>295641.6557176675</x:v>
      </x:c>
      <x:c r="D6" s="42" t="n">
        <x:f>B6*Asset_Value!$C$12</x:f>
        <x:v>395008.06606320007</x:v>
      </x:c>
      <x:c r="E6" s="41" t="n">
        <x:v>0.001</x:v>
      </x:c>
      <x:c r="F6" s="22" t="str">
        <x:v>WITHDRAWN</x:v>
      </x:c>
      <x:c r="G6" s="13" t="str">
        <x:v>No FIL→local exposure→economic DR calibration</x:v>
      </x:c>
      <x:c r="H6" s="13" t="str">
        <x:v>none</x:v>
      </x:c>
    </x:row>
    <x:row r="7" ht="64.80000305175781" hidden="0" customHeight="1">
      <x:c r="A7" s="13" t="n">
        <x:v>2</x:v>
      </x:c>
      <x:c r="B7" s="41" t="n">
        <x:v>0.0258</x:v>
      </x:c>
      <x:c r="C7" s="42" t="n">
        <x:f>B7*Asset_Value!$C$10</x:f>
        <x:v>1695012.1594479603</x:v>
      </x:c>
      <x:c r="D7" s="42" t="n">
        <x:f>B7*Asset_Value!$C$12</x:f>
        <x:v>2264712.9120956804</x:v>
      </x:c>
      <x:c r="E7" s="41" t="n">
        <x:v>0.0122</x:v>
      </x:c>
      <x:c r="F7" s="22" t="str">
        <x:v>WITHDRAWN</x:v>
      </x:c>
      <x:c r="G7" s="13" t="str">
        <x:v>Full-plant multiplication can materially overstate site loss</x:v>
      </x:c>
      <x:c r="H7" s="13" t="str">
        <x:v>none</x:v>
      </x:c>
    </x:row>
    <x:row r="8" ht="64.80000305175781" hidden="0" customHeight="1">
      <x:c r="A8" s="13" t="n">
        <x:v>3</x:v>
      </x:c>
      <x:c r="B8" s="41" t="n">
        <x:v>0.0973</x:v>
      </x:c>
      <x:c r="C8" s="42" t="n">
        <x:f>B8*Asset_Value!$C$10</x:f>
        <x:v>6392429.578073122</x:v>
      </x:c>
      <x:c r="D8" s="42" t="n">
        <x:f>B8*Asset_Value!$C$12</x:f>
        <x:v>8540952.183988748</x:v>
      </x:c>
      <x:c r="E8" s="41" t="n">
        <x:v>0.0475</x:v>
      </x:c>
      <x:c r="F8" s="22" t="str">
        <x:v>WITHDRAWN</x:v>
      </x:c>
      <x:c r="G8" s="13" t="str">
        <x:v>At-risk, burned and attack fractions are site-dependent</x:v>
      </x:c>
      <x:c r="H8" s="13" t="str">
        <x:v>none</x:v>
      </x:c>
    </x:row>
    <x:row r="9" ht="64.80000305175781" hidden="0" customHeight="1">
      <x:c r="A9" s="13" t="n">
        <x:v>4</x:v>
      </x:c>
      <x:c r="B9" s="41" t="n">
        <x:v>0.2236</x:v>
      </x:c>
      <x:c r="C9" s="42" t="n">
        <x:f>B9*Asset_Value!$C$10</x:f>
        <x:v>14690105.381882321</x:v>
      </x:c>
      <x:c r="D9" s="42" t="n">
        <x:f>B9*Asset_Value!$C$12</x:f>
        <x:v>19627511.90482923</x:v>
      </x:c>
      <x:c r="E9" s="41" t="n">
        <x:v>0.1401</x:v>
      </x:c>
      <x:c r="F9" s="22" t="str">
        <x:v>WITHDRAWN</x:v>
      </x:c>
      <x:c r="G9" s="13" t="str">
        <x:v>Rows 12/13/15 get no curve; mixed civil row 14 must split first</x:v>
      </x:c>
      <x:c r="H9" s="13" t="str">
        <x:v>none</x:v>
      </x:c>
    </x:row>
    <x:row r="10" ht="64.80000305175781" hidden="0" customHeight="1">
      <x:c r="A10" s="13" t="n">
        <x:v>5</x:v>
      </x:c>
      <x:c r="B10" s="41" t="n">
        <x:v>0.3975</x:v>
      </x:c>
      <x:c r="C10" s="42" t="n">
        <x:f>B10*Asset_Value!$C$10</x:f>
        <x:v>26115012.921727296</x:v>
      </x:c>
      <x:c r="D10" s="42" t="n">
        <x:f>B10*Asset_Value!$C$12</x:f>
        <x:v>34892379.16891601</x:v>
      </x:c>
      <x:c r="E10" s="41" t="n">
        <x:v>0.3903</x:v>
      </x:c>
      <x:c r="F10" s="22" t="str">
        <x:v>WITHDRAWN</x:v>
      </x:c>
      <x:c r="G10" s="13" t="str">
        <x:v>Legacy comparison is internally inconsistent and not calibration</x:v>
      </x:c>
      <x:c r="H10" s="13" t="str">
        <x:v>none</x:v>
      </x:c>
    </x:row>
    <x:row r="11" ht="54" hidden="0" customHeight="1">
      <x:c r="A11" s="13" t="n">
        <x:v>6</x:v>
      </x:c>
      <x:c r="B11" s="41" t="n">
        <x:v>0.56</x:v>
      </x:c>
      <x:c r="C11" s="42" t="n">
        <x:f>B11*Asset_Value!$C$10</x:f>
        <x:v>36790961.60042085</x:v>
      </x:c>
      <x:c r="D11" s="42" t="n">
        <x:f>B11*Asset_Value!$C$12</x:f>
        <x:v>49156559.33230935</x:v>
      </x:c>
      <x:c r="E11" s="41" t="n">
        <x:v>0.5529</x:v>
      </x:c>
      <x:c r="F11" s="22" t="str">
        <x:v>WITHDRAWN</x:v>
      </x:c>
      <x:c r="G11" s="13" t="str">
        <x:v>Open-ended FIL6 cannot imply a fixed component dose</x:v>
      </x:c>
      <x:c r="H11" s="13" t="str">
        <x:v>none</x:v>
      </x:c>
    </x:row>
    <x:row r="14">
      <x:c r="A14" s="46" t="str">
        <x:v>Decision: remove the ordinates; do not reduce them and relabel the result conservative. Broader physical-basis values are denominator sensitivity only: pure support rows have no curve, and mixed civil row 14 is unsplit. Runtime artifacts contain zero curve records and emit no numeric loss.</x:v>
      </x:c>
      <x:c r="B14" s="46"/>
      <x:c r="C14" s="46"/>
      <x:c r="D14" s="46"/>
      <x:c r="E14" s="46"/>
      <x:c r="F14" s="46"/>
      <x:c r="G14" s="46"/>
      <x:c r="H14" s="46"/>
    </x:row>
    <x:row r="15">
      <x:c r="A15" s="46"/>
      <x:c r="B15" s="46"/>
      <x:c r="C15" s="46"/>
      <x:c r="D15" s="46"/>
      <x:c r="E15" s="46"/>
      <x:c r="F15" s="46"/>
      <x:c r="G15" s="46"/>
      <x:c r="H15" s="46"/>
    </x:row>
  </x:sheetData>
  <x:mergeCells>
    <x:mergeCell ref="A1:H2"/>
    <x:mergeCell ref="A3:H3"/>
    <x:mergeCell ref="A14:H1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3" hidden="0" customWidth="1"/>
    <x:col min="2" max="2" width="20" hidden="0" customWidth="1"/>
    <x:col min="3" max="3" width="20" hidden="0" customWidth="1"/>
    <x:col min="4" max="4" width="22" hidden="0" customWidth="1"/>
    <x:col min="5" max="5" width="15" hidden="0" customWidth="1"/>
    <x:col min="6" max="6" width="34" hidden="0" customWidth="1"/>
    <x:col min="7" max="7" width="18" hidden="0" customWidth="1"/>
    <x:col min="8" max="8" width="31" hidden="0" customWidth="1"/>
  </x:cols>
  <x:sheetData>
    <x:row r="1" ht="28" customHeight="1">
      <x:c r="A1" s="5" t="str">
        <x:v>Legacy research numerical audit</x:v>
      </x:c>
      <x:c r="B1" s="5"/>
      <x:c r="C1" s="5"/>
      <x:c r="D1" s="5"/>
      <x:c r="E1" s="5"/>
      <x:c r="F1" s="5"/>
      <x:c r="G1" s="5"/>
      <x:c r="H1" s="5"/>
    </x:row>
    <x:row r="2" ht="28" customHeight="1">
      <x:c r="A2" s="5"/>
      <x:c r="B2" s="5"/>
      <x:c r="C2" s="5"/>
      <x:c r="D2" s="5"/>
      <x:c r="E2" s="5"/>
      <x:c r="F2" s="5"/>
      <x:c r="G2" s="5"/>
      <x:c r="H2" s="5"/>
    </x:row>
    <x:row r="3" ht="34" customHeight="1">
      <x:c r="A3" s="9" t="str">
        <x:v>Formula-driven checks reproduce two internal contradictions in the March 2026 legacy file. The legacy document remains source-discovery input only and contributes no runtime parameter.</x:v>
      </x:c>
      <x:c r="B3" s="9"/>
      <x:c r="C3" s="9"/>
      <x:c r="D3" s="9"/>
      <x:c r="E3" s="9"/>
      <x:c r="F3" s="9"/>
      <x:c r="G3" s="9"/>
      <x:c r="H3" s="9"/>
    </x:row>
    <x:row r="5" ht="32" customHeight="1">
      <x:c r="A5" s="18" t="str">
        <x:v>subsystem</x:v>
      </x:c>
      <x:c r="B5" s="18" t="str">
        <x:v>L</x:v>
      </x:c>
      <x:c r="C5" s="18" t="str">
        <x:v>k</x:v>
      </x:c>
      <x:c r="D5" s="18" t="str">
        <x:v>x0</x:v>
      </x:c>
      <x:c r="E5" s="18" t="str">
        <x:v>formula DR at I=0</x:v>
      </x:c>
      <x:c r="F5" s="18" t="str">
        <x:v>formula DR at I=200</x:v>
      </x:c>
      <x:c r="G5" s="18" t="str">
        <x:v>legacy table at I=200</x:v>
      </x:c>
      <x:c r="H5" s="18" t="str">
        <x:v>formula minus table</x:v>
      </x:c>
    </x:row>
    <x:row r="6" ht="15" hidden="0" customHeight="1">
      <x:c r="A6" s="13" t="str">
        <x:v>PV module</x:v>
      </x:c>
      <x:c r="B6" s="13" t="n">
        <x:v>0.95</x:v>
      </x:c>
      <x:c r="C6" s="13" t="n">
        <x:v>0.0013</x:v>
      </x:c>
      <x:c r="D6" s="13" t="n">
        <x:v>2100</x:v>
      </x:c>
      <x:c r="E6" s="47" t="n">
        <x:f>B6/(1+EXP(-C6*(0-D6)))</x:f>
        <x:v>0.058164854678912595</x:v>
      </x:c>
      <x:c r="F6" s="47" t="n">
        <x:f>B6/(1+EXP(-C6*(200-D6)))</x:f>
        <x:v>0.07408882337289807</x:v>
      </x:c>
      <x:c r="G6" s="47" t="n">
        <x:v>0.02</x:v>
      </x:c>
      <x:c r="H6" s="47" t="n">
        <x:f>F6-G6</x:f>
        <x:v>0.05408882337289807</x:v>
      </x:c>
    </x:row>
    <x:row r="7" ht="15" hidden="0" customHeight="1">
      <x:c r="A7" s="13" t="str">
        <x:v>mounting</x:v>
      </x:c>
      <x:c r="B7" s="13" t="n">
        <x:v>0.8</x:v>
      </x:c>
      <x:c r="C7" s="13" t="n">
        <x:v>0.0006</x:v>
      </x:c>
      <x:c r="D7" s="13" t="n">
        <x:v>3600</x:v>
      </x:c>
      <x:c r="E7" s="47" t="n">
        <x:f>B7/(1+EXP(-C7*(0-D7)))</x:f>
        <x:v>0.08272036116659968</x:v>
      </x:c>
      <x:c r="F7" s="47" t="n">
        <x:f>B7/(1+EXP(-C7*(200-D7)))</x:f>
        <x:v>0.09205338563643985</x:v>
      </x:c>
      <x:c r="G7" s="47" t="n">
        <x:v>0.01</x:v>
      </x:c>
      <x:c r="H7" s="47" t="n">
        <x:f>F7-G7</x:f>
        <x:v>0.08205338563643985</x:v>
      </x:c>
    </x:row>
    <x:row r="8" ht="15" hidden="0" customHeight="1">
      <x:c r="A8" s="13" t="str">
        <x:v>inverter</x:v>
      </x:c>
      <x:c r="B8" s="13" t="n">
        <x:v>0.95</x:v>
      </x:c>
      <x:c r="C8" s="13" t="n">
        <x:v>0.0021</x:v>
      </x:c>
      <x:c r="D8" s="13" t="n">
        <x:v>1300</x:v>
      </x:c>
      <x:c r="E8" s="47" t="n">
        <x:f>B8/(1+EXP(-C8*(0-D8)))</x:f>
        <x:v>0.058164854678912595</x:v>
      </x:c>
      <x:c r="F8" s="47" t="n">
        <x:f>B8/(1+EXP(-C8*(200-D8)))</x:f>
        <x:v>0.08578323746777385</x:v>
      </x:c>
      <x:c r="G8" s="47" t="n">
        <x:v>0.01</x:v>
      </x:c>
      <x:c r="H8" s="47" t="n">
        <x:f>F8-G8</x:f>
        <x:v>0.07578323746777385</x:v>
      </x:c>
    </x:row>
    <x:row r="9" ht="15" hidden="0" customHeight="1">
      <x:c r="A9" s="13" t="str">
        <x:v>substation</x:v>
      </x:c>
      <x:c r="B9" s="13" t="n">
        <x:v>0.95</x:v>
      </x:c>
      <x:c r="C9" s="13" t="n">
        <x:v>0.0014</x:v>
      </x:c>
      <x:c r="D9" s="13" t="n">
        <x:v>1900</x:v>
      </x:c>
      <x:c r="E9" s="47" t="n">
        <x:f>B9/(1+EXP(-C9*(0-D9)))</x:f>
        <x:v>0.06210656675429399</x:v>
      </x:c>
      <x:c r="F9" s="47" t="n">
        <x:f>B9/(1+EXP(-C9*(200-D9)))</x:f>
        <x:v>0.080475037444199</x:v>
      </x:c>
      <x:c r="G9" s="47" t="n">
        <x:v>0.01</x:v>
      </x:c>
      <x:c r="H9" s="47" t="n">
        <x:f>F9-G9</x:f>
        <x:v>0.070475037444199</x:v>
      </x:c>
    </x:row>
    <x:row r="10" ht="15" hidden="0" customHeight="1">
      <x:c r="A10" s="13" t="str">
        <x:v>electrical</x:v>
      </x:c>
      <x:c r="B10" s="13" t="n">
        <x:v>0.65</x:v>
      </x:c>
      <x:c r="C10" s="13" t="n">
        <x:v>0.0008</x:v>
      </x:c>
      <x:c r="D10" s="13" t="n">
        <x:v>2500</x:v>
      </x:c>
      <x:c r="E10" s="47" t="n">
        <x:f>B10/(1+EXP(-C10*(0-D10)))</x:f>
        <x:v>0.0774818993143764</x:v>
      </x:c>
      <x:c r="F10" s="47" t="n">
        <x:f>B10/(1+EXP(-C10*(200-D10)))</x:f>
        <x:v>0.08908334017404877</x:v>
      </x:c>
      <x:c r="G10" s="47" t="n">
        <x:v>0.01</x:v>
      </x:c>
      <x:c r="H10" s="47" t="n">
        <x:f>F10-G10</x:f>
        <x:v>0.07908334017404878</x:v>
      </x:c>
    </x:row>
    <x:row r="11" ht="15" hidden="0" customHeight="1">
      <x:c r="A11" s="13" t="str">
        <x:v>civil</x:v>
      </x:c>
      <x:c r="B11" s="13" t="n">
        <x:v>0.75</x:v>
      </x:c>
      <x:c r="C11" s="13" t="n">
        <x:v>0.0009</x:v>
      </x:c>
      <x:c r="D11" s="13" t="n">
        <x:v>2100</x:v>
      </x:c>
      <x:c r="E11" s="47" t="n">
        <x:f>B11/(1+EXP(-C11*(0-D11)))</x:f>
        <x:v>0.0984333520788925</x:v>
      </x:c>
      <x:c r="F11" s="47" t="n">
        <x:f>B11/(1+EXP(-C11*(200-D11)))</x:f>
        <x:v>0.11487278682381463</x:v>
      </x:c>
      <x:c r="G11" s="47" t="n">
        <x:v>0.04</x:v>
      </x:c>
      <x:c r="H11" s="47" t="n">
        <x:f>F11-G11</x:f>
        <x:v>0.07487278682381462</x:v>
      </x:c>
    </x:row>
    <x:row r="14">
      <x:c r="A14" s="48" t="str">
        <x:v>Displayed flame-length equation inverse check: F_H = 0.0775 × I^0.46</x:v>
      </x:c>
      <x:c r="B14" s="48"/>
      <x:c r="C14" s="48"/>
      <x:c r="D14" s="48"/>
      <x:c r="E14" s="48"/>
      <x:c r="F14" s="48"/>
      <x:c r="G14" s="48"/>
      <x:c r="H14" s="48"/>
    </x:row>
    <x:row r="15" ht="32" customHeight="1">
      <x:c r="A15" s="40" t="str">
        <x:v>flame length m</x:v>
      </x:c>
      <x:c r="B15" s="40" t="str">
        <x:v>recalculated I kW/m</x:v>
      </x:c>
      <x:c r="C15" s="40" t="str">
        <x:v>legacy table I kW/m</x:v>
      </x:c>
      <x:c r="D15" s="40" t="str">
        <x:v>ratio recalculated/legacy</x:v>
      </x:c>
      <x:c r="E15" s="40" t="str">
        <x:v>status</x:v>
      </x:c>
      <x:c r="F15" s="40" t="str">
        <x:v>equation</x:v>
      </x:c>
      <x:c r="G15" s="40" t="str">
        <x:v>use</x:v>
      </x:c>
      <x:c r="H15" s="40" t="str">
        <x:v>finding</x:v>
      </x:c>
    </x:row>
    <x:row r="16" ht="21.600000381469727" hidden="0" customHeight="1">
      <x:c r="A16" s="13" t="n">
        <x:v>1.2</x:v>
      </x:c>
      <x:c r="B16" s="50" t="n">
        <x:f>(A16/0.0775)^(1/0.46)</x:f>
        <x:v>386.09542886535786</x:v>
      </x:c>
      <x:c r="C16" s="50" t="n">
        <x:v>130</x:v>
      </x:c>
      <x:c r="D16" s="51" t="n">
        <x:f>B16/C16</x:f>
        <x:v>2.9699648374258296</x:v>
      </x:c>
      <x:c r="E16" s="22" t="str">
        <x:v>REJECT</x:v>
      </x:c>
      <x:c r="F16" s="13" t="str">
        <x:v>I=(F_H/0.0775)^(1/0.46)</x:v>
      </x:c>
      <x:c r="G16" s="13" t="str">
        <x:v>validation only</x:v>
      </x:c>
      <x:c r="H16" s="13" t="str">
        <x:v>table mismatch</x:v>
      </x:c>
    </x:row>
    <x:row r="17" ht="21.600000381469727" hidden="0" customHeight="1">
      <x:c r="A17" s="13" t="n">
        <x:v>2.4</x:v>
      </x:c>
      <x:c r="B17" s="50" t="n">
        <x:f>(A17/0.0775)^(1/0.46)</x:f>
        <x:v>1742.238850507431</x:v>
      </x:c>
      <x:c r="C17" s="50" t="n">
        <x:v>450</x:v>
      </x:c>
      <x:c r="D17" s="51" t="n">
        <x:f>B17/C17</x:f>
        <x:v>3.8716418900165133</x:v>
      </x:c>
      <x:c r="E17" s="22" t="str">
        <x:v>REJECT</x:v>
      </x:c>
      <x:c r="F17" s="13" t="str">
        <x:v>same</x:v>
      </x:c>
      <x:c r="G17" s="13" t="str">
        <x:v>validation only</x:v>
      </x:c>
      <x:c r="H17" s="13" t="str">
        <x:v>table mismatch</x:v>
      </x:c>
    </x:row>
    <x:row r="18" ht="21.600000381469727" hidden="0" customHeight="1">
      <x:c r="A18" s="13" t="n">
        <x:v>3.4</x:v>
      </x:c>
      <x:c r="B18" s="50" t="n">
        <x:f>(A18/0.0775)^(1/0.46)</x:f>
        <x:v>3714.9285592590563</x:v>
      </x:c>
      <x:c r="C18" s="50" t="n">
        <x:v>880</x:v>
      </x:c>
      <x:c r="D18" s="51" t="n">
        <x:f>B18/C18</x:f>
        <x:v>4.221509726430746</x:v>
      </x:c>
      <x:c r="E18" s="22" t="str">
        <x:v>REJECT</x:v>
      </x:c>
      <x:c r="F18" s="13" t="str">
        <x:v>same</x:v>
      </x:c>
      <x:c r="G18" s="13" t="str">
        <x:v>validation only</x:v>
      </x:c>
      <x:c r="H18" s="13" t="str">
        <x:v>table mismatch</x:v>
      </x:c>
    </x:row>
    <x:row r="19" ht="21.600000381469727" hidden="0" customHeight="1">
      <x:c r="A19" s="13" t="n">
        <x:v>4.6</x:v>
      </x:c>
      <x:c r="B19" s="50" t="n">
        <x:f>(A19/0.0775)^(1/0.46)</x:f>
        <x:v>7167.033117236096</x:v>
      </x:c>
      <x:c r="C19" s="50" t="n">
        <x:v>1500</x:v>
      </x:c>
      <x:c r="D19" s="51" t="n">
        <x:f>B19/C19</x:f>
        <x:v>4.778022078157397</x:v>
      </x:c>
      <x:c r="E19" s="22" t="str">
        <x:v>REJECT</x:v>
      </x:c>
      <x:c r="F19" s="13" t="str">
        <x:v>same</x:v>
      </x:c>
      <x:c r="G19" s="13" t="str">
        <x:v>validation only</x:v>
      </x:c>
      <x:c r="H19" s="13" t="str">
        <x:v>table mismatch</x:v>
      </x:c>
    </x:row>
    <x:row r="20" ht="21.600000381469727" hidden="0" customHeight="1">
      <x:c r="A20" s="13" t="n">
        <x:v>7.6</x:v>
      </x:c>
      <x:c r="B20" s="50" t="n">
        <x:f>(A20/0.0775)^(1/0.46)</x:f>
        <x:v>21348.810064595666</x:v>
      </x:c>
      <x:c r="C20" s="50" t="n">
        <x:v>3500</x:v>
      </x:c>
      <x:c r="D20" s="51" t="n">
        <x:f>B20/C20</x:f>
        <x:v>6.099660018455904</x:v>
      </x:c>
      <x:c r="E20" s="22" t="str">
        <x:v>REJECT</x:v>
      </x:c>
      <x:c r="F20" s="13" t="str">
        <x:v>same</x:v>
      </x:c>
      <x:c r="G20" s="13" t="str">
        <x:v>validation only</x:v>
      </x:c>
      <x:c r="H20" s="13" t="str">
        <x:v>table mismatch</x:v>
      </x:c>
    </x:row>
    <x:row r="21" ht="21.600000381469727" hidden="0" customHeight="1">
      <x:c r="A21" s="13" t="n">
        <x:v>15</x:v>
      </x:c>
      <x:c r="B21" s="50" t="n">
        <x:f>(A21/0.0775)^(1/0.46)</x:f>
        <x:v>93601.24915951323</x:v>
      </x:c>
      <x:c r="C21" s="50" t="n">
        <x:v>10000</x:v>
      </x:c>
      <x:c r="D21" s="51" t="n">
        <x:f>B21/C21</x:f>
        <x:v>9.360124915951323</x:v>
      </x:c>
      <x:c r="E21" s="22" t="str">
        <x:v>REJECT</x:v>
      </x:c>
      <x:c r="F21" s="13" t="str">
        <x:v>same</x:v>
      </x:c>
      <x:c r="G21" s="13" t="str">
        <x:v>validation only</x:v>
      </x:c>
      <x:c r="H21" s="13" t="str">
        <x:v>table mismatch</x:v>
      </x:c>
    </x:row>
  </x:sheetData>
  <x:mergeCells>
    <x:mergeCell ref="A1:H2"/>
    <x:mergeCell ref="A3:H3"/>
    <x:mergeCell ref="A14:H14"/>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55" hidden="0" customWidth="1"/>
    <x:col min="3" max="3" width="34" hidden="0" customWidth="1"/>
    <x:col min="4" max="4" width="42" hidden="0" customWidth="1"/>
    <x:col min="5" max="5" width="31" hidden="0" customWidth="1"/>
    <x:col min="6" max="6" width="29" hidden="0" customWidth="1"/>
    <x:col min="7" max="7" width="28" hidden="0" customWidth="1"/>
    <x:col min="8" max="8" width="36" hidden="0" customWidth="1"/>
    <x:col min="9" max="9" width="22" hidden="0" customWidth="1"/>
    <x:col min="10" max="10" width="42" hidden="0" customWidth="1"/>
    <x:col min="11" max="11" width="47" hidden="0" customWidth="1"/>
    <x:col min="12" max="12" width="36" hidden="0" customWidth="1"/>
  </x:cols>
  <x:sheetData>
    <x:row r="1" ht="28" customHeight="1">
      <x:c r="A1" s="5" t="str">
        <x:v>Claim and parameter provenance register</x:v>
      </x:c>
      <x:c r="B1" s="5"/>
      <x:c r="C1" s="5"/>
      <x:c r="D1" s="5"/>
      <x:c r="E1" s="5"/>
      <x:c r="F1" s="5"/>
      <x:c r="G1" s="5"/>
      <x:c r="H1" s="5"/>
      <x:c r="I1" s="5"/>
      <x:c r="J1" s="5"/>
      <x:c r="K1" s="5"/>
      <x:c r="L1" s="5"/>
    </x:row>
    <x:row r="2" ht="28" customHeight="1">
      <x:c r="A2" s="5"/>
      <x:c r="B2" s="5"/>
      <x:c r="C2" s="5"/>
      <x:c r="D2" s="5"/>
      <x:c r="E2" s="5"/>
      <x:c r="F2" s="5"/>
      <x:c r="G2" s="5"/>
      <x:c r="H2" s="5"/>
      <x:c r="I2" s="5"/>
      <x:c r="J2" s="5"/>
      <x:c r="K2" s="5"/>
      <x:c r="L2" s="5"/>
    </x:row>
    <x:row r="3" ht="34" customHeight="1">
      <x:c r="A3" s="9" t="str">
        <x:v>Every retained numerical or decision-bearing claim has an exact source/locator or an explicit governance/negative-evidence provenance row. Prohibited inference is part of the claim contract.</x:v>
      </x:c>
      <x:c r="B3" s="9"/>
      <x:c r="C3" s="9"/>
      <x:c r="D3" s="9"/>
      <x:c r="E3" s="9"/>
      <x:c r="F3" s="9"/>
      <x:c r="G3" s="9"/>
      <x:c r="H3" s="9"/>
      <x:c r="I3" s="9"/>
      <x:c r="J3" s="9"/>
      <x:c r="K3" s="9"/>
      <x:c r="L3" s="9"/>
    </x:row>
    <x:row r="5" ht="32" customHeight="1">
      <x:c r="A5" s="18" t="str">
        <x:v>claim_id</x:v>
      </x:c>
      <x:c r="B5" s="18" t="str">
        <x:v>claim_or_parameter</x:v>
      </x:c>
      <x:c r="C5" s="18" t="str">
        <x:v>source_id</x:v>
      </x:c>
      <x:c r="D5" s="18" t="str">
        <x:v>source_url</x:v>
      </x:c>
      <x:c r="E5" s="18" t="str">
        <x:v>locator</x:v>
      </x:c>
      <x:c r="F5" s="18" t="str">
        <x:v>evidence_role</x:v>
      </x:c>
      <x:c r="G5" s="18" t="str">
        <x:v>param_role</x:v>
      </x:c>
      <x:c r="H5" s="18" t="str">
        <x:v>tier</x:v>
      </x:c>
      <x:c r="I5" s="18" t="str">
        <x:v>decision</x:v>
      </x:c>
      <x:c r="J5" s="18" t="str">
        <x:v>permitted_use</x:v>
      </x:c>
      <x:c r="K5" s="18" t="str">
        <x:v>prohibited_inference</x:v>
      </x:c>
      <x:c r="L5" s="18" t="str">
        <x:v>update_trigger</x:v>
      </x:c>
    </x:row>
    <x:row r="6" ht="109.19999694824219" hidden="0" customHeight="1">
      <x:c r="A6" s="55" t="str">
        <x:v>WS-C001</x:v>
      </x:c>
      <x:c r="B6" s="55" t="str">
        <x:v>FSim defines six Fire Intensity Levels and corresponding conditional flame-length-probability layers: FLP1 &lt;2 ft; FLP2 2–&lt;4; FLP3 4–&lt;6; FLP4 6–&lt;8; FLP5 8–&lt;12; FLP6 ≥12 ft.</x:v>
      </x:c>
      <x:c r="C6" s="55" t="str">
        <x:v>USFS_FSIM_RDS_2023</x:v>
      </x:c>
      <x:c r="D6" s="55" t="str">
        <x:v>https://www.fs.usda.gov/rds/archive/products/RDS-2016-0034-3/_metadata_RDS-2016-0034-3.html</x:v>
      </x:c>
      <x:c r="E6" s="55" t="str">
        <x:v>RDS abstract and entity/attribute definitions for FLP1–FLP6</x:v>
      </x:c>
      <x:c r="F6" s="55" t="str">
        <x:v>hazard data contract</x:v>
      </x:c>
      <x:c r="G6" s="55" t="str">
        <x:v>axis_bridge</x:v>
      </x:c>
      <x:c r="H6" s="55" t="str">
        <x:v>T2_public_lab_standard_or_physics</x:v>
      </x:c>
      <x:c r="I6" s="24" t="str">
        <x:v>RETAIN</x:v>
      </x:c>
      <x:c r="J6" s="55" t="str">
        <x:v>Map exactly to the six canonical class IDs.</x:v>
      </x:c>
      <x:c r="K6" s="55" t="str">
        <x:v>PV damage calibration, component flux, or continuous midpoint reconstruction</x:v>
      </x:c>
      <x:c r="L6" s="55" t="str">
        <x:v>FSim product/version changes</x:v>
      </x:c>
    </x:row>
    <x:row r="7" ht="184.8000030517578" hidden="0" customHeight="1">
      <x:c r="A7" s="55" t="str">
        <x:v>WS-C002</x:v>
      </x:c>
      <x:c r="B7" s="55" t="str">
        <x:v>The six FLPs sum to one conditional on burning. For pixels burned in simulation they represent proportions by flame-length bin; metadata-described unburned burnable pixels receive zonal-mean FLPs and nominal BP, so the metadata-defined imputation state must be preserved or detected.</x:v>
      </x:c>
      <x:c r="C7" s="55" t="str">
        <x:v>USFS_FSIM_RDS_2023</x:v>
      </x:c>
      <x:c r="D7" s="55" t="str">
        <x:v>https://doi.org/10.2737/RDS-2016-0034-3</x:v>
      </x:c>
      <x:c r="E7" s="55" t="str">
        <x:v>Entity and Attribute Information — Conditional Flame-Length Probability; logical-consistency checks; process step 11 post-processing</x:v>
      </x:c>
      <x:c r="F7" s="55" t="str">
        <x:v>hazard data contract</x:v>
      </x:c>
      <x:c r="G7" s="55" t="str">
        <x:v>axis_bridge</x:v>
      </x:c>
      <x:c r="H7" s="55" t="str">
        <x:v>T2_public_lab_standard_or_physics</x:v>
      </x:c>
      <x:c r="I7" s="24" t="str">
        <x:v>RETAIN</x:v>
      </x:c>
      <x:c r="J7" s="55" t="str">
        <x:v>Validate conditional severity distributions while preserving or detecting the metadata-defined imputation state.</x:v>
      </x:c>
      <x:c r="K7" s="55" t="str">
        <x:v>Treat FLP as annual unconditional probability or imputed FLP as direct pixel/site evidence</x:v>
      </x:c>
      <x:c r="L7" s="55" t="str">
        <x:v>FSim semantic or imputation change</x:v>
      </x:c>
    </x:row>
    <x:row r="8" ht="58.79999923706055" hidden="0" customHeight="1">
      <x:c r="A8" s="55" t="str">
        <x:v>WS-C003</x:v>
      </x:c>
      <x:c r="B8" s="55" t="str">
        <x:v>Annual burn probability is separate from conditional severity and remains outside M3 damage.</x:v>
      </x:c>
      <x:c r="C8" s="55" t="str">
        <x:v>USFS_FSIM_RDS_2023;FINNEY_2011_FSIM</x:v>
      </x:c>
      <x:c r="D8" s="55" t="str">
        <x:v>https://doi.org/10.2737/RDS-2016-0034-3</x:v>
      </x:c>
      <x:c r="E8" s="55" t="str">
        <x:v>dataset abstract/method and governance boundary</x:v>
      </x:c>
      <x:c r="F8" s="55" t="str">
        <x:v>architecture</x:v>
      </x:c>
      <x:c r="G8" s="55" t="str">
        <x:v>axis_bridge</x:v>
      </x:c>
      <x:c r="H8" s="55" t="str">
        <x:v>T2_public_lab_standard_or_physics</x:v>
      </x:c>
      <x:c r="I8" s="24" t="str">
        <x:v>RETAIN</x:v>
      </x:c>
      <x:c r="J8" s="55" t="str">
        <x:v>Downstream annualization only.</x:v>
      </x:c>
      <x:c r="K8" s="55" t="str">
        <x:v>Embed frequency inside component DR</x:v>
      </x:c>
      <x:c r="L8" s="55" t="str">
        <x:v>architecture change</x:v>
      </x:c>
    </x:row>
    <x:row r="9" ht="58.79999923706055" hidden="0" customHeight="1">
      <x:c r="A9" s="55" t="str">
        <x:v>WS-C004</x:v>
      </x:c>
      <x:c r="B9" s="55" t="str">
        <x:v>FSim FLPs do not provide component heat flux, exposure duration, flame contact, ember dose or damage.</x:v>
      </x:c>
      <x:c r="C9" s="55" t="str">
        <x:v>USFS_FSIM_RDS_2023</x:v>
      </x:c>
      <x:c r="D9" s="55" t="str">
        <x:v>https://www.fs.usda.gov/rds/archive/products/RDS-2016-0034-3/_metadata_RDS-2016-0034-3.html</x:v>
      </x:c>
      <x:c r="E9" s="55" t="str">
        <x:v>published attributes and scope/caveats</x:v>
      </x:c>
      <x:c r="F9" s="55" t="str">
        <x:v>negative evidence / boundary</x:v>
      </x:c>
      <x:c r="G9" s="55" t="str">
        <x:v>axis_bridge</x:v>
      </x:c>
      <x:c r="H9" s="55" t="str">
        <x:v>T2_public_lab_standard_or_physics</x:v>
      </x:c>
      <x:c r="I9" s="24" t="str">
        <x:v>RETAIN_GUARDRAIL</x:v>
      </x:c>
      <x:c r="J9" s="55" t="str">
        <x:v>Define the missing local-exposure bridge.</x:v>
      </x:c>
      <x:c r="K9" s="55" t="str">
        <x:v>Infer unlisted target-demand fields</x:v>
      </x:c>
      <x:c r="L9" s="55" t="str">
        <x:v>new official product supplies target exposure</x:v>
      </x:c>
    </x:row>
    <x:row r="10" ht="67.19999694824219" hidden="0" customHeight="1">
      <x:c r="A10" s="55" t="str">
        <x:v>WS-C005</x:v>
      </x:c>
      <x:c r="B10" s="55" t="str">
        <x:v>Fireline intensity is energy release per fire-front length and depends on heat yield, consumed fuel and spread rate.</x:v>
      </x:c>
      <x:c r="C10" s="55" t="str">
        <x:v>USFS_FARSITE_1998</x:v>
      </x:c>
      <x:c r="D10" s="55" t="str">
        <x:v>https://www.fs.usda.gov/rm/pubs/rmrs_rp004.pdf</x:v>
      </x:c>
      <x:c r="E10" s="55" t="str">
        <x:v>pp. 9–10; I_b = h·w·R/60</x:v>
      </x:c>
      <x:c r="F10" s="55" t="str">
        <x:v>hazard physics</x:v>
      </x:c>
      <x:c r="G10" s="55" t="str">
        <x:v>axis_bridge</x:v>
      </x:c>
      <x:c r="H10" s="55" t="str">
        <x:v>T2_public_lab_standard_or_physics</x:v>
      </x:c>
      <x:c r="I10" s="24" t="str">
        <x:v>RETAIN</x:v>
      </x:c>
      <x:c r="J10" s="55" t="str">
        <x:v>Explain why equal FLI need not imply equal local heat dose.</x:v>
      </x:c>
      <x:c r="K10" s="55" t="str">
        <x:v>Convert kW/m to kW/m² without a transfer model</x:v>
      </x:c>
      <x:c r="L10" s="55" t="str">
        <x:v>validated transfer model</x:v>
      </x:c>
    </x:row>
    <x:row r="11" ht="75.5999984741211" hidden="0" customHeight="1">
      <x:c r="A11" s="55" t="str">
        <x:v>WS-C006</x:v>
      </x:c>
      <x:c r="B11" s="55" t="str">
        <x:v>Legacy q = 0.35·I/d is not a governed converter.</x:v>
      </x:c>
      <x:c r="C11" s="55" t="str">
        <x:v>LEGACY_DIVI_WILDFIRE_SOLAR_2026;COHEN_USDA_2000</x:v>
      </x:c>
      <x:c r="D11" s="55" t="str">
        <x:v>https://github.com/Divi-patel/infrasure-damage-curves/blob/12653b2c3d5a013c9524228243ea666c35bb3814/research/WILDFIRE_x_SOLAR.md</x:v>
      </x:c>
      <x:c r="E11" s="55" t="str">
        <x:v>legacy §4; Cohen pp. 16–18 / experimental comparison</x:v>
      </x:c>
      <x:c r="F11" s="55" t="str">
        <x:v>failed parameter provenance</x:v>
      </x:c>
      <x:c r="G11" s="55" t="str">
        <x:v>axis_bridge</x:v>
      </x:c>
      <x:c r="H11" s="55" t="str">
        <x:v>T4_placeholder_or_expert_judgment</x:v>
      </x:c>
      <x:c r="I11" s="22" t="str">
        <x:v>REJECT</x:v>
      </x:c>
      <x:c r="J11" s="55" t="str">
        <x:v>Legacy audit and future model-comparison fixture only.</x:v>
      </x:c>
      <x:c r="K11" s="55" t="str">
        <x:v>Any component exposure or curve ordinate</x:v>
      </x:c>
      <x:c r="L11" s="55" t="str">
        <x:v>independent calibrated converter</x:v>
      </x:c>
    </x:row>
    <x:row r="12" ht="33.599998474121094" hidden="0" customHeight="1">
      <x:c r="A12" s="55" t="str">
        <x:v>WS-C007</x:v>
      </x:c>
      <x:c r="B12" s="55" t="str">
        <x:v>A fixed 10 m fire-to-asset distance is not a default.</x:v>
      </x:c>
      <x:c r="C12" s="55" t="str">
        <x:v>LEGACY_DIVI_WILDFIRE_SOLAR_2026;COHEN_USDA_2000</x:v>
      </x:c>
      <x:c r="D12" s="55" t="str">
        <x:v>https://research.fs.usda.gov/treesearch/download/4688.pdf</x:v>
      </x:c>
      <x:c r="E12" s="55" t="str">
        <x:v>legacy §4.3; Cohen distance/duration analysis</x:v>
      </x:c>
      <x:c r="F12" s="55" t="str">
        <x:v>site geometry</x:v>
      </x:c>
      <x:c r="G12" s="55" t="str">
        <x:v>exposure_or_value</x:v>
      </x:c>
      <x:c r="H12" s="55" t="str">
        <x:v>T4_placeholder_or_expert_judgment</x:v>
      </x:c>
      <x:c r="I12" s="22" t="str">
        <x:v>REJECT_DEFAULT</x:v>
      </x:c>
      <x:c r="J12" s="55" t="str">
        <x:v>Capture measured component-zone geometry.</x:v>
      </x:c>
      <x:c r="K12" s="55" t="str">
        <x:v>Universal setback or mitigation efficacy</x:v>
      </x:c>
      <x:c r="L12" s="55" t="str">
        <x:v>validated site archetype</x:v>
      </x:c>
    </x:row>
    <x:row r="13" ht="58.79999923706055" hidden="0" customHeight="1">
      <x:c r="A13" s="55" t="str">
        <x:v>WS-C008</x:v>
      </x:c>
      <x:c r="B13" s="55" t="str">
        <x:v>No continuous FLI midpoint or FIL6 upper cap is reconstructed from source-native FIL bins.</x:v>
      </x:c>
      <x:c r="C13" s="55" t="str">
        <x:v>USFS_FSIM_RDS_2023</x:v>
      </x:c>
      <x:c r="D13" s="55" t="str">
        <x:v>https://doi.org/10.2737/RDS-2016-0034-3</x:v>
      </x:c>
      <x:c r="E13" s="55" t="str">
        <x:v>open-ended and interval FLP definitions</x:v>
      </x:c>
      <x:c r="F13" s="55" t="str">
        <x:v>axis guardrail</x:v>
      </x:c>
      <x:c r="G13" s="55" t="str">
        <x:v>axis_bridge</x:v>
      </x:c>
      <x:c r="H13" s="55" t="str">
        <x:v>T2_public_lab_standard_or_physics</x:v>
      </x:c>
      <x:c r="I13" s="24" t="str">
        <x:v>RETAIN</x:v>
      </x:c>
      <x:c r="J13" s="55" t="str">
        <x:v>Exact-class validation.</x:v>
      </x:c>
      <x:c r="K13" s="55" t="str">
        <x:v>Interpolation or continuous curve evaluation</x:v>
      </x:c>
      <x:c r="L13" s="55" t="str">
        <x:v>approved product-specific conversion</x:v>
      </x:c>
    </x:row>
    <x:row r="14" ht="92.4000015258789" hidden="0" customHeight="1">
      <x:c r="A14" s="55" t="str">
        <x:v>WS-C009</x:v>
      </x:c>
      <x:c r="B14" s="55" t="str">
        <x:v>Tested shielded PV specimens primarily tolerated 8–15 kW/m² and 61–84 °C maximum temperature difference before reported failure behavior.</x:v>
      </x:c>
      <x:c r="C14" s="55" t="str">
        <x:v>WANG_2025_PV_THERMAL</x:v>
      </x:c>
      <x:c r="D14" s="55" t="str">
        <x:v>https://arts.units.it/handle/11368/3096982</x:v>
      </x:c>
      <x:c r="E14" s="55" t="str">
        <x:v>abstract; 15 specimens at five inclinations</x:v>
      </x:c>
      <x:c r="F14" s="55" t="str">
        <x:v>test-specific thermal response</x:v>
      </x:c>
      <x:c r="G14" s="55" t="str">
        <x:v>boundary_or_cap</x:v>
      </x:c>
      <x:c r="H14" s="55" t="str">
        <x:v>T2_public_lab_standard_or_physics</x:v>
      </x:c>
      <x:c r="I14" s="24" t="str">
        <x:v>RETAIN_WITH_LIMIT</x:v>
      </x:c>
      <x:c r="J14" s="55" t="str">
        <x:v>Future module flux/time constraint.</x:v>
      </x:c>
      <x:c r="K14" s="55" t="str">
        <x:v>Universal threshold, FIL ordinate or economic DR</x:v>
      </x:c>
      <x:c r="L14" s="55" t="str">
        <x:v>representative utility-module program</x:v>
      </x:c>
    </x:row>
    <x:row r="15" ht="50.400001525878906" hidden="0" customHeight="1">
      <x:c r="A15" s="55" t="str">
        <x:v>WS-C010</x:v>
      </x:c>
      <x:c r="B15" s="55" t="str">
        <x:v>Tested small PV modules had empirical sustained-flame ignition CHF near 26 kW/m².</x:v>
      </x:c>
      <x:c r="C15" s="55" t="str">
        <x:v>YANG_2015_PV_IGNITION</x:v>
      </x:c>
      <x:c r="D15" s="55" t="str">
        <x:v>https://www.mdpi.com/1996-1944/8/7/4210</x:v>
      </x:c>
      <x:c r="E15" s="55" t="str">
        <x:v>§4.2, Figures 5–7</x:v>
      </x:c>
      <x:c r="F15" s="55" t="str">
        <x:v>test-specific ignition</x:v>
      </x:c>
      <x:c r="G15" s="55" t="str">
        <x:v>boundary_or_cap</x:v>
      </x:c>
      <x:c r="H15" s="55" t="str">
        <x:v>T2_public_lab_standard_or_physics</x:v>
      </x:c>
      <x:c r="I15" s="24" t="str">
        <x:v>RETAIN_WITH_LIMIT</x:v>
      </x:c>
      <x:c r="J15" s="55" t="str">
        <x:v>BOM-specific ignition constraint.</x:v>
      </x:c>
      <x:c r="K15" s="55" t="str">
        <x:v>First functional damage, 50% replacement or whole-site DR</x:v>
      </x:c>
      <x:c r="L15" s="55" t="str">
        <x:v>representative full-size/modern BOM testing</x:v>
      </x:c>
    </x:row>
    <x:row r="16" ht="67.19999694824219" hidden="0" customHeight="1">
      <x:c r="A16" s="55" t="str">
        <x:v>WS-C011</x:v>
      </x:c>
      <x:c r="B16" s="55" t="str">
        <x:v>PV ignition times were 913/636/218/133/83 s at 28/30/35/40/45 kW/m² for the tested specimens.</x:v>
      </x:c>
      <x:c r="C16" s="55" t="str">
        <x:v>YANG_2015_PV_IGNITION</x:v>
      </x:c>
      <x:c r="D16" s="55" t="str">
        <x:v>https://www.mdpi.com/1996-1944/8/7/4210</x:v>
      </x:c>
      <x:c r="E16" s="55" t="str">
        <x:v>Table 2</x:v>
      </x:c>
      <x:c r="F16" s="55" t="str">
        <x:v>test-specific time dependence</x:v>
      </x:c>
      <x:c r="G16" s="55" t="str">
        <x:v>curve_fit_shape</x:v>
      </x:c>
      <x:c r="H16" s="55" t="str">
        <x:v>T2_public_lab_standard_or_physics</x:v>
      </x:c>
      <x:c r="I16" s="24" t="str">
        <x:v>RETAIN_WITH_LIMIT</x:v>
      </x:c>
      <x:c r="J16" s="55" t="str">
        <x:v>Direct source data and duration constraint.</x:v>
      </x:c>
      <x:c r="K16" s="55" t="str">
        <x:v>Economic DR or FIL mapping</x:v>
      </x:c>
      <x:c r="L16" s="55" t="str">
        <x:v>representative full-size/modern BOM testing</x:v>
      </x:c>
    </x:row>
    <x:row r="17" ht="50.400001525878906" hidden="0" customHeight="1">
      <x:c r="A17" s="55" t="str">
        <x:v>WS-C012</x:v>
      </x:c>
      <x:c r="B17" s="55" t="str">
        <x:v>Tested 9 mm XLPE cable construction had estimated ignition CHF 16.24 kW/m².</x:v>
      </x:c>
      <x:c r="C17" s="55" t="str">
        <x:v>ZHANG_2022_XLPE</x:v>
      </x:c>
      <x:c r="D17" s="55" t="str">
        <x:v>https://www.mdpi.com/1996-1073/15/5/1904</x:v>
      </x:c>
      <x:c r="E17" s="55" t="str">
        <x:v>§2.1 (9 mm construction); §3.1, Figure 4 (CHF)</x:v>
      </x:c>
      <x:c r="F17" s="55" t="str">
        <x:v>test-specific material ignition</x:v>
      </x:c>
      <x:c r="G17" s="55" t="str">
        <x:v>boundary_or_cap</x:v>
      </x:c>
      <x:c r="H17" s="55" t="str">
        <x:v>T2_public_lab_standard_or_physics</x:v>
      </x:c>
      <x:c r="I17" s="24" t="str">
        <x:v>RETAIN_WITH_LIMIT</x:v>
      </x:c>
      <x:c r="J17" s="55" t="str">
        <x:v>Tested-cable constraint.</x:v>
      </x:c>
      <x:c r="K17" s="55" t="str">
        <x:v>All PV cables, conduit, buried systems or collection DR</x:v>
      </x:c>
      <x:c r="L17" s="55" t="str">
        <x:v>installed PV-cable program</x:v>
      </x:c>
    </x:row>
    <x:row r="18" ht="42" hidden="0" customHeight="1">
      <x:c r="A18" s="55" t="str">
        <x:v>WS-C013</x:v>
      </x:c>
      <x:c r="B18" s="55" t="str">
        <x:v>Mean XLPE ignition times were 83.5/25/13.3 s at 20/30/40 kW/m².</x:v>
      </x:c>
      <x:c r="C18" s="55" t="str">
        <x:v>ZHANG_2022_XLPE</x:v>
      </x:c>
      <x:c r="D18" s="55" t="str">
        <x:v>https://www.mdpi.com/1996-1073/15/5/1904</x:v>
      </x:c>
      <x:c r="E18" s="55" t="str">
        <x:v>§3.1, Table 2</x:v>
      </x:c>
      <x:c r="F18" s="55" t="str">
        <x:v>test-specific time dependence</x:v>
      </x:c>
      <x:c r="G18" s="55" t="str">
        <x:v>curve_fit_shape</x:v>
      </x:c>
      <x:c r="H18" s="55" t="str">
        <x:v>T2_public_lab_standard_or_physics</x:v>
      </x:c>
      <x:c r="I18" s="24" t="str">
        <x:v>RETAIN_WITH_LIMIT</x:v>
      </x:c>
      <x:c r="J18" s="55" t="str">
        <x:v>Direct source data.</x:v>
      </x:c>
      <x:c r="K18" s="55" t="str">
        <x:v>Cross-study module-vs-cable vulnerability ranking</x:v>
      </x:c>
      <x:c r="L18" s="55" t="str">
        <x:v>installed PV-cable program</x:v>
      </x:c>
    </x:row>
    <x:row r="19" ht="92.4000015258789" hidden="0" customHeight="1">
      <x:c r="A19" s="55" t="str">
        <x:v>WS-C014</x:v>
      </x:c>
      <x:c r="B19" s="55" t="str">
        <x:v>Front-glass integrity materially affected full-size single-glass module burn-through and temperature response under tested pool-fire exposure.</x:v>
      </x:c>
      <x:c r="C19" s="55" t="str">
        <x:v>ZHAO_2026_PV_POOL_FIRE</x:v>
      </x:c>
      <x:c r="D19" s="55" t="str">
        <x:v>https://www.mdpi.com/2571-6255/9/2/62</x:v>
      </x:c>
      <x:c r="E19" s="55" t="str">
        <x:v>§§3.1–3.2 and Conclusions</x:v>
      </x:c>
      <x:c r="F19" s="55" t="str">
        <x:v>selector direction</x:v>
      </x:c>
      <x:c r="G19" s="55" t="str">
        <x:v>selector_default</x:v>
      </x:c>
      <x:c r="H19" s="55" t="str">
        <x:v>T2_public_lab_standard_or_physics</x:v>
      </x:c>
      <x:c r="I19" s="24" t="str">
        <x:v>RETAIN_MECHANISM_ONLY</x:v>
      </x:c>
      <x:c r="J19" s="55" t="str">
        <x:v>Capture pre-event glass condition and module construction.</x:v>
      </x:c>
      <x:c r="K19" s="55" t="str">
        <x:v>Population DR or numeric selector credit</x:v>
      </x:c>
      <x:c r="L19" s="55" t="str">
        <x:v>field/lab population calibration</x:v>
      </x:c>
    </x:row>
    <x:row r="20" ht="50.400001525878906" hidden="0" customHeight="1">
      <x:c r="A20" s="55" t="str">
        <x:v>WS-C015</x:v>
      </x:c>
      <x:c r="B20" s="55" t="str">
        <x:v>Tilt effect was non-monotonic in the tested pool-fire configuration and peaked at 15°.</x:v>
      </x:c>
      <x:c r="C20" s="55" t="str">
        <x:v>ZHAO_2026_PV_POOL_FIRE</x:v>
      </x:c>
      <x:c r="D20" s="55" t="str">
        <x:v>https://www.mdpi.com/2571-6255/9/2/62</x:v>
      </x:c>
      <x:c r="E20" s="55" t="str">
        <x:v>Conclusion item 3</x:v>
      </x:c>
      <x:c r="F20" s="55" t="str">
        <x:v>conditioner direction</x:v>
      </x:c>
      <x:c r="G20" s="55" t="str">
        <x:v>conditioner_adjustment</x:v>
      </x:c>
      <x:c r="H20" s="55" t="str">
        <x:v>T2_public_lab_standard_or_physics</x:v>
      </x:c>
      <x:c r="I20" s="24" t="str">
        <x:v>RETAIN_MECHANISM_ONLY</x:v>
      </x:c>
      <x:c r="J20" s="55" t="str">
        <x:v>Capture event-time tilt/tracker position.</x:v>
      </x:c>
      <x:c r="K20" s="55" t="str">
        <x:v>Universal 15° penalty or stow multiplier</x:v>
      </x:c>
      <x:c r="L20" s="55" t="str">
        <x:v>representative geometry testing</x:v>
      </x:c>
    </x:row>
    <x:row r="21" ht="58.79999923706055" hidden="0" customHeight="1">
      <x:c r="A21" s="55" t="str">
        <x:v>WS-C016</x:v>
      </x:c>
      <x:c r="B21" s="55" t="str">
        <x:v>Fire/ember exposure should be uncoupled from construction vulnerability and quantified in space and time.</x:v>
      </x:c>
      <x:c r="C21" s="55" t="str">
        <x:v>NIST_TN_1796</x:v>
      </x:c>
      <x:c r="D21" s="55" t="str">
        <x:v>https://nvlpubs.nist.gov/nistpubs/TechnicalNotes/NIST.TN.1796.pdf</x:v>
      </x:c>
      <x:c r="E21" s="55" t="str">
        <x:v>pp. 25–26 and 54–55</x:v>
      </x:c>
      <x:c r="F21" s="55" t="str">
        <x:v>architecture / field protocol</x:v>
      </x:c>
      <x:c r="G21" s="55" t="str">
        <x:v>axis_bridge</x:v>
      </x:c>
      <x:c r="H21" s="55" t="str">
        <x:v>T2_public_lab_standard_or_physics</x:v>
      </x:c>
      <x:c r="I21" s="24" t="str">
        <x:v>RETAIN_WITH_TRANSFER_LIMIT</x:v>
      </x:c>
      <x:c r="J21" s="55" t="str">
        <x:v>Keep site attack separate from component response.</x:v>
      </x:c>
      <x:c r="K21" s="55" t="str">
        <x:v>Residential coefficient transferred to solar</x:v>
      </x:c>
      <x:c r="L21" s="55" t="str">
        <x:v>solar exposure-validation study</x:v>
      </x:c>
    </x:row>
    <x:row r="22" ht="92.4000015258789" hidden="0" customHeight="1">
      <x:c r="A22" s="55" t="str">
        <x:v>WS-C017</x:v>
      </x:c>
      <x:c r="B22" s="55" t="str">
        <x:v>Vegetation management, undergrounding where practical, fire-resistant containers, access and emergency planning are PV-relevant risk controls.</x:v>
      </x:c>
      <x:c r="C22" s="55" t="str">
        <x:v>DOE_FEMP_PV_WILDFIRE</x:v>
      </x:c>
      <x:c r="D22" s="55" t="str">
        <x:v>https://www.energy.gov/cmei/femp/solar-photovoltaic-hardening-resilience-wildfire</x:v>
      </x:c>
      <x:c r="E22" s="55" t="str">
        <x:v>System Considerations and O&amp;M</x:v>
      </x:c>
      <x:c r="F22" s="55" t="str">
        <x:v>PV-specific guidance</x:v>
      </x:c>
      <x:c r="G22" s="55" t="str">
        <x:v>conditioner_adjustment</x:v>
      </x:c>
      <x:c r="H22" s="55" t="str">
        <x:v>T2_public_lab_standard_or_physics</x:v>
      </x:c>
      <x:c r="I22" s="24" t="str">
        <x:v>RETAIN_QUALITATIVE</x:v>
      </x:c>
      <x:c r="J22" s="55" t="str">
        <x:v>Define auditable site fields.</x:v>
      </x:c>
      <x:c r="K22" s="55" t="str">
        <x:v>Universal numeric credit</x:v>
      </x:c>
      <x:c r="L22" s="55" t="str">
        <x:v>effectiveness calibration</x:v>
      </x:c>
    </x:row>
    <x:row r="23" ht="67.19999694824219" hidden="0" customHeight="1">
      <x:c r="A23" s="55" t="str">
        <x:v>WS-C018</x:v>
      </x:c>
      <x:c r="B23" s="55" t="str">
        <x:v>Noncombustible screens/barriers may interrupt flame spread, but the effect is geometry- and pathway-dependent.</x:v>
      </x:c>
      <x:c r="C23" s="55" t="str">
        <x:v>DOE_FEMP_PV_WILDFIRE</x:v>
      </x:c>
      <x:c r="D23" s="55" t="str">
        <x:v>https://www.energy.gov/cmei/femp/solar-photovoltaic-hardening-resilience-wildfire</x:v>
      </x:c>
      <x:c r="E23" s="55" t="str">
        <x:v>System Considerations, barrier paragraphs</x:v>
      </x:c>
      <x:c r="F23" s="55" t="str">
        <x:v>PV-specific guidance</x:v>
      </x:c>
      <x:c r="G23" s="55" t="str">
        <x:v>conditioner_adjustment</x:v>
      </x:c>
      <x:c r="H23" s="55" t="str">
        <x:v>T2_public_lab_standard_or_physics</x:v>
      </x:c>
      <x:c r="I23" s="24" t="str">
        <x:v>RETAIN_QUALITATIVE</x:v>
      </x:c>
      <x:c r="J23" s="55" t="str">
        <x:v>Require material/height/continuity/gap/distance model.</x:v>
      </x:c>
      <x:c r="K23" s="55" t="str">
        <x:v>Blanket wall multiplier</x:v>
      </x:c>
      <x:c r="L23" s="55" t="str">
        <x:v>validated geometry/ember model</x:v>
      </x:c>
    </x:row>
    <x:row r="24" ht="100.80000305175781" hidden="0" customHeight="1">
      <x:c r="A24" s="55" t="str">
        <x:v>WS-C019</x:v>
      </x:c>
      <x:c r="B24" s="55" t="str">
        <x:v>Combustible fences can rapidly conduct fire; fence-plus-mulch and parallel-fence configurations can increase hazard disproportionately.</x:v>
      </x:c>
      <x:c r="C24" s="55" t="str">
        <x:v>NIST_TN_2228</x:v>
      </x:c>
      <x:c r="D24" s="55" t="str">
        <x:v>https://www.nist.gov/publications/wind-driven-fire-spread-structure-fences-and-mulch</x:v>
      </x:c>
      <x:c r="E24" s="55" t="str">
        <x:v>Abstract/executive summary; 187 experiments</x:v>
      </x:c>
      <x:c r="F24" s="55" t="str">
        <x:v>site fuel-continuity evidence</x:v>
      </x:c>
      <x:c r="G24" s="55" t="str">
        <x:v>conditioner_adjustment</x:v>
      </x:c>
      <x:c r="H24" s="55" t="str">
        <x:v>T3_engineering_proxy_or_adjacent_empirical</x:v>
      </x:c>
      <x:c r="I24" s="24" t="str">
        <x:v>RETAIN_WITH_TRANSFER_LIMIT</x:v>
      </x:c>
      <x:c r="J24" s="55" t="str">
        <x:v>Fence material, spacing and debris flags.</x:v>
      </x:c>
      <x:c r="K24" s="55" t="str">
        <x:v>Solar-specific multiplier</x:v>
      </x:c>
      <x:c r="L24" s="55" t="str">
        <x:v>solar fence/fire study</x:v>
      </x:c>
    </x:row>
    <x:row r="25" ht="58.79999923706055" hidden="0" customHeight="1">
      <x:c r="A25" s="55" t="str">
        <x:v>WS-C020</x:v>
      </x:c>
      <x:c r="B25" s="55" t="str">
        <x:v>Noncombustible fencing still requires maintenance to prevent accumulated fine fuels.</x:v>
      </x:c>
      <x:c r="C25" s="55" t="str">
        <x:v>NIST_TN_2228</x:v>
      </x:c>
      <x:c r="D25" s="55" t="str">
        <x:v>https://doi.org/10.6028/NIST.TN.2228</x:v>
      </x:c>
      <x:c r="E25" s="55" t="str">
        <x:v>Abstract/executive summary</x:v>
      </x:c>
      <x:c r="F25" s="55" t="str">
        <x:v>site O&amp;M evidence</x:v>
      </x:c>
      <x:c r="G25" s="55" t="str">
        <x:v>conditioner_adjustment</x:v>
      </x:c>
      <x:c r="H25" s="55" t="str">
        <x:v>T3_engineering_proxy_or_adjacent_empirical</x:v>
      </x:c>
      <x:c r="I25" s="24" t="str">
        <x:v>RETAIN_WITH_TRANSFER_LIMIT</x:v>
      </x:c>
      <x:c r="J25" s="55" t="str">
        <x:v>Fuel-accumulation inspection field.</x:v>
      </x:c>
      <x:c r="K25" s="55" t="str">
        <x:v>Proof an open/metal fence blocks heat</x:v>
      </x:c>
      <x:c r="L25" s="55" t="str">
        <x:v>solar fence/fire study</x:v>
      </x:c>
    </x:row>
    <x:row r="26" ht="92.4000015258789" hidden="0" customHeight="1">
      <x:c r="A26" s="55" t="str">
        <x:v>WS-C021</x:v>
      </x:c>
      <x:c r="B26" s="55" t="str">
        <x:v>Grass height near electrical equipment should be no more than 100 mm during the declared Fire Danger Period in the cited Victoria control framework.</x:v>
      </x:c>
      <x:c r="C26" s="55" t="str">
        <x:v>ENERGY_SAFE_VICTORIA_SOLAR</x:v>
      </x:c>
      <x:c r="D26" s="55" t="str">
        <x:v>https://www.energysafe.vic.gov.au/industry-guidance/electrical/installations-and-infrastructure/general-duties-solar-farm-owners-and-operators</x:v>
      </x:c>
      <x:c r="E26" s="55" t="str">
        <x:v>Vegetation management</x:v>
      </x:c>
      <x:c r="F26" s="55" t="str">
        <x:v>official regulatory control</x:v>
      </x:c>
      <x:c r="G26" s="55" t="str">
        <x:v>conditioner_adjustment</x:v>
      </x:c>
      <x:c r="H26" s="55" t="str">
        <x:v>T2_public_lab_standard_or_physics</x:v>
      </x:c>
      <x:c r="I26" s="24" t="str">
        <x:v>RETAIN_CONTROL_ONLY</x:v>
      </x:c>
      <x:c r="J26" s="55" t="str">
        <x:v>Compliance/site-condition field with inspection date.</x:v>
      </x:c>
      <x:c r="K26" s="55" t="str">
        <x:v>Damage-reduction coefficient or universal jurisdiction</x:v>
      </x:c>
      <x:c r="L26" s="55" t="str">
        <x:v>effectiveness study/local code selection</x:v>
      </x:c>
    </x:row>
    <x:row r="27" ht="92.4000015258789" hidden="0" customHeight="1">
      <x:c r="A27" s="55" t="str">
        <x:v>WS-C022</x:v>
      </x:c>
      <x:c r="B27" s="55" t="str">
        <x:v>The cited Victoria framework calls for at least 10 m fuel-free noncombustible firebreaks around key infrastructure and the perimeter.</x:v>
      </x:c>
      <x:c r="C27" s="55" t="str">
        <x:v>ENERGY_SAFE_VICTORIA_SOLAR</x:v>
      </x:c>
      <x:c r="D27" s="55" t="str">
        <x:v>https://www.energysafe.vic.gov.au/industry-guidance/electrical/installations-and-infrastructure/general-duties-solar-farm-owners-and-operators</x:v>
      </x:c>
      <x:c r="E27" s="55" t="str">
        <x:v>Fire-breaks</x:v>
      </x:c>
      <x:c r="F27" s="55" t="str">
        <x:v>official regulatory control</x:v>
      </x:c>
      <x:c r="G27" s="55" t="str">
        <x:v>conditioner_adjustment</x:v>
      </x:c>
      <x:c r="H27" s="55" t="str">
        <x:v>T2_public_lab_standard_or_physics</x:v>
      </x:c>
      <x:c r="I27" s="24" t="str">
        <x:v>RETAIN_CONTROL_ONLY</x:v>
      </x:c>
      <x:c r="J27" s="55" t="str">
        <x:v>Measured width/surface/continuity field.</x:v>
      </x:c>
      <x:c r="K27" s="55" t="str">
        <x:v>Proof a severe fire stops or universal credit</x:v>
      </x:c>
      <x:c r="L27" s="55" t="str">
        <x:v>effectiveness study/local code selection</x:v>
      </x:c>
    </x:row>
    <x:row r="28" ht="109.19999694824219" hidden="0" customHeight="1">
      <x:c r="A28" s="55" t="str">
        <x:v>WS-C023</x:v>
      </x:c>
      <x:c r="B28" s="55" t="str">
        <x:v>The cited NSW operational guidance disallows firefighting within 8 m of large-scale generation infrastructure or a fenced area without explicit de-energization assurance.</x:v>
      </x:c>
      <x:c r="C28" s="55" t="str">
        <x:v>NSW_RFS_OP_1_2_22</x:v>
      </x:c>
      <x:c r="D28" s="55" t="str">
        <x:v>https://www.rfs.nsw.gov.au/__data/assets/pdf_file/0004/247891/OP-1.2.22-Photovoltaic-Arrays.pdf</x:v>
      </x:c>
      <x:c r="E28" s="55" t="str">
        <x:v>§7.3, printed p. 12 / PDF page 11</x:v>
      </x:c>
      <x:c r="F28" s="55" t="str">
        <x:v>operational/access constraint</x:v>
      </x:c>
      <x:c r="G28" s="55" t="str">
        <x:v>conditioner_adjustment</x:v>
      </x:c>
      <x:c r="H28" s="55" t="str">
        <x:v>T2_public_lab_standard_or_physics</x:v>
      </x:c>
      <x:c r="I28" s="24" t="str">
        <x:v>RETAIN_OPERATIONAL_ONLY</x:v>
      </x:c>
      <x:c r="J28" s="55" t="str">
        <x:v>Access/de-energization state and response-model requirement.</x:v>
      </x:c>
      <x:c r="K28" s="55" t="str">
        <x:v>Automatic suppression credit</x:v>
      </x:c>
      <x:c r="L28" s="55" t="str">
        <x:v>response calibration</x:v>
      </x:c>
    </x:row>
    <x:row r="29" ht="75.5999984741211" hidden="0" customHeight="1">
      <x:c r="A29" s="55" t="str">
        <x:v>WS-C024</x:v>
      </x:c>
      <x:c r="B29" s="55" t="str">
        <x:v>Module/combiner conductors are commonly exposed while direct burial, conduit and trays are distinct installation states.</x:v>
      </x:c>
      <x:c r="C29" s="55" t="str">
        <x:v>NREL_PV_OM_2018</x:v>
      </x:c>
      <x:c r="D29" s="55" t="str">
        <x:v>https://www.nrel.gov/docs/fy19osti/73822.pdf</x:v>
      </x:c>
      <x:c r="E29" s="55" t="str">
        <x:v>§5.1, Wire Management</x:v>
      </x:c>
      <x:c r="F29" s="55" t="str">
        <x:v>asset/exposure decomposition</x:v>
      </x:c>
      <x:c r="G29" s="55" t="str">
        <x:v>selector_default</x:v>
      </x:c>
      <x:c r="H29" s="55" t="str">
        <x:v>T2_public_lab_standard_or_physics</x:v>
      </x:c>
      <x:c r="I29" s="24" t="str">
        <x:v>RETAIN_QUALITATIVE</x:v>
      </x:c>
      <x:c r="J29" s="55" t="str">
        <x:v>Require exposed/buried/conduit/tray split.</x:v>
      </x:c>
      <x:c r="K29" s="55" t="str">
        <x:v>Numeric wildfire survival factor</x:v>
      </x:c>
      <x:c r="L29" s="55" t="str">
        <x:v>installed-condition tests</x:v>
      </x:c>
    </x:row>
    <x:row r="30" ht="67.19999694824219" hidden="0" customHeight="1">
      <x:c r="A30" s="55" t="str">
        <x:v>WS-C025</x:v>
      </x:c>
      <x:c r="B30" s="55" t="str">
        <x:v>Residential defensible-space effectiveness varied by distance and site context; it is transfer evidence only.</x:v>
      </x:c>
      <x:c r="C30" s="55" t="str">
        <x:v>SYPHARD_2014</x:v>
      </x:c>
      <x:c r="D30" s="55" t="str">
        <x:v>https://doi.org/10.1071/WF13158</x:v>
      </x:c>
      <x:c r="E30" s="55" t="str">
        <x:v>abstract/results</x:v>
      </x:c>
      <x:c r="F30" s="55" t="str">
        <x:v>adjacent field evidence</x:v>
      </x:c>
      <x:c r="G30" s="55" t="str">
        <x:v>conditioner_adjustment</x:v>
      </x:c>
      <x:c r="H30" s="55" t="str">
        <x:v>T3_engineering_proxy_or_adjacent_empirical</x:v>
      </x:c>
      <x:c r="I30" s="24" t="str">
        <x:v>RETAIN_WITH_TRANSFER_LIMIT</x:v>
      </x:c>
      <x:c r="J30" s="55" t="str">
        <x:v>Motivate immediate-site fields and update triggers.</x:v>
      </x:c>
      <x:c r="K30" s="55" t="str">
        <x:v>Direct solar credit or universal width</x:v>
      </x:c>
      <x:c r="L30" s="55" t="str">
        <x:v>solar field calibration</x:v>
      </x:c>
    </x:row>
    <x:row r="31" ht="33.599998474121094" hidden="0" customHeight="1">
      <x:c r="A31" s="55" t="str">
        <x:v>WS-C026</x:v>
      </x:c>
      <x:c r="B31" s="55" t="str">
        <x:v>Reference installed basis is 1120.000000 USD/kWdc.</x:v>
      </x:c>
      <x:c r="C31" s="55" t="str">
        <x:v>VALUE_SOLAR_WORKBOOK</x:v>
      </x:c>
      <x:c r="D31" s="55" t="str">
        <x:v>https://data.nrel.gov/submissions/304</x:v>
      </x:c>
      <x:c r="E31" s="55" t="str">
        <x:v>Inputs!B6; Summary!B5</x:v>
      </x:c>
      <x:c r="F31" s="55" t="str">
        <x:v>value basis</x:v>
      </x:c>
      <x:c r="G31" s="55" t="str">
        <x:v>exposure_or_value</x:v>
      </x:c>
      <x:c r="H31" s="55" t="str">
        <x:v>T2_public_lab_standard_or_physics</x:v>
      </x:c>
      <x:c r="I31" s="24" t="str">
        <x:v>RETAIN_REFERENCE_ONLY</x:v>
      </x:c>
      <x:c r="J31" s="55" t="str">
        <x:v>Generic reconciliation archetype.</x:v>
      </x:c>
      <x:c r="K31" s="55" t="str">
        <x:v>Site appraisal or damage denominator without override</x:v>
      </x:c>
      <x:c r="L31" s="55" t="str">
        <x:v>benchmark vintage/site appraisal</x:v>
      </x:c>
    </x:row>
    <x:row r="32" ht="50.400001525878906" hidden="0" customHeight="1">
      <x:c r="A32" s="55" t="str">
        <x:v>WS-C027</x:v>
      </x:c>
      <x:c r="B32" s="55" t="str">
        <x:v>Reference physical replaceable basis is 877.795702 USD/kWdc.</x:v>
      </x:c>
      <x:c r="C32" s="55" t="str">
        <x:v>VALUE_SOLAR_WORKBOOK</x:v>
      </x:c>
      <x:c r="D32" s="55" t="str">
        <x:v>https://data.nrel.gov/submissions/304</x:v>
      </x:c>
      <x:c r="E32" s="55" t="str">
        <x:v>Inputs!B7; Summary!B6</x:v>
      </x:c>
      <x:c r="F32" s="55" t="str">
        <x:v>value basis</x:v>
      </x:c>
      <x:c r="G32" s="55" t="str">
        <x:v>exposure_or_value</x:v>
      </x:c>
      <x:c r="H32" s="55" t="str">
        <x:v>T2_public_lab_standard_or_physics</x:v>
      </x:c>
      <x:c r="I32" s="24" t="str">
        <x:v>RETAIN_REFERENCE_ONLY</x:v>
      </x:c>
      <x:c r="J32" s="55" t="str">
        <x:v>Generic reconciliation archetype.</x:v>
      </x:c>
      <x:c r="K32" s="55" t="str">
        <x:v>Site appraisal or automatically exposed value</x:v>
      </x:c>
      <x:c r="L32" s="55" t="str">
        <x:v>benchmark vintage/site appraisal</x:v>
      </x:c>
    </x:row>
    <x:row r="33" ht="50.400001525878906" hidden="0" customHeight="1">
      <x:c r="A33" s="55" t="str">
        <x:v>WS-C028</x:v>
      </x:c>
      <x:c r="B33" s="55" t="str">
        <x:v>Reference excluded soft/sunk/nonphysical basis is 242.204298 USD/kWdc.</x:v>
      </x:c>
      <x:c r="C33" s="55" t="str">
        <x:v>VALUE_SOLAR_WORKBOOK</x:v>
      </x:c>
      <x:c r="D33" s="55" t="str">
        <x:v>https://data.nrel.gov/submissions/304</x:v>
      </x:c>
      <x:c r="E33" s="55" t="str">
        <x:v>Inputs!B8; Summary!B7</x:v>
      </x:c>
      <x:c r="F33" s="55" t="str">
        <x:v>value reconciliation</x:v>
      </x:c>
      <x:c r="G33" s="55" t="str">
        <x:v>exposure_or_value</x:v>
      </x:c>
      <x:c r="H33" s="55" t="str">
        <x:v>T2_public_lab_standard_or_physics</x:v>
      </x:c>
      <x:c r="I33" s="24" t="str">
        <x:v>RETAIN_REFERENCE_ONLY</x:v>
      </x:c>
      <x:c r="J33" s="55" t="str">
        <x:v>Ensure excluded value is not reintroduced.</x:v>
      </x:c>
      <x:c r="K33" s="55" t="str">
        <x:v>Wildfire damaged value</x:v>
      </x:c>
      <x:c r="L33" s="55" t="str">
        <x:v>benchmark vintage/site appraisal</x:v>
      </x:c>
    </x:row>
    <x:row r="34" ht="58.79999923706055" hidden="0" customHeight="1">
      <x:c r="A34" s="55" t="str">
        <x:v>WS-C029</x:v>
      </x:c>
      <x:c r="B34" s="55" t="str">
        <x:v>Direct-hardware rows 2–10 total 656.981457 USD/kWdc or 65.698146M USD for 100 MWdc.</x:v>
      </x:c>
      <x:c r="C34" s="55" t="str">
        <x:v>VALUE_SOLAR_WORKBOOK</x:v>
      </x:c>
      <x:c r="D34" s="55" t="str">
        <x:v>https://data.nrel.gov/submissions/304</x:v>
      </x:c>
      <x:c r="E34" s="55" t="str">
        <x:v>Solar_Map!2:10; VALUE_CROSSWALK summary</x:v>
      </x:c>
      <x:c r="F34" s="55" t="str">
        <x:v>value reconciliation</x:v>
      </x:c>
      <x:c r="G34" s="55" t="str">
        <x:v>exposure_or_value</x:v>
      </x:c>
      <x:c r="H34" s="55" t="str">
        <x:v>T2_public_lab_standard_or_physics</x:v>
      </x:c>
      <x:c r="I34" s="24" t="str">
        <x:v>RETAIN_REFERENCE_ONLY</x:v>
      </x:c>
      <x:c r="J34" s="55" t="str">
        <x:v>Pressure-test direct-hardware denominator.</x:v>
      </x:c>
      <x:c r="K34" s="55" t="str">
        <x:v>Site value or all-at-risk value</x:v>
      </x:c>
      <x:c r="L34" s="55" t="str">
        <x:v>site appraisal</x:v>
      </x:c>
    </x:row>
    <x:row r="35" ht="134.39999389648438" hidden="0" customHeight="1">
      <x:c r="A35" s="55" t="str">
        <x:v>WS-C030</x:v>
      </x:c>
      <x:c r="B35" s="55" t="str">
        <x:v>Rows 12–15 total 220.814245 USD/kWdc of mixed civil/replacement/support value; rows 12, 13, and 15 are support allocations with no independent DR, while row 14 must first split direct civil failure units from support/pathway costs.</x:v>
      </x:c>
      <x:c r="C35" s="55" t="str">
        <x:v>VALUE_SOLAR_WORKBOOK</x:v>
      </x:c>
      <x:c r="D35" s="55" t="str">
        <x:v>https://data.nrel.gov/submissions/304</x:v>
      </x:c>
      <x:c r="E35" s="55" t="str">
        <x:v>Solar_Map!12:15; VALUE_CROSSWALK summary and row 14 treatment</x:v>
      </x:c>
      <x:c r="F35" s="55" t="str">
        <x:v>support-cost and mixed-civil allocation</x:v>
      </x:c>
      <x:c r="G35" s="55" t="str">
        <x:v>exposure_or_value</x:v>
      </x:c>
      <x:c r="H35" s="55" t="str">
        <x:v>T4_placeholder_or_expert_judgment</x:v>
      </x:c>
      <x:c r="I35" s="24" t="str">
        <x:v>RETAIN_FAIL_CLOSED_RULE</x:v>
      </x:c>
      <x:c r="J35" s="55" t="str">
        <x:v>Allocate rows 12, 13, and 15 once after damaged units are known; split row 14 before any curve/value treatment.</x:v>
      </x:c>
      <x:c r="K35" s="55" t="str">
        <x:v>Independent support-cost curve, unsplit row-14 curve, or automatic proportional loss</x:v>
      </x:c>
      <x:c r="L35" s="55" t="str">
        <x:v>claims-supported allocation and civil-asset split</x:v>
      </x:c>
    </x:row>
    <x:row r="36" ht="75.5999984741211" hidden="0" customHeight="1">
      <x:c r="A36" s="55" t="str">
        <x:v>WS-C031</x:v>
      </x:c>
      <x:c r="B36" s="55" t="str">
        <x:v>Current value mappings require component, exposed/buried/protected and support-cost splits before loss.</x:v>
      </x:c>
      <x:c r="C36" s="55" t="str">
        <x:v>VALUE_SOLAR_WORKBOOK;DOE_FEMP_PV_WILDFIRE;NREL_PV_OM_2018</x:v>
      </x:c>
      <x:c r="D36" s="55" t="str">
        <x:v>https://data.nrel.gov/submissions/304</x:v>
      </x:c>
      <x:c r="E36" s="55" t="str">
        <x:v>Solar_Map rows and site guidance</x:v>
      </x:c>
      <x:c r="F36" s="55" t="str">
        <x:v>scope/value crosswalk</x:v>
      </x:c>
      <x:c r="G36" s="55" t="str">
        <x:v>exposure_or_value</x:v>
      </x:c>
      <x:c r="H36" s="55" t="str">
        <x:v>T3_engineering_proxy_or_adjacent_empirical</x:v>
      </x:c>
      <x:c r="I36" s="24" t="str">
        <x:v>RETAIN_FAIL_CLOSED_RULE</x:v>
      </x:c>
      <x:c r="J36" s="55" t="str">
        <x:v>Withhold site loss until allocation is complete.</x:v>
      </x:c>
      <x:c r="K36" s="55" t="str">
        <x:v>Bucket-wide exposed response</x:v>
      </x:c>
      <x:c r="L36" s="55" t="str">
        <x:v>site inventory</x:v>
      </x:c>
    </x:row>
    <x:row r="37" ht="42" hidden="0" customHeight="1">
      <x:c r="A37" s="55" t="str">
        <x:v>WS-C032</x:v>
      </x:c>
      <x:c r="B37" s="55" t="str">
        <x:v>All initial FIL low/base/high economic DR ordinates are withdrawn.</x:v>
      </x:c>
      <x:c r="C37" s="55" t="str">
        <x:v>NO_DIRECT_SOURCE_T4</x:v>
      </x:c>
      <x:c r="D37" s="55" t="str"/>
      <x:c r="E37" s="55" t="str">
        <x:v>Pressure test and provenance audit</x:v>
      </x:c>
      <x:c r="F37" s="55" t="str">
        <x:v>failed parameter provenance</x:v>
      </x:c>
      <x:c r="G37" s="55" t="str">
        <x:v>curve_fit_shape</x:v>
      </x:c>
      <x:c r="H37" s="55" t="str">
        <x:v>T4_placeholder_or_expert_judgment</x:v>
      </x:c>
      <x:c r="I37" s="22" t="str">
        <x:v>WITHDRAW</x:v>
      </x:c>
      <x:c r="J37" s="55" t="str">
        <x:v>Audit history only.</x:v>
      </x:c>
      <x:c r="K37" s="55" t="str">
        <x:v>Estimate, calibration or uncertainty band</x:v>
      </x:c>
      <x:c r="L37" s="55" t="str">
        <x:v>target calibration/structured elicitation</x:v>
      </x:c>
    </x:row>
    <x:row r="38" ht="50.400001525878906" hidden="0" customHeight="1">
      <x:c r="A38" s="55" t="str">
        <x:v>WS-C033</x:v>
      </x:c>
      <x:c r="B38" s="55" t="str">
        <x:v>The illustrative FLP vector 0.45/0.25/0.15/0.08/0.05/0.02 is synthetic and withdrawn.</x:v>
      </x:c>
      <x:c r="C38" s="55" t="str">
        <x:v>NO_SOURCE_SYNTHETIC</x:v>
      </x:c>
      <x:c r="D38" s="55" t="str"/>
      <x:c r="E38" s="55" t="str">
        <x:v>Pressure test</x:v>
      </x:c>
      <x:c r="F38" s="55" t="str">
        <x:v>synthetic input</x:v>
      </x:c>
      <x:c r="G38" s="55" t="str">
        <x:v>axis_bridge</x:v>
      </x:c>
      <x:c r="H38" s="55" t="str">
        <x:v>T4_placeholder_or_expert_judgment</x:v>
      </x:c>
      <x:c r="I38" s="22" t="str">
        <x:v>WITHDRAW</x:v>
      </x:c>
      <x:c r="J38" s="55" t="str">
        <x:v>Audit history only.</x:v>
      </x:c>
      <x:c r="K38" s="55" t="str">
        <x:v>Site hazard distribution</x:v>
      </x:c>
      <x:c r="L38" s="55" t="str">
        <x:v>source-native site data</x:v>
      </x:c>
    </x:row>
    <x:row r="39" ht="75.5999984741211" hidden="0" customHeight="1">
      <x:c r="A39" s="55" t="str">
        <x:v>WS-C034</x:v>
      </x:c>
      <x:c r="B39" s="55" t="str">
        <x:v>Legacy six logistic equations imply 5.82%–9.84% DR at I=0.</x:v>
      </x:c>
      <x:c r="C39" s="55" t="str">
        <x:v>LEGACY_DIVI_WILDFIRE_SOLAR_2026</x:v>
      </x:c>
      <x:c r="D39" s="55" t="str">
        <x:v>https://github.com/Divi-patel/infrasure-damage-curves/blob/12653b2c3d5a013c9524228243ea666c35bb3814/research/WILDFIRE_x_SOLAR.md</x:v>
      </x:c>
      <x:c r="E39" s="55" t="str">
        <x:v>Recalculation from §11 L/k/x0 values</x:v>
      </x:c>
      <x:c r="F39" s="55" t="str">
        <x:v>legacy numerical QA</x:v>
      </x:c>
      <x:c r="G39" s="55" t="str">
        <x:v>curve_fit_shape</x:v>
      </x:c>
      <x:c r="H39" s="55" t="str">
        <x:v>T4_placeholder_or_expert_judgment</x:v>
      </x:c>
      <x:c r="I39" s="22" t="str">
        <x:v>REJECT</x:v>
      </x:c>
      <x:c r="J39" s="55" t="str">
        <x:v>Reproducible rejection test.</x:v>
      </x:c>
      <x:c r="K39" s="55" t="str">
        <x:v>Any curve or low-intensity loss</x:v>
      </x:c>
      <x:c r="L39" s="55" t="str">
        <x:v>never; superseded legacy audit</x:v>
      </x:c>
    </x:row>
    <x:row r="40" ht="75.5999984741211" hidden="0" customHeight="1">
      <x:c r="A40" s="55" t="str">
        <x:v>WS-C035</x:v>
      </x:c>
      <x:c r="B40" s="55" t="str">
        <x:v>At I=200 the legacy formulas yield 7.41%/9.21%/8.58%/8.05%/8.91%/11.49%, while the table reports 2%/1%/1%/1%/1%/4%.</x:v>
      </x:c>
      <x:c r="C40" s="55" t="str">
        <x:v>LEGACY_DIVI_WILDFIRE_SOLAR_2026</x:v>
      </x:c>
      <x:c r="D40" s="55" t="str">
        <x:v>https://github.com/Divi-patel/infrasure-damage-curves/blob/12653b2c3d5a013c9524228243ea666c35bb3814/research/WILDFIRE_x_SOLAR.md</x:v>
      </x:c>
      <x:c r="E40" s="55" t="str">
        <x:v>§11 equation/table recomputation</x:v>
      </x:c>
      <x:c r="F40" s="55" t="str">
        <x:v>legacy numerical QA</x:v>
      </x:c>
      <x:c r="G40" s="55" t="str">
        <x:v>curve_fit_shape</x:v>
      </x:c>
      <x:c r="H40" s="55" t="str">
        <x:v>T4_placeholder_or_expert_judgment</x:v>
      </x:c>
      <x:c r="I40" s="22" t="str">
        <x:v>REJECT</x:v>
      </x:c>
      <x:c r="J40" s="55" t="str">
        <x:v>Reproducible rejection test.</x:v>
      </x:c>
      <x:c r="K40" s="55" t="str">
        <x:v>Any curve calibration</x:v>
      </x:c>
      <x:c r="L40" s="55" t="str">
        <x:v>never; superseded legacy audit</x:v>
      </x:c>
    </x:row>
    <x:row r="41" ht="75.5999984741211" hidden="0" customHeight="1">
      <x:c r="A41" s="55" t="str">
        <x:v>WS-C036</x:v>
      </x:c>
      <x:c r="B41" s="55" t="str">
        <x:v>The legacy inverse flame-length table does not match its displayed F_H = 0.0775·I^0.46 equation.</x:v>
      </x:c>
      <x:c r="C41" s="55" t="str">
        <x:v>LEGACY_DIVI_WILDFIRE_SOLAR_2026</x:v>
      </x:c>
      <x:c r="D41" s="55" t="str">
        <x:v>https://github.com/Divi-patel/infrasure-damage-curves/blob/12653b2c3d5a013c9524228243ea666c35bb3814/research/WILDFIRE_x_SOLAR.md</x:v>
      </x:c>
      <x:c r="E41" s="55" t="str">
        <x:v>§12.1 recomputation</x:v>
      </x:c>
      <x:c r="F41" s="55" t="str">
        <x:v>legacy numerical QA</x:v>
      </x:c>
      <x:c r="G41" s="55" t="str">
        <x:v>axis_bridge</x:v>
      </x:c>
      <x:c r="H41" s="55" t="str">
        <x:v>T4_placeholder_or_expert_judgment</x:v>
      </x:c>
      <x:c r="I41" s="22" t="str">
        <x:v>REJECT</x:v>
      </x:c>
      <x:c r="J41" s="55" t="str">
        <x:v>Reproducible rejection test.</x:v>
      </x:c>
      <x:c r="K41" s="55" t="str">
        <x:v>Any hazard conversion</x:v>
      </x:c>
      <x:c r="L41" s="55" t="str">
        <x:v>authoritative re-derivation with unit contract</x:v>
      </x:c>
    </x:row>
    <x:row r="42" ht="75.5999984741211" hidden="0" customHeight="1">
      <x:c r="A42" s="55" t="str">
        <x:v>WS-C037</x:v>
      </x:c>
      <x:c r="B42" s="55" t="str">
        <x:v>Legacy component/BOM/civil weights are not audited failure-unit economic shares.</x:v>
      </x:c>
      <x:c r="C42" s="55" t="str">
        <x:v>LEGACY_DIVI_WILDFIRE_SOLAR_2026;VALUE_SOLAR_WORKBOOK</x:v>
      </x:c>
      <x:c r="D42" s="55" t="str">
        <x:v>https://github.com/Divi-patel/infrasure-damage-curves/blob/12653b2c3d5a013c9524228243ea666c35bb3814/research/WILDFIRE_x_SOLAR.md</x:v>
      </x:c>
      <x:c r="E42" s="55" t="str">
        <x:v>Appendix A vs governed value rows</x:v>
      </x:c>
      <x:c r="F42" s="55" t="str">
        <x:v>failed value mapping</x:v>
      </x:c>
      <x:c r="G42" s="55" t="str">
        <x:v>exposure_or_value</x:v>
      </x:c>
      <x:c r="H42" s="55" t="str">
        <x:v>T4_placeholder_or_expert_judgment</x:v>
      </x:c>
      <x:c r="I42" s="22" t="str">
        <x:v>REJECT</x:v>
      </x:c>
      <x:c r="J42" s="55" t="str">
        <x:v>Source-discovery comparison only.</x:v>
      </x:c>
      <x:c r="K42" s="55" t="str">
        <x:v>Economic aggregation</x:v>
      </x:c>
      <x:c r="L42" s="55" t="str">
        <x:v>audited BOM/replacement rule</x:v>
      </x:c>
    </x:row>
    <x:row r="43" ht="75.5999984741211" hidden="0" customHeight="1">
      <x:c r="A43" s="55" t="str">
        <x:v>WS-C038</x:v>
      </x:c>
      <x:c r="B43" s="55" t="str">
        <x:v>Legacy uncertainty ranges and factor-of-two/order-of-magnitude reliability claims are unsupported.</x:v>
      </x:c>
      <x:c r="C43" s="55" t="str">
        <x:v>LEGACY_DIVI_WILDFIRE_SOLAR_2026</x:v>
      </x:c>
      <x:c r="D43" s="55" t="str">
        <x:v>https://github.com/Divi-patel/infrasure-damage-curves/blob/12653b2c3d5a013c9524228243ea666c35bb3814/research/WILDFIRE_x_SOLAR.md</x:v>
      </x:c>
      <x:c r="E43" s="55" t="str">
        <x:v>Appendix B</x:v>
      </x:c>
      <x:c r="F43" s="55" t="str">
        <x:v>failed uncertainty provenance</x:v>
      </x:c>
      <x:c r="G43" s="55" t="str">
        <x:v>curve_fit_shape</x:v>
      </x:c>
      <x:c r="H43" s="55" t="str">
        <x:v>T4_placeholder_or_expert_judgment</x:v>
      </x:c>
      <x:c r="I43" s="22" t="str">
        <x:v>REJECT</x:v>
      </x:c>
      <x:c r="J43" s="55" t="str">
        <x:v>Research-gap record only.</x:v>
      </x:c>
      <x:c r="K43" s="55" t="str">
        <x:v>Probabilistic spread or coverage claim</x:v>
      </x:c>
      <x:c r="L43" s="55" t="str">
        <x:v>statistical model/structured elicitation</x:v>
      </x:c>
    </x:row>
    <x:row r="44" ht="75.5999984741211" hidden="0" customHeight="1">
      <x:c r="A44" s="55" t="str">
        <x:v>WS-C039</x:v>
      </x:c>
      <x:c r="B44" s="55" t="str">
        <x:v>General wildfire acreage, residential loss, utility liability and hypothetical solar events do not calibrate solar fragility.</x:v>
      </x:c>
      <x:c r="C44" s="55" t="str">
        <x:v>LEGACY_DIVI_WILDFIRE_SOLAR_2026</x:v>
      </x:c>
      <x:c r="D44" s="55" t="str">
        <x:v>https://github.com/Divi-patel/infrasure-damage-curves/blob/12653b2c3d5a013c9524228243ea666c35bb3814/research/WILDFIRE_x_SOLAR.md</x:v>
      </x:c>
      <x:c r="E44" s="55" t="str">
        <x:v>§13</x:v>
      </x:c>
      <x:c r="F44" s="55" t="str">
        <x:v>calibration rejection</x:v>
      </x:c>
      <x:c r="G44" s="55" t="str">
        <x:v>curve_fit_shape</x:v>
      </x:c>
      <x:c r="H44" s="55" t="str">
        <x:v>T4_placeholder_or_expert_judgment</x:v>
      </x:c>
      <x:c r="I44" s="22" t="str">
        <x:v>REJECT</x:v>
      </x:c>
      <x:c r="J44" s="55" t="str">
        <x:v>Context only if re-sourced for its own endpoint.</x:v>
      </x:c>
      <x:c r="K44" s="55" t="str">
        <x:v>PV component/economic DR</x:v>
      </x:c>
      <x:c r="L44" s="55" t="str">
        <x:v>paired target events</x:v>
      </x:c>
    </x:row>
    <x:row r="45" ht="134.39999389648438" hidden="0" customHeight="1">
      <x:c r="A45" s="55" t="str">
        <x:v>WS-C040</x:v>
      </x:c>
      <x:c r="B45" s="55" t="str">
        <x:v>Within the bounded 2026-07-09 public-evidence review, no event dataset was located that pairs utility-scale solar local wildfire exposure with component inventory, inspected damage and economic replacement.</x:v>
      </x:c>
      <x:c r="C45" s="55" t="str">
        <x:v>SOURCE_REVIEW_2026_07_09</x:v>
      </x:c>
      <x:c r="D45" s="55" t="str"/>
      <x:c r="E45" s="55" t="str">
        <x:v>BOUNDED_EVIDENCE_SEARCH_LOG_wildfire_solar__model_v0_1__docs_r1.md — Purpose, query families, endpoint tests, and results</x:v>
      </x:c>
      <x:c r="F45" s="55" t="str">
        <x:v>negative evidence / open seam</x:v>
      </x:c>
      <x:c r="G45" s="55" t="str">
        <x:v>curve_fit_shape</x:v>
      </x:c>
      <x:c r="H45" s="55" t="str">
        <x:v>T4_placeholder_or_expert_judgment</x:v>
      </x:c>
      <x:c r="I45" s="55" t="str">
        <x:v>WITHHOLD</x:v>
      </x:c>
      <x:c r="J45" s="55" t="str">
        <x:v>Define field-data program and promotion gate.</x:v>
      </x:c>
      <x:c r="K45" s="55" t="str">
        <x:v>Claim of universal absence beyond searched scope</x:v>
      </x:c>
      <x:c r="L45" s="55" t="str">
        <x:v>new public field/claims dataset or repeat search at next evidence review</x:v>
      </x:c>
    </x:row>
    <x:row r="46" ht="75.5999984741211" hidden="0" customHeight="1">
      <x:c r="A46" s="55" t="str">
        <x:v>WS-C041</x:v>
      </x:c>
      <x:c r="B46" s="55" t="str">
        <x:v>Solid walls/barriers receive no mitigation credit without qualified geometry, wind, gaps and ember-bypass modeling.</x:v>
      </x:c>
      <x:c r="C46" s="55" t="str">
        <x:v>DOE_FEMP_PV_WILDFIRE;COHEN_USDA_2000;NIST_TN_2205</x:v>
      </x:c>
      <x:c r="D46" s="55" t="str">
        <x:v>https://www.energy.gov/cmei/femp/solar-photovoltaic-hardening-resilience-wildfire</x:v>
      </x:c>
      <x:c r="E46" s="55" t="str">
        <x:v>site adapter rule</x:v>
      </x:c>
      <x:c r="F46" s="55" t="str">
        <x:v>fail-closed site rule</x:v>
      </x:c>
      <x:c r="G46" s="55" t="str">
        <x:v>conditioner_adjustment</x:v>
      </x:c>
      <x:c r="H46" s="55" t="str">
        <x:v>T4_placeholder_or_expert_judgment</x:v>
      </x:c>
      <x:c r="I46" s="24" t="str">
        <x:v>RETAIN_GUARDRAIL</x:v>
      </x:c>
      <x:c r="J46" s="55" t="str">
        <x:v>Disable credit pending model.</x:v>
      </x:c>
      <x:c r="K46" s="55" t="str">
        <x:v>Zero damage or universal effectiveness</x:v>
      </x:c>
      <x:c r="L46" s="55" t="str">
        <x:v>validated transfer model</x:v>
      </x:c>
    </x:row>
    <x:row r="47" ht="42" hidden="0" customHeight="1">
      <x:c r="A47" s="55" t="str">
        <x:v>WS-C042</x:v>
      </x:c>
      <x:c r="B47" s="55" t="str">
        <x:v>Open-metal/chain-link fencing receives no radiant-shield credit by default.</x:v>
      </x:c>
      <x:c r="C47" s="55" t="str">
        <x:v>NIST_TN_2228</x:v>
      </x:c>
      <x:c r="D47" s="55" t="str">
        <x:v>https://doi.org/10.6028/NIST.TN.2228</x:v>
      </x:c>
      <x:c r="E47" s="55" t="str">
        <x:v>site adapter rule informed by open geometry</x:v>
      </x:c>
      <x:c r="F47" s="55" t="str">
        <x:v>fail-closed site rule</x:v>
      </x:c>
      <x:c r="G47" s="55" t="str">
        <x:v>conditioner_adjustment</x:v>
      </x:c>
      <x:c r="H47" s="55" t="str">
        <x:v>T4_placeholder_or_expert_judgment</x:v>
      </x:c>
      <x:c r="I47" s="24" t="str">
        <x:v>RETAIN_GUARDRAIL</x:v>
      </x:c>
      <x:c r="J47" s="55" t="str">
        <x:v>Disable unsupported shielding credit.</x:v>
      </x:c>
      <x:c r="K47" s="55" t="str">
        <x:v>Claim of measured zero flux or zero damage</x:v>
      </x:c>
      <x:c r="L47" s="55" t="str">
        <x:v>qualified geometry model</x:v>
      </x:c>
    </x:row>
    <x:row r="48" ht="42" hidden="0" customHeight="1">
      <x:c r="A48" s="55" t="str">
        <x:v>WS-C043</x:v>
      </x:c>
      <x:c r="B48" s="55" t="str">
        <x:v>Whole-site exposure and at-risk fraction never default to one.</x:v>
      </x:c>
      <x:c r="C48" s="55" t="str">
        <x:v>NIST_TN_1796;VALUE_SOLAR_WORKBOOK</x:v>
      </x:c>
      <x:c r="D48" s="55" t="str">
        <x:v>https://nvlpubs.nist.gov/nistpubs/TechnicalNotes/NIST.TN.1796.pdf</x:v>
      </x:c>
      <x:c r="E48" s="55" t="str">
        <x:v>exposure/vulnerability separation and value rows</x:v>
      </x:c>
      <x:c r="F48" s="55" t="str">
        <x:v>overestimation guardrail</x:v>
      </x:c>
      <x:c r="G48" s="55" t="str">
        <x:v>exposure_or_value</x:v>
      </x:c>
      <x:c r="H48" s="55" t="str">
        <x:v>T4_placeholder_or_expert_judgment</x:v>
      </x:c>
      <x:c r="I48" s="24" t="str">
        <x:v>RETAIN_FAIL_CLOSED_RULE</x:v>
      </x:c>
      <x:c r="J48" s="55" t="str">
        <x:v>Require zone/component values.</x:v>
      </x:c>
      <x:c r="K48" s="55" t="str">
        <x:v>Assume coarse burned-pixel intersection attacks every component</x:v>
      </x:c>
      <x:c r="L48" s="55" t="str">
        <x:v>approved spatial adapter</x:v>
      </x:c>
    </x:row>
    <x:row r="49" ht="58.79999923706055" hidden="0" customHeight="1">
      <x:c r="A49" s="55" t="str">
        <x:v>WS-C044</x:v>
      </x:c>
      <x:c r="B49" s="55" t="str">
        <x:v>Smoke/ash production effects and PSPS are outside this physical burnover cell.</x:v>
      </x:c>
      <x:c r="C49" s="55" t="str">
        <x:v>LEGACY_DIVI_WILDFIRE_SOLAR_2026;DOE_FEMP_PV_WILDFIRE</x:v>
      </x:c>
      <x:c r="D49" s="55" t="str">
        <x:v>https://www.energy.gov/cmei/femp/solar-photovoltaic-hardening-resilience-wildfire</x:v>
      </x:c>
      <x:c r="E49" s="55" t="str">
        <x:v>scope split</x:v>
      </x:c>
      <x:c r="F49" s="55" t="str">
        <x:v>hazard pathway scope</x:v>
      </x:c>
      <x:c r="G49" s="55" t="str">
        <x:v>open_seam_placeholder</x:v>
      </x:c>
      <x:c r="H49" s="55" t="str">
        <x:v>T3_engineering_proxy_or_adjacent_empirical</x:v>
      </x:c>
      <x:c r="I49" s="24" t="str">
        <x:v>RETAIN_SCOPE</x:v>
      </x:c>
      <x:c r="J49" s="55" t="str">
        <x:v>Separate future pathway cells.</x:v>
      </x:c>
      <x:c r="K49" s="55" t="str">
        <x:v>Combine revenue loss with physical DR</x:v>
      </x:c>
      <x:c r="L49" s="55" t="str">
        <x:v>combined-peril architecture review</x:v>
      </x:c>
    </x:row>
    <x:row r="50" ht="75.5999984741211" hidden="0" customHeight="1">
      <x:c r="A50" s="55" t="str">
        <x:v>WS-C045</x:v>
      </x:c>
      <x:c r="B50" s="55" t="str">
        <x:v>Firebrand/ember attack is recorded as a separate exposure pathway but cannot emit damage in this scaffold.</x:v>
      </x:c>
      <x:c r="C50" s="55" t="str">
        <x:v>NIST_TN_1796;NIST_TN_2205;NIST_TN_2228</x:v>
      </x:c>
      <x:c r="D50" s="55" t="str">
        <x:v>https://doi.org/10.6028/NIST.TN.2205</x:v>
      </x:c>
      <x:c r="E50" s="55" t="str">
        <x:v>exposure definitions and fence/firebrand experiments</x:v>
      </x:c>
      <x:c r="F50" s="55" t="str">
        <x:v>deferred pathway</x:v>
      </x:c>
      <x:c r="G50" s="55" t="str">
        <x:v>open_seam_placeholder</x:v>
      </x:c>
      <x:c r="H50" s="55" t="str">
        <x:v>T3_engineering_proxy_or_adjacent_empirical</x:v>
      </x:c>
      <x:c r="I50" s="24" t="str">
        <x:v>RETAIN_DEFERRED</x:v>
      </x:c>
      <x:c r="J50" s="55" t="str">
        <x:v>Capture evidence state and future interface.</x:v>
      </x:c>
      <x:c r="K50" s="55" t="str">
        <x:v>Fold embers into radiant-flux curve</x:v>
      </x:c>
      <x:c r="L50" s="55" t="str">
        <x:v>recipient-side ignition calibration</x:v>
      </x:c>
    </x:row>
    <x:row r="51" ht="84" hidden="0" customHeight="1">
      <x:c r="A51" s="55" t="str">
        <x:v>WS-C046</x:v>
      </x:c>
      <x:c r="B51" s="55" t="str">
        <x:v>Future y-axis is conditional expected direct replacement-cost ratio of the same failure unit, excluding support costs and financial terms.</x:v>
      </x:c>
      <x:c r="C51" s="55" t="str">
        <x:v>GOVERNANCE_CONTRACT</x:v>
      </x:c>
      <x:c r="D51" s="55" t="str"/>
      <x:c r="E51" s="55" t="str">
        <x:v>cell y-axis decision</x:v>
      </x:c>
      <x:c r="F51" s="55" t="str">
        <x:v>model boundary</x:v>
      </x:c>
      <x:c r="G51" s="55" t="str">
        <x:v>curve_fit_shape</x:v>
      </x:c>
      <x:c r="H51" s="55" t="str">
        <x:v>T4_placeholder_or_expert_judgment</x:v>
      </x:c>
      <x:c r="I51" s="24" t="str">
        <x:v>RETAIN_PROPOSED</x:v>
      </x:c>
      <x:c r="J51" s="55" t="str">
        <x:v>Keep denominator and grain explicit.</x:v>
      </x:c>
      <x:c r="K51" s="55" t="str">
        <x:v>Whole-plant insured loss ratio or BI</x:v>
      </x:c>
      <x:c r="L51" s="55" t="str">
        <x:v>reviewed runtime model</x:v>
      </x:c>
    </x:row>
    <x:row r="52" ht="67.19999694824219" hidden="0" customHeight="1">
      <x:c r="A52" s="55" t="str">
        <x:v>WS-C047</x:v>
      </x:c>
      <x:c r="B52" s="55" t="str">
        <x:v>Post-fire thermal/EL imaging can reveal damage not evident visually, but it does not supply a damage ratio.</x:v>
      </x:c>
      <x:c r="C52" s="55" t="str">
        <x:v>DOE_FEMP_PV_WILDFIRE</x:v>
      </x:c>
      <x:c r="D52" s="55" t="str">
        <x:v>https://www.energy.gov/cmei/femp/solar-photovoltaic-hardening-resilience-wildfire</x:v>
      </x:c>
      <x:c r="E52" s="55" t="str">
        <x:v>Post-Damage Techniques / Imaging</x:v>
      </x:c>
      <x:c r="F52" s="55" t="str">
        <x:v>inspection trigger</x:v>
      </x:c>
      <x:c r="G52" s="55" t="str">
        <x:v>open_seam_placeholder</x:v>
      </x:c>
      <x:c r="H52" s="55" t="str">
        <x:v>T2_public_lab_standard_or_physics</x:v>
      </x:c>
      <x:c r="I52" s="24" t="str">
        <x:v>RETAIN_QUALITATIVE</x:v>
      </x:c>
      <x:c r="J52" s="55" t="str">
        <x:v>Define post-fire inspection/replacement protocol.</x:v>
      </x:c>
      <x:c r="K52" s="55" t="str">
        <x:v>Population fragility or FIL calibration</x:v>
      </x:c>
      <x:c r="L52" s="55" t="str">
        <x:v>forensic dataset</x:v>
      </x:c>
    </x:row>
    <x:row r="53" ht="84" hidden="0" customHeight="1">
      <x:c r="A53" s="55" t="str">
        <x:v>WS-C048</x:v>
      </x:c>
      <x:c r="B53" s="55" t="str">
        <x:v>Component-zone loss must separate physical value, at-risk fraction, burned fraction, attack fraction given burned, and conditional severity.</x:v>
      </x:c>
      <x:c r="C53" s="55" t="str">
        <x:v>NIST_TN_1796;VALUE_SOLAR_WORKBOOK;GOVERNANCE_CONTRACT</x:v>
      </x:c>
      <x:c r="D53" s="55" t="str">
        <x:v>https://nvlpubs.nist.gov/nistpubs/TechnicalNotes/NIST.TN.1796.pdf</x:v>
      </x:c>
      <x:c r="E53" s="55" t="str">
        <x:v>seven-step audit and value/exposure contracts</x:v>
      </x:c>
      <x:c r="F53" s="55" t="str">
        <x:v>loss assembly</x:v>
      </x:c>
      <x:c r="G53" s="55" t="str">
        <x:v>exposure_or_value</x:v>
      </x:c>
      <x:c r="H53" s="55" t="str">
        <x:v>T4_placeholder_or_expert_judgment</x:v>
      </x:c>
      <x:c r="I53" s="24" t="str">
        <x:v>RETAIN_FAIL_CLOSED_RULE</x:v>
      </x:c>
      <x:c r="J53" s="55" t="str">
        <x:v>Prevent silent full-site multiplication.</x:v>
      </x:c>
      <x:c r="K53" s="55" t="str">
        <x:v>Aggregate mean × aggregate exposure without independence proof</x:v>
      </x:c>
      <x:c r="L53" s="55" t="str">
        <x:v>validated zonal implementation</x:v>
      </x:c>
    </x:row>
    <x:row r="54" ht="109.19999694824219" hidden="0" customHeight="1">
      <x:c r="A54" s="55" t="str">
        <x:v>WS-C049</x:v>
      </x:c>
      <x:c r="B54" s="55" t="str">
        <x:v>Replacement fieldwork/logistics in rows 12, 13, and 15 are allocated once to damaged units and do not receive an independent DR; mixed civil row 14 is governed by a separate split requirement.</x:v>
      </x:c>
      <x:c r="C54" s="55" t="str">
        <x:v>VALUE_SOLAR_WORKBOOK;GOVERNANCE_CONTRACT</x:v>
      </x:c>
      <x:c r="D54" s="55" t="str">
        <x:v>https://data.nrel.gov/submissions/304</x:v>
      </x:c>
      <x:c r="E54" s="55" t="str">
        <x:v>Solar_Map!12, Solar_Map!13, Solar_Map!15; row 14 value-crosswalk treatment</x:v>
      </x:c>
      <x:c r="F54" s="55" t="str">
        <x:v>support-cost rule</x:v>
      </x:c>
      <x:c r="G54" s="55" t="str">
        <x:v>exposure_or_value</x:v>
      </x:c>
      <x:c r="H54" s="55" t="str">
        <x:v>T4_placeholder_or_expert_judgment</x:v>
      </x:c>
      <x:c r="I54" s="24" t="str">
        <x:v>RETAIN_FAIL_CLOSED_RULE</x:v>
      </x:c>
      <x:c r="J54" s="55" t="str">
        <x:v>Avoid double counting while preserving direct civil failure units after row-14 splitting.</x:v>
      </x:c>
      <x:c r="K54" s="55" t="str">
        <x:v>Independent support-cost fragility or treating all row-14 value as support</x:v>
      </x:c>
      <x:c r="L54" s="55" t="str">
        <x:v>claims-supported allocation and civil-asset split</x:v>
      </x:c>
    </x:row>
    <x:row r="55" ht="117.5999984741211" hidden="0" customHeight="1">
      <x:c r="A55" s="55" t="str">
        <x:v>WS-C050</x:v>
      </x:c>
      <x:c r="B55" s="55" t="str">
        <x:v>The third-edition FSim RDS product is a 270 m strategic-scale product based on an end-2020 landscape and 20,000–100,000 iterations (potential annual weather scenarios) depending on pyrome.</x:v>
      </x:c>
      <x:c r="C55" s="55" t="str">
        <x:v>USFS_FSIM_RDS_2023</x:v>
      </x:c>
      <x:c r="D55" s="55" t="str">
        <x:v>https://www.fs.usda.gov/rds/archive/products/RDS-2016-0034-3/_metadata_RDS-2016-0034-3.html</x:v>
      </x:c>
      <x:c r="E55" s="55" t="str">
        <x:v>RDS abstract, methods, process step 10, and spatial-reference metadata</x:v>
      </x:c>
      <x:c r="F55" s="55" t="str">
        <x:v>hazard product scope</x:v>
      </x:c>
      <x:c r="G55" s="55" t="str">
        <x:v>axis_bridge</x:v>
      </x:c>
      <x:c r="H55" s="55" t="str">
        <x:v>T2_public_lab_standard_or_physics</x:v>
      </x:c>
      <x:c r="I55" s="24" t="str">
        <x:v>RETAIN_WITH_SCOPE_LIMIT</x:v>
      </x:c>
      <x:c r="J55" s="55" t="str">
        <x:v>Define product scale, vintage and simulation context.</x:v>
      </x:c>
      <x:c r="K55" s="55" t="str">
        <x:v>Component-scale exposure or current-site vegetation state</x:v>
      </x:c>
      <x:c r="L55" s="55" t="str">
        <x:v>FSim product/version change</x:v>
      </x:c>
    </x:row>
    <x:row r="56" ht="75.5999984741211" hidden="0" customHeight="1">
      <x:c r="A56" s="55" t="str">
        <x:v>WS-C051</x:v>
      </x:c>
      <x:c r="B56" s="55" t="str">
        <x:v>FSim 1/3/5-hour active periods are daily simulation fire-growth windows, not solar-equipment exposure durations.</x:v>
      </x:c>
      <x:c r="C56" s="55" t="str">
        <x:v>USFS_FSIM_RDS_2023;FINNEY_2011_FSIM</x:v>
      </x:c>
      <x:c r="D56" s="55" t="str">
        <x:v>https://www.fs.usda.gov/rds/archive/products/RDS-2016-0034-3/_metadata_RDS-2016-0034-3.html</x:v>
      </x:c>
      <x:c r="E56" s="55" t="str">
        <x:v>RDS methods/simulation-duration description and FSim model context</x:v>
      </x:c>
      <x:c r="F56" s="55" t="str">
        <x:v>time-axis boundary</x:v>
      </x:c>
      <x:c r="G56" s="55" t="str">
        <x:v>axis_bridge</x:v>
      </x:c>
      <x:c r="H56" s="55" t="str">
        <x:v>T2_public_lab_standard_or_physics</x:v>
      </x:c>
      <x:c r="I56" s="24" t="str">
        <x:v>RETAIN_GUARDRAIL</x:v>
      </x:c>
      <x:c r="J56" s="55" t="str">
        <x:v>Prevent substitution for measured/modelled component heat-dose duration.</x:v>
      </x:c>
      <x:c r="K56" s="55" t="str">
        <x:v>Equipment thermal duration or fire-residence time</x:v>
      </x:c>
      <x:c r="L56" s="55" t="str">
        <x:v>validated event/local exposure bridge</x:v>
      </x:c>
    </x:row>
  </x:sheetData>
  <x:mergeCells>
    <x:mergeCell ref="A1:L2"/>
    <x:mergeCell ref="A3:L3"/>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1" hidden="0" customWidth="1"/>
    <x:col min="2" max="2" width="62" hidden="0" customWidth="1"/>
    <x:col min="3" max="3" width="32" hidden="0" customWidth="1"/>
    <x:col min="4" max="4" width="16" hidden="0" customWidth="1"/>
    <x:col min="5" max="5" width="43" hidden="0" customWidth="1"/>
    <x:col min="6" max="6" width="39" hidden="0" customWidth="1"/>
    <x:col min="7" max="7" width="31" hidden="0" customWidth="1"/>
    <x:col min="8" max="8" width="50" hidden="0" customWidth="1"/>
    <x:col min="9" max="9" width="50" hidden="0" customWidth="1"/>
    <x:col min="10" max="10" width="31" hidden="0" customWidth="1"/>
    <x:col min="11" max="11" width="36" hidden="0" customWidth="1"/>
    <x:col min="12" max="12" width="31" hidden="0" customWidth="1"/>
  </x:cols>
  <x:sheetData>
    <x:row r="1" ht="28" customHeight="1">
      <x:c r="A1" s="5" t="str">
        <x:v>Source register</x:v>
      </x:c>
      <x:c r="B1" s="5"/>
      <x:c r="C1" s="5"/>
      <x:c r="D1" s="5"/>
      <x:c r="E1" s="5"/>
      <x:c r="F1" s="5"/>
      <x:c r="G1" s="5"/>
      <x:c r="H1" s="5"/>
      <x:c r="I1" s="5"/>
      <x:c r="J1" s="5"/>
      <x:c r="K1" s="5"/>
      <x:c r="L1" s="5"/>
    </x:row>
    <x:row r="2" ht="28" customHeight="1">
      <x:c r="A2" s="5"/>
      <x:c r="B2" s="5"/>
      <x:c r="C2" s="5"/>
      <x:c r="D2" s="5"/>
      <x:c r="E2" s="5"/>
      <x:c r="F2" s="5"/>
      <x:c r="G2" s="5"/>
      <x:c r="H2" s="5"/>
      <x:c r="I2" s="5"/>
      <x:c r="J2" s="5"/>
      <x:c r="K2" s="5"/>
      <x:c r="L2" s="5"/>
    </x:row>
    <x:row r="3" ht="34" customHeight="1">
      <x:c r="A3" s="9" t="str">
        <x:v>Primary/official sources are recorded with native units, direct support, prohibited support, evidence role, canonical tier and governed disposition. The legacy file is explicitly non-authoritative.</x:v>
      </x:c>
      <x:c r="B3" s="9"/>
      <x:c r="C3" s="9"/>
      <x:c r="D3" s="9"/>
      <x:c r="E3" s="9"/>
      <x:c r="F3" s="9"/>
      <x:c r="G3" s="9"/>
      <x:c r="H3" s="9"/>
      <x:c r="I3" s="9"/>
      <x:c r="J3" s="9"/>
      <x:c r="K3" s="9"/>
      <x:c r="L3" s="9"/>
    </x:row>
    <x:row r="5" ht="32" customHeight="1">
      <x:c r="A5" s="18" t="str">
        <x:v>source_id</x:v>
      </x:c>
      <x:c r="B5" s="18" t="str">
        <x:v>full_citation</x:v>
      </x:c>
      <x:c r="C5" s="18" t="str">
        <x:v>source_class</x:v>
      </x:c>
      <x:c r="D5" s="18" t="str">
        <x:v>accessed_on</x:v>
      </x:c>
      <x:c r="E5" s="18" t="str">
        <x:v>primary_url</x:v>
      </x:c>
      <x:c r="F5" s="18" t="str">
        <x:v>secondary_access_url</x:v>
      </x:c>
      <x:c r="G5" s="18" t="str">
        <x:v>native_axis_or_unit</x:v>
      </x:c>
      <x:c r="H5" s="18" t="str">
        <x:v>direct_support</x:v>
      </x:c>
      <x:c r="I5" s="18" t="str">
        <x:v>prohibited_support</x:v>
      </x:c>
      <x:c r="J5" s="18" t="str">
        <x:v>evidence_role</x:v>
      </x:c>
      <x:c r="K5" s="18" t="str">
        <x:v>tier</x:v>
      </x:c>
      <x:c r="L5" s="18" t="str">
        <x:v>status</x:v>
      </x:c>
    </x:row>
    <x:row r="6" ht="151.1999969482422" hidden="0" customHeight="1">
      <x:c r="A6" s="55" t="str">
        <x:v>LEGACY_DIVI_WILDFIRE_SOLAR_2026</x:v>
      </x:c>
      <x:c r="B6" s="55" t="str">
        <x:v>InfraSure Damage Curve Library. WILDFIRE × SOLAR: Deep Research for Damage Curve Derivation. Version 1.0, March 2026. Commit 12653b2c3d5a013c9524228243ea666c35bb3814; file blob 64142f9873256fc6b09deb497af795b310a47985.</x:v>
      </x:c>
      <x:c r="C6" s="55" t="str">
        <x:v>legacy narrative / source-discovery input</x:v>
      </x:c>
      <x:c r="D6" s="55" t="str">
        <x:v>2026-07-09</x:v>
      </x:c>
      <x:c r="E6" s="55" t="str">
        <x:v>https://github.com/Divi-patel/infrasure-damage-curves/blob/12653b2c3d5a013c9524228243ea666c35bb3814/research/WILDFIRE_x_SOLAR.md</x:v>
      </x:c>
      <x:c r="F6" s="55" t="str"/>
      <x:c r="G6" s="55" t="str">
        <x:v>mixed; proposed FLI kW/m</x:v>
      </x:c>
      <x:c r="H6" s="55" t="str">
        <x:v>scope split, candidate mechanisms, source leads, site-variable hypotheses, evidence gaps</x:v>
      </x:c>
      <x:c r="I6" s="55" t="str">
        <x:v>any curve ordinate, converter, weight, mitigation credit, event calibration, or uncertainty bound</x:v>
      </x:c>
      <x:c r="J6" s="55" t="str">
        <x:v>legacy intake / validation-only</x:v>
      </x:c>
      <x:c r="K6" s="55" t="str">
        <x:v>T4_placeholder_or_expert_judgment</x:v>
      </x:c>
      <x:c r="L6" s="22" t="str">
        <x:v>REJECTED_FOR_CALIBRATION</x:v>
      </x:c>
    </x:row>
    <x:row r="7" ht="184.8000030517578" hidden="0" customHeight="1">
      <x:c r="A7" s="55" t="str">
        <x:v>USFS_FSIM_RDS_2023</x:v>
      </x:c>
      <x:c r="B7" s="55" t="str">
        <x:v>Dillon, G.K., et al. Spatial datasets of probabilistic wildfire risk components for the conterminous United States, 3rd edition. USDA Forest Service Research Data Archive RDS-2016-0034-3, 2023.</x:v>
      </x:c>
      <x:c r="C7" s="55" t="str">
        <x:v>official hazard dataset and metadata</x:v>
      </x:c>
      <x:c r="D7" s="55" t="str">
        <x:v>2026-07-09</x:v>
      </x:c>
      <x:c r="E7" s="55" t="str">
        <x:v>https://doi.org/10.2737/RDS-2016-0034-3</x:v>
      </x:c>
      <x:c r="F7" s="55" t="str">
        <x:v>https://www.fs.usda.gov/rds/archive/products/RDS-2016-0034-3/_metadata_RDS-2016-0034-3.html</x:v>
      </x:c>
      <x:c r="G7" s="55" t="str">
        <x:v>270 m burn probability and six conditional flame-length probability bins</x:v>
      </x:c>
      <x:c r="H7" s="55" t="str">
        <x:v>source-native FIL/FLP semantics; conditional-on-burning interpretation and imputed-cell rules; end-2020 landscape/product caveats; 20,000–100,000 iterations (potential annual weather scenarios) depending on pyrome; 1/3/5-hour active periods as daily simulation fire-growth windows</x:v>
      </x:c>
      <x:c r="I7" s="55" t="str">
        <x:v>equipment heat flux, equipment exposure duration, ember dose, component damage, continuous FLI midpoint reconstruction</x:v>
      </x:c>
      <x:c r="J7" s="55" t="str">
        <x:v>x-axis definition / hazard contract</x:v>
      </x:c>
      <x:c r="K7" s="55" t="str">
        <x:v>T2_public_lab_standard_or_physics</x:v>
      </x:c>
      <x:c r="L7" s="24" t="str">
        <x:v>RETAINED</x:v>
      </x:c>
    </x:row>
    <x:row r="8" ht="109.19999694824219" hidden="0" customHeight="1">
      <x:c r="A8" s="55" t="str">
        <x:v>FINNEY_2011_FSIM</x:v>
      </x:c>
      <x:c r="B8" s="55" t="str">
        <x:v>Finney, M.A., et al. A simulation of probabilistic wildfire risk components for the continental United States. Stochastic Environmental Research and Risk Assessment 25, 973–1000 (2011).</x:v>
      </x:c>
      <x:c r="C8" s="55" t="str">
        <x:v>peer-reviewed primary hazard-model paper</x:v>
      </x:c>
      <x:c r="D8" s="55" t="str">
        <x:v>2026-07-09</x:v>
      </x:c>
      <x:c r="E8" s="55" t="str">
        <x:v>https://doi.org/10.1007/s00477-011-0462-z</x:v>
      </x:c>
      <x:c r="F8" s="55" t="str">
        <x:v>https://research.fs.usda.gov/download/treesearch/39312.pdf</x:v>
      </x:c>
      <x:c r="G8" s="55" t="str">
        <x:v>burn probability and conditional flame-length distributions</x:v>
      </x:c>
      <x:c r="H8" s="55" t="str">
        <x:v>FSim architecture, simulated annual scenarios, conditional intensity distributions</x:v>
      </x:c>
      <x:c r="I8" s="55" t="str">
        <x:v>asset exposure or solar damage</x:v>
      </x:c>
      <x:c r="J8" s="55" t="str">
        <x:v>hazard-model context</x:v>
      </x:c>
      <x:c r="K8" s="55" t="str">
        <x:v>T2_public_lab_standard_or_physics</x:v>
      </x:c>
      <x:c r="L8" s="24" t="str">
        <x:v>RETAINED_SUPPORTING</x:v>
      </x:c>
    </x:row>
    <x:row r="9" ht="84" hidden="0" customHeight="1">
      <x:c r="A9" s="55" t="str">
        <x:v>USFS_FARSITE_1998</x:v>
      </x:c>
      <x:c r="B9" s="55" t="str">
        <x:v>Finney, M.A. FARSITE: Fire Area Simulator—Model Development and Evaluation. USDA Forest Service RMRS-RP-4, 1998.</x:v>
      </x:c>
      <x:c r="C9" s="55" t="str">
        <x:v>official fire-behavior model report</x:v>
      </x:c>
      <x:c r="D9" s="55" t="str">
        <x:v>2026-07-09</x:v>
      </x:c>
      <x:c r="E9" s="55" t="str">
        <x:v>https://www.fs.usda.gov/rm/pubs/rmrs_rp004.pdf</x:v>
      </x:c>
      <x:c r="F9" s="55" t="str"/>
      <x:c r="G9" s="55" t="str">
        <x:v>fireline intensity I = h·w·R, kW/m</x:v>
      </x:c>
      <x:c r="H9" s="55" t="str">
        <x:v>fireline-intensity definition and dependence on heat content, consumed fuel, and rate of spread</x:v>
      </x:c>
      <x:c r="I9" s="55" t="str">
        <x:v>a unique local heat-flux/time state for equipment</x:v>
      </x:c>
      <x:c r="J9" s="55" t="str">
        <x:v>axis physics / converter rejection</x:v>
      </x:c>
      <x:c r="K9" s="55" t="str">
        <x:v>T2_public_lab_standard_or_physics</x:v>
      </x:c>
      <x:c r="L9" s="24" t="str">
        <x:v>RETAINED</x:v>
      </x:c>
    </x:row>
    <x:row r="10" ht="117.5999984741211" hidden="0" customHeight="1">
      <x:c r="A10" s="55" t="str">
        <x:v>WANG_2025_PV_THERMAL</x:v>
      </x:c>
      <x:c r="B10" s="55" t="str">
        <x:v>Wang, Y.; Xiao, C.; Bedon, C. Performance of photovoltaic panels with different inclinations under uniform thermal loading. International Journal of Thermal Sciences 208 (2025) 109489.</x:v>
      </x:c>
      <x:c r="C10" s="55" t="str">
        <x:v>peer-reviewed primary laboratory study</x:v>
      </x:c>
      <x:c r="D10" s="55" t="str">
        <x:v>2026-07-09</x:v>
      </x:c>
      <x:c r="E10" s="55" t="str">
        <x:v>https://doi.org/10.1016/j.ijthermalsci.2024.109489</x:v>
      </x:c>
      <x:c r="F10" s="55" t="str">
        <x:v>https://arts.units.it/handle/11368/3096982</x:v>
      </x:c>
      <x:c r="G10" s="55" t="str">
        <x:v>incident radiant heat flux kW/m², inclination degrees, failure time, temperature difference °C</x:v>
      </x:c>
      <x:c r="H10" s="55" t="str">
        <x:v>15 four-edge-shielded 300 × 300 × 4.7 mm specimens; glass fracture/pyrolysis; primarily 8–15 kW/m² and 61–84 °C reported tolerance ranges; inclination sensitivity</x:v>
      </x:c>
      <x:c r="I10" s="55" t="str">
        <x:v>universal PV threshold, modern utility-module population fragility, FIL ordinate, replacement-cost ratio</x:v>
      </x:c>
      <x:c r="J10" s="55" t="str">
        <x:v>component mechanism / future flux-time constraint</x:v>
      </x:c>
      <x:c r="K10" s="55" t="str">
        <x:v>T2_public_lab_standard_or_physics</x:v>
      </x:c>
      <x:c r="L10" s="24" t="str">
        <x:v>RETAINED_WITH_TRANSFER_LIMIT</x:v>
      </x:c>
    </x:row>
    <x:row r="11" ht="109.19999694824219" hidden="0" customHeight="1">
      <x:c r="A11" s="55" t="str">
        <x:v>YANG_2015_PV_IGNITION</x:v>
      </x:c>
      <x:c r="B11" s="55" t="str">
        <x:v>Yang, H.-Y.; Zhou, X.-D.; Yang, L.-Z.; Zhang, T.-L. Experimental Studies on the Flammability and Fire Hazards of Photovoltaic Modules. Materials 8(7), 4210–4225 (2015).</x:v>
      </x:c>
      <x:c r="C11" s="55" t="str">
        <x:v>peer-reviewed primary laboratory study</x:v>
      </x:c>
      <x:c r="D11" s="55" t="str">
        <x:v>2026-07-09</x:v>
      </x:c>
      <x:c r="E11" s="55" t="str">
        <x:v>https://doi.org/10.3390/ma8074210</x:v>
      </x:c>
      <x:c r="F11" s="55" t="str">
        <x:v>https://www.mdpi.com/1996-1944/8/7/4210</x:v>
      </x:c>
      <x:c r="G11" s="55" t="str">
        <x:v>incident radiant heat flux kW/m² and sustained-flame ignition time s</x:v>
      </x:c>
      <x:c r="H11" s="55" t="str">
        <x:v>tested small 2014 poly-Si module specimens; empirical ignition CHF 26 kW/m²; ignition times 913/636/218/133/83 s at 28/30/35/40/45 kW/m²</x:v>
      </x:c>
      <x:c r="I11" s="55" t="str">
        <x:v>first functional damage, EVA-only threshold, full-size/modern BOM fragility, economic DR, FIL conversion</x:v>
      </x:c>
      <x:c r="J11" s="55" t="str">
        <x:v>component ignition constraint</x:v>
      </x:c>
      <x:c r="K11" s="55" t="str">
        <x:v>T2_public_lab_standard_or_physics</x:v>
      </x:c>
      <x:c r="L11" s="24" t="str">
        <x:v>RETAINED_WITH_TRANSFER_LIMIT</x:v>
      </x:c>
    </x:row>
    <x:row r="12" ht="84" hidden="0" customHeight="1">
      <x:c r="A12" s="55" t="str">
        <x:v>ZHANG_2022_XLPE</x:v>
      </x:c>
      <x:c r="B12" s="55" t="str">
        <x:v>Zhang, H.; Yao, J.; Zhu, H.; Wang, X. Study on Combustion Characteristics of Cable Based on Cone Calorimeter. Energies 15(5), 1904 (2022).</x:v>
      </x:c>
      <x:c r="C12" s="55" t="str">
        <x:v>peer-reviewed primary laboratory study</x:v>
      </x:c>
      <x:c r="D12" s="55" t="str">
        <x:v>2026-07-09</x:v>
      </x:c>
      <x:c r="E12" s="55" t="str">
        <x:v>https://doi.org/10.3390/en15051904</x:v>
      </x:c>
      <x:c r="F12" s="55" t="str">
        <x:v>https://www.mdpi.com/1996-1073/15/5/1904</x:v>
      </x:c>
      <x:c r="G12" s="55" t="str">
        <x:v>incident radiant heat flux kW/m² and sustained-flame ignition time s</x:v>
      </x:c>
      <x:c r="H12" s="55" t="str">
        <x:v>9 mm self-developed XLPE cable specimens; CHF 16.24 kW/m²; mean ignition times 83.5/25/13.3 s at 20/30/40 kW/m²</x:v>
      </x:c>
      <x:c r="I12" s="55" t="str">
        <x:v>all PV cable types, installed cable systems, buried/conduit response, collection-bucket or economic DR</x:v>
      </x:c>
      <x:c r="J12" s="55" t="str">
        <x:v>cable-material ignition constraint</x:v>
      </x:c>
      <x:c r="K12" s="55" t="str">
        <x:v>T2_public_lab_standard_or_physics</x:v>
      </x:c>
      <x:c r="L12" s="24" t="str">
        <x:v>RETAINED_WITH_TRANSFER_LIMIT</x:v>
      </x:c>
    </x:row>
    <x:row r="13" ht="126" hidden="0" customHeight="1">
      <x:c r="A13" s="55" t="str">
        <x:v>ZHAO_2026_PV_POOL_FIRE</x:v>
      </x:c>
      <x:c r="B13" s="55" t="str">
        <x:v>Zhao, J.; Zhang, S.; Li, X.; Kong, X.; Zhao, L.; Shen, J. Experimental Investigation of Thermal Response of Single-Glass Photovoltaic Modules with Different Inclination Angles. Fire 9(2), 62 (2026).</x:v>
      </x:c>
      <x:c r="C13" s="55" t="str">
        <x:v>peer-reviewed primary laboratory study</x:v>
      </x:c>
      <x:c r="D13" s="55" t="str">
        <x:v>2026-07-09</x:v>
      </x:c>
      <x:c r="E13" s="55" t="str">
        <x:v>https://doi.org/10.3390/fire9020062</x:v>
      </x:c>
      <x:c r="F13" s="55" t="str">
        <x:v>https://www.mdpi.com/2571-6255/9/2/62</x:v>
      </x:c>
      <x:c r="G13" s="55" t="str">
        <x:v>full-size module, pool-fire exposure, tilt, glass integrity, temperature/time</x:v>
      </x:c>
      <x:c r="H13" s="55" t="str">
        <x:v>front-glass integrity, flame-contact zone, and inclination materially affected burn-through and temperature response; cracked modules burned faster; tested response peaked at 15°</x:v>
      </x:c>
      <x:c r="I13" s="55" t="str">
        <x:v>wildfire population fragility, replacement-cost ratio, universal stow credit</x:v>
      </x:c>
      <x:c r="J13" s="55" t="str">
        <x:v>selector/conditioner direction and zonal exposure architecture</x:v>
      </x:c>
      <x:c r="K13" s="55" t="str">
        <x:v>T2_public_lab_standard_or_physics</x:v>
      </x:c>
      <x:c r="L13" s="24" t="str">
        <x:v>RETAINED_MECHANISM_ONLY</x:v>
      </x:c>
    </x:row>
    <x:row r="14" ht="84" hidden="0" customHeight="1">
      <x:c r="A14" s="55" t="str">
        <x:v>DOE_FEMP_PV_WILDFIRE</x:v>
      </x:c>
      <x:c r="B14" s="55" t="str">
        <x:v>U.S. Department of Energy, Federal Energy Management Program. Solar Photovoltaic Hardening for Resilience – Wildfire.</x:v>
      </x:c>
      <x:c r="C14" s="55" t="str">
        <x:v>official PV-specific guidance</x:v>
      </x:c>
      <x:c r="D14" s="55" t="str">
        <x:v>2026-07-09</x:v>
      </x:c>
      <x:c r="E14" s="55" t="str">
        <x:v>https://www.energy.gov/cmei/femp/solar-photovoltaic-hardening-resilience-wildfire</x:v>
      </x:c>
      <x:c r="F14" s="55" t="str"/>
      <x:c r="G14" s="55" t="str">
        <x:v>qualitative design, O&amp;M, access, inspection, and material context</x:v>
      </x:c>
      <x:c r="H14" s="55" t="str">
        <x:v>vegetation management, undergrounding where practical, fire-resistant containers, access planning, noncombustible barriers, post-fire imaging</x:v>
      </x:c>
      <x:c r="I14" s="55" t="str">
        <x:v>universal mitigation coefficient, fire-rating-to-DR conversion, component fragility or FIL mapping</x:v>
      </x:c>
      <x:c r="J14" s="55" t="str">
        <x:v>site-field design / mechanism / inspection</x:v>
      </x:c>
      <x:c r="K14" s="55" t="str">
        <x:v>T2_public_lab_standard_or_physics</x:v>
      </x:c>
      <x:c r="L14" s="24" t="str">
        <x:v>RETAINED_QUALITATIVE</x:v>
      </x:c>
    </x:row>
    <x:row r="15" ht="134.39999389648438" hidden="0" customHeight="1">
      <x:c r="A15" s="55" t="str">
        <x:v>NIST_TN_1796</x:v>
      </x:c>
      <x:c r="B15" s="55" t="str">
        <x:v>Maranghides, A., et al. A Case Study of a Community Affected by the Witch and Guejito Fires: Report #2—Evaluating the Effects of Hazard Mitigation Actions on Structure Ignitions. NIST TN 1796 (2013).</x:v>
      </x:c>
      <x:c r="C15" s="55" t="str">
        <x:v>official post-fire primary case study</x:v>
      </x:c>
      <x:c r="D15" s="55" t="str">
        <x:v>2026-07-09</x:v>
      </x:c>
      <x:c r="E15" s="55" t="str">
        <x:v>https://doi.org/10.6028/NIST.TN.1796</x:v>
      </x:c>
      <x:c r="F15" s="55" t="str">
        <x:v>https://nvlpubs.nist.gov/nistpubs/TechnicalNotes/NIST.TN.1796.pdf</x:v>
      </x:c>
      <x:c r="G15" s="55" t="str">
        <x:v>fire and ember assault in space and time; residential structure response</x:v>
      </x:c>
      <x:c r="H15" s="55" t="str">
        <x:v>exposure/vulnerability separation; importance of exposure state; need to quantify fire and ember exposure over time</x:v>
      </x:c>
      <x:c r="I15" s="55" t="str">
        <x:v>solar mitigation coefficient or component DR</x:v>
      </x:c>
      <x:c r="J15" s="55" t="str">
        <x:v>architecture / field-study protocol</x:v>
      </x:c>
      <x:c r="K15" s="55" t="str">
        <x:v>T2_public_lab_standard_or_physics</x:v>
      </x:c>
      <x:c r="L15" s="24" t="str">
        <x:v>RETAINED_WITH_RESIDENTIAL_TRANSFER_LIMIT</x:v>
      </x:c>
    </x:row>
    <x:row r="16" ht="126" hidden="0" customHeight="1">
      <x:c r="A16" s="55" t="str">
        <x:v>NIST_TN_2228</x:v>
      </x:c>
      <x:c r="B16" s="55" t="str">
        <x:v>Butler, K., et al. Wind-Driven Fire Spread to a Structure from Fences and Mulch. NIST TN 2228 (2022).</x:v>
      </x:c>
      <x:c r="C16" s="55" t="str">
        <x:v>official primary field-experiment report</x:v>
      </x:c>
      <x:c r="D16" s="55" t="str">
        <x:v>2026-07-09</x:v>
      </x:c>
      <x:c r="E16" s="55" t="str">
        <x:v>https://doi.org/10.6028/NIST.TN.2228</x:v>
      </x:c>
      <x:c r="F16" s="55" t="str">
        <x:v>https://www.nist.gov/publications/wind-driven-fire-spread-structure-fences-and-mulch</x:v>
      </x:c>
      <x:c r="G16" s="55" t="str">
        <x:v>fence/mulch configuration, 6–14 m/s wind, fire spread, firebrands</x:v>
      </x:c>
      <x:c r="H16" s="55" t="str">
        <x:v>187 tests; combustible fences can act as conduits; combinations can increase hazard disproportionately; parallel fences and mulch matter; noncombustible fences still require debris control</x:v>
      </x:c>
      <x:c r="I16" s="55" t="str">
        <x:v>solar-specific multiplier, radiant shield credit, wall effectiveness coefficient</x:v>
      </x:c>
      <x:c r="J16" s="55" t="str">
        <x:v>fence/fuel pathway</x:v>
      </x:c>
      <x:c r="K16" s="55" t="str">
        <x:v>T2_public_lab_standard_or_physics</x:v>
      </x:c>
      <x:c r="L16" s="24" t="str">
        <x:v>RETAINED_WITH_TRANSFER_LIMIT</x:v>
      </x:c>
    </x:row>
    <x:row r="17" ht="75.5999984741211" hidden="0" customHeight="1">
      <x:c r="A17" s="55" t="str">
        <x:v>NIST_TN_2205</x:v>
      </x:c>
      <x:c r="B17" s="55" t="str">
        <x:v>Maranghides, A., et al. WUI Structure/Parcel/Community Fire Hazard Mitigation Methodology. NIST TN 2205 (2022).</x:v>
      </x:c>
      <x:c r="C17" s="55" t="str">
        <x:v>official WUI methodology</x:v>
      </x:c>
      <x:c r="D17" s="55" t="str">
        <x:v>2026-07-09</x:v>
      </x:c>
      <x:c r="E17" s="55" t="str">
        <x:v>https://doi.org/10.6028/NIST.TN.2205</x:v>
      </x:c>
      <x:c r="F17" s="55" t="str"/>
      <x:c r="G17" s="55" t="str">
        <x:v>radiant, convective, ember, structure/parcel/community relationships</x:v>
      </x:c>
      <x:c r="H17" s="55" t="str">
        <x:v>joint spatial treatment of exposures, fuels, and hardening variables</x:v>
      </x:c>
      <x:c r="I17" s="55" t="str">
        <x:v>solar DR or numeric site credit</x:v>
      </x:c>
      <x:c r="J17" s="55" t="str">
        <x:v>site-adapter architecture</x:v>
      </x:c>
      <x:c r="K17" s="55" t="str">
        <x:v>T2_public_lab_standard_or_physics</x:v>
      </x:c>
      <x:c r="L17" s="24" t="str">
        <x:v>RETAINED_WITH_RESIDENTIAL_TRANSFER_LIMIT</x:v>
      </x:c>
    </x:row>
    <x:row r="18" ht="100.80000305175781" hidden="0" customHeight="1">
      <x:c r="A18" s="55" t="str">
        <x:v>COHEN_USDA_2000</x:v>
      </x:c>
      <x:c r="B18" s="55" t="str">
        <x:v>Cohen, J.D. Preventing Disaster: Home Ignitability in the Wildland-Urban Interface. Journal of Forestry 98(3), 15–21 (2000).</x:v>
      </x:c>
      <x:c r="C18" s="55" t="str">
        <x:v>USDA field/model/experiment synthesis</x:v>
      </x:c>
      <x:c r="D18" s="55" t="str">
        <x:v>2026-07-09</x:v>
      </x:c>
      <x:c r="E18" s="55" t="str">
        <x:v>https://research.fs.usda.gov/treesearch/download/4688.pdf</x:v>
      </x:c>
      <x:c r="F18" s="55" t="str"/>
      <x:c r="G18" s="55" t="str">
        <x:v>incident heat flux kW/m², distance m, duration s; residential wall ignition</x:v>
      </x:c>
      <x:c r="H18" s="55" t="str">
        <x:v>distance and duration matter; a severe black-body model produced 70 kW/m² at 10 m while measured maximum total heat flux was 46 kW/m²; local site state matters</x:v>
      </x:c>
      <x:c r="I18" s="55" t="str">
        <x:v>universal q=C·I/d coefficient, solar DR, universal clearance credit</x:v>
      </x:c>
      <x:c r="J18" s="55" t="str">
        <x:v>converter pressure test / site scale</x:v>
      </x:c>
      <x:c r="K18" s="55" t="str">
        <x:v>T2_public_lab_standard_or_physics</x:v>
      </x:c>
      <x:c r="L18" s="24" t="str">
        <x:v>RETAINED_WITH_RESIDENTIAL_TRANSFER_LIMIT</x:v>
      </x:c>
    </x:row>
    <x:row r="19" ht="109.19999694824219" hidden="0" customHeight="1">
      <x:c r="A19" s="55" t="str">
        <x:v>ENERGY_SAFE_VICTORIA_SOLAR</x:v>
      </x:c>
      <x:c r="B19" s="55" t="str">
        <x:v>Energy Safe Victoria. General duties of solar farm owners and operators.</x:v>
      </x:c>
      <x:c r="C19" s="55" t="str">
        <x:v>official solar-farm regulatory guidance</x:v>
      </x:c>
      <x:c r="D19" s="55" t="str">
        <x:v>2026-07-09</x:v>
      </x:c>
      <x:c r="E19" s="55" t="str">
        <x:v>https://www.energysafe.vic.gov.au/industry-guidance/electrical/installations-and-infrastructure/general-duties-solar-farm-owners-and-operators</x:v>
      </x:c>
      <x:c r="F19" s="55" t="str"/>
      <x:c r="G19" s="55" t="str">
        <x:v>grass height mm, firebreak width m/surface, water/access/emergency controls</x:v>
      </x:c>
      <x:c r="H19" s="55" t="str">
        <x:v>≤100 mm grass near equipment during declared Fire Danger Period; ≥10 m fuel-free noncombustible firebreak around key infrastructure/perimeter; emergency controls</x:v>
      </x:c>
      <x:c r="I19" s="55" t="str">
        <x:v>damage-reduction coefficient, proof a severe wildfire stops, applicability outside jurisdiction</x:v>
      </x:c>
      <x:c r="J19" s="55" t="str">
        <x:v>site-control fields / compliance anchors</x:v>
      </x:c>
      <x:c r="K19" s="55" t="str">
        <x:v>T2_public_lab_standard_or_physics</x:v>
      </x:c>
      <x:c r="L19" s="24" t="str">
        <x:v>RETAINED_AS_REGULATORY_CONTROL_ONLY</x:v>
      </x:c>
    </x:row>
    <x:row r="20" ht="92.4000015258789" hidden="0" customHeight="1">
      <x:c r="A20" s="55" t="str">
        <x:v>NSW_RFS_OP_1_2_22</x:v>
      </x:c>
      <x:c r="B20" s="55" t="str">
        <x:v>NSW Rural Fire Service. OP 1.2.22 Photovoltaic Arrays, version accessed 2026-07-09.</x:v>
      </x:c>
      <x:c r="C20" s="55" t="str">
        <x:v>official emergency-response guidance</x:v>
      </x:c>
      <x:c r="D20" s="55" t="str">
        <x:v>2026-07-09</x:v>
      </x:c>
      <x:c r="E20" s="55" t="str">
        <x:v>https://www.rfs.nsw.gov.au/__data/assets/pdf_file/0004/247891/OP-1.2.22-Photovoltaic-Arrays.pdf</x:v>
      </x:c>
      <x:c r="F20" s="55" t="str"/>
      <x:c r="G20" s="55" t="str">
        <x:v>de-energization assurance, 8 m operational exclusion, emergency planning</x:v>
      </x:c>
      <x:c r="H20" s="55" t="str">
        <x:v>large-scale solar response planning; no firefighting within 8 m of generation infrastructure or fenced area without explicit de-energization assurance</x:v>
      </x:c>
      <x:c r="I20" s="55" t="str">
        <x:v>suppression success probability or physical fragility</x:v>
      </x:c>
      <x:c r="J20" s="55" t="str">
        <x:v>access/de-energization conditioner</x:v>
      </x:c>
      <x:c r="K20" s="55" t="str">
        <x:v>T2_public_lab_standard_or_physics</x:v>
      </x:c>
      <x:c r="L20" s="24" t="str">
        <x:v>RETAINED_OPERATIONAL_ONLY</x:v>
      </x:c>
    </x:row>
    <x:row r="21" ht="92.4000015258789" hidden="0" customHeight="1">
      <x:c r="A21" s="55" t="str">
        <x:v>NREL_PV_OM_2018</x:v>
      </x:c>
      <x:c r="B21" s="55" t="str">
        <x:v>Walker, H., et al. Best Practices for Operation and Maintenance of Photovoltaic and Energy Storage Systems; 3rd Edition. NREL/TP-7A40-73822 (2018).</x:v>
      </x:c>
      <x:c r="C21" s="55" t="str">
        <x:v>official PV O&amp;M guidance</x:v>
      </x:c>
      <x:c r="D21" s="55" t="str">
        <x:v>2026-07-09</x:v>
      </x:c>
      <x:c r="E21" s="55" t="str">
        <x:v>https://www.nrel.gov/docs/fy19osti/73822.pdf</x:v>
      </x:c>
      <x:c r="F21" s="55" t="str"/>
      <x:c r="G21" s="55" t="str">
        <x:v>installation and O&amp;M states</x:v>
      </x:c>
      <x:c r="H21" s="55" t="str">
        <x:v>open-air module/combiner wiring exposure; direct-burial/conduit distinctions; roads, access, vegetation and emergency planning</x:v>
      </x:c>
      <x:c r="I21" s="55" t="str">
        <x:v>wildfire fragility or numeric protection factor</x:v>
      </x:c>
      <x:c r="J21" s="55" t="str">
        <x:v>asset decomposition / exposure-state design</x:v>
      </x:c>
      <x:c r="K21" s="55" t="str">
        <x:v>T2_public_lab_standard_or_physics</x:v>
      </x:c>
      <x:c r="L21" s="24" t="str">
        <x:v>RETAINED_QUALITATIVE</x:v>
      </x:c>
    </x:row>
    <x:row r="22" ht="117.5999984741211" hidden="0" customHeight="1">
      <x:c r="A22" s="55" t="str">
        <x:v>SYPHARD_2014</x:v>
      </x:c>
      <x:c r="B22" s="55" t="str">
        <x:v>Syphard, A.D.; Brennan, T.J.; Keeley, J.E. The role of defensible space for residential structure protection during wildfires. International Journal of Wildland Fire 23, 1165–1175 (2014).</x:v>
      </x:c>
      <x:c r="C22" s="55" t="str">
        <x:v>peer-reviewed primary residential field study</x:v>
      </x:c>
      <x:c r="D22" s="55" t="str">
        <x:v>2026-07-09</x:v>
      </x:c>
      <x:c r="E22" s="55" t="str">
        <x:v>https://doi.org/10.1071/WF13158</x:v>
      </x:c>
      <x:c r="F22" s="55" t="str"/>
      <x:c r="G22" s="55" t="str">
        <x:v>residential survival, defensible-space distance m, vegetation, slope</x:v>
      </x:c>
      <x:c r="H22" s="55" t="str">
        <x:v>site/immediate-surroundings sensitivity and non-universal distance response in a residential population</x:v>
      </x:c>
      <x:c r="I22" s="55" t="str">
        <x:v>direct solar credit or universal width</x:v>
      </x:c>
      <x:c r="J22" s="55" t="str">
        <x:v>adjacent empirical site-condition evidence</x:v>
      </x:c>
      <x:c r="K22" s="55" t="str">
        <x:v>T3_engineering_proxy_or_adjacent_empirical</x:v>
      </x:c>
      <x:c r="L22" s="24" t="str">
        <x:v>RETAINED_AS_TRANSFER_EVIDENCE</x:v>
      </x:c>
    </x:row>
    <x:row r="23" ht="184.8000030517578" hidden="0" customHeight="1">
      <x:c r="A23" s="55" t="str">
        <x:v>NREL_NLR_Q1_2025_PV_BENCHMARK</x:v>
      </x:c>
      <x:c r="B23" s="55" t="str">
        <x:v>Basore, P.; Dummit, K.; Thomas, A.; Taylor, M.; Benoliel, P.; Feldman, D.; Narayanaswami, M.; Ramasamy, V.; Woodhouse, M.; Zuboy, J.; Braid, J.; Jost, N.; Sproul, E. Q1-2025 Solar Photovoltaic System Cost Benchmarks. NLR Data Catalog, 2025; NLR/OT-7A40-97930; last updated 2026-03-12.</x:v>
      </x:c>
      <x:c r="C23" s="55" t="str">
        <x:v>official cost dataset</x:v>
      </x:c>
      <x:c r="D23" s="55" t="str">
        <x:v>2026-07-09</x:v>
      </x:c>
      <x:c r="E23" s="55" t="str">
        <x:v>https://doi.org/10.7799/3009689</x:v>
      </x:c>
      <x:c r="F23" s="55" t="str">
        <x:v>https://data.nlr.gov/submissions/304</x:v>
      </x:c>
      <x:c r="G23" s="55" t="str">
        <x:v>2024 USD per kWdc cost rows</x:v>
      </x:c>
      <x:c r="H23" s="55" t="str">
        <x:v>generic utility-PV installed and replaceable-value crosswalk inputs</x:v>
      </x:c>
      <x:c r="I23" s="55" t="str">
        <x:v>site appraisal, wildfire vulnerability, at-risk fraction</x:v>
      </x:c>
      <x:c r="J23" s="55" t="str">
        <x:v>exposure/value basis</x:v>
      </x:c>
      <x:c r="K23" s="55" t="str">
        <x:v>T2_public_lab_standard_or_physics</x:v>
      </x:c>
      <x:c r="L23" s="24" t="str">
        <x:v>RETAINED_FOR_VALUE_ONLY</x:v>
      </x:c>
    </x:row>
    <x:row r="24" ht="75.5999984741211" hidden="0" customHeight="1">
      <x:c r="A24" s="55" t="str">
        <x:v>PLANNING_VICTORIA_SOLAR_GUIDE</x:v>
      </x:c>
      <x:c r="B24" s="55" t="str">
        <x:v>Department of Transport and Planning Victoria. Solar Energy Facilities Design and Development Guideline, October 2022.</x:v>
      </x:c>
      <x:c r="C24" s="55" t="str">
        <x:v>official solar-facility planning guidance</x:v>
      </x:c>
      <x:c r="D24" s="55" t="str">
        <x:v>2026-07-09</x:v>
      </x:c>
      <x:c r="E24" s="55" t="str">
        <x:v>https://www.planning.vic.gov.au/__data/assets/pdf_file/0037/659917/Solar-Energy-Facilities-Design-and-Development-Guideline.pdf</x:v>
      </x:c>
      <x:c r="F24" s="55" t="str"/>
      <x:c r="G24" s="55" t="str">
        <x:v>site planning, vegetation, access, firebreak and water controls</x:v>
      </x:c>
      <x:c r="H24" s="55" t="str">
        <x:v>ground-mounted solar site-control checklist and emergency-planning fields</x:v>
      </x:c>
      <x:c r="I24" s="55" t="str">
        <x:v>generic loss multiplier or cross-jurisdiction requirement</x:v>
      </x:c>
      <x:c r="J24" s="55" t="str">
        <x:v>site-field completeness cross-check</x:v>
      </x:c>
      <x:c r="K24" s="55" t="str">
        <x:v>T2_public_lab_standard_or_physics</x:v>
      </x:c>
      <x:c r="L24" s="24" t="str">
        <x:v>RETAINED_AS_GUIDANCE_ONLY</x:v>
      </x:c>
    </x:row>
    <x:row r="25" ht="58.79999923706055" hidden="0" customHeight="1">
      <x:c r="A25" s="55" t="str">
        <x:v>VALUE_SOLAR_WORKBOOK</x:v>
      </x:c>
      <x:c r="B25" s="55" t="str">
        <x:v>damage_modeling/docs/method/value_basis/solar_wind_value_breakdown.xlsx; Solar_Map rows 2:17.</x:v>
      </x:c>
      <x:c r="C25" s="55" t="str">
        <x:v>internal governed derivation from official cost dataset</x:v>
      </x:c>
      <x:c r="D25" s="55" t="str">
        <x:v>2026-07-09</x:v>
      </x:c>
      <x:c r="E25" s="55" t="str">
        <x:v>https://data.nrel.gov/submissions/304</x:v>
      </x:c>
      <x:c r="F25" s="55" t="str"/>
      <x:c r="G25" s="55" t="str">
        <x:v>2024 USD/kWdc and 100 MWdc reference values</x:v>
      </x:c>
      <x:c r="H25" s="55" t="str">
        <x:v>row-level installed/physical/excluded/support-cost reconciliation</x:v>
      </x:c>
      <x:c r="I25" s="55" t="str">
        <x:v>site value, asset fragility, exposed share</x:v>
      </x:c>
      <x:c r="J25" s="55" t="str">
        <x:v>exposure/value mapping</x:v>
      </x:c>
      <x:c r="K25" s="55" t="str">
        <x:v>T2_public_lab_standard_or_physics</x:v>
      </x:c>
      <x:c r="L25" s="24" t="str">
        <x:v>RETAINED_FOR_REFERENCE_ARCHETYPE</x:v>
      </x:c>
    </x:row>
    <x:row r="26" ht="109.19999694824219" hidden="0" customHeight="1">
      <x:c r="A26" s="55" t="str">
        <x:v>GOVERNANCE_CONTRACT</x:v>
      </x:c>
      <x:c r="B26" s="55" t="str">
        <x:v>Damage Modeling repository governance contracts: seven-step failure-unit/value workflow, evidence gate, reportability contract, and fail-closed output policy.</x:v>
      </x:c>
      <x:c r="C26" s="55" t="str">
        <x:v>internal governance/control source</x:v>
      </x:c>
      <x:c r="D26" s="55" t="str">
        <x:v>2026-07-09</x:v>
      </x:c>
      <x:c r="E26" s="55" t="str"/>
      <x:c r="F26" s="55" t="str"/>
      <x:c r="G26" s="55" t="str">
        <x:v>model boundary and release controls</x:v>
      </x:c>
      <x:c r="H26" s="55" t="str">
        <x:v>future y-axis definition, zonal loss identity, support-cost allocation-once rule, and withholding behavior</x:v>
      </x:c>
      <x:c r="I26" s="55" t="str">
        <x:v>scientific calibration, observed vulnerability, or numeric parameter value</x:v>
      </x:c>
      <x:c r="J26" s="55" t="str">
        <x:v>governance / model-boundary control</x:v>
      </x:c>
      <x:c r="K26" s="55" t="str">
        <x:v>T4_placeholder_or_expert_judgment</x:v>
      </x:c>
      <x:c r="L26" s="55" t="str">
        <x:v>CONTROL_ONLY</x:v>
      </x:c>
    </x:row>
    <x:row r="27" ht="67.19999694824219" hidden="0" customHeight="1">
      <x:c r="A27" s="55" t="str">
        <x:v>NO_DIRECT_SOURCE_T4</x:v>
      </x:c>
      <x:c r="B27" s="55" t="str">
        <x:v>Governed provenance marker: no direct calibration source supports the withdrawn proposed parameter.</x:v>
      </x:c>
      <x:c r="C27" s="55" t="str">
        <x:v>provenance-gap control marker</x:v>
      </x:c>
      <x:c r="D27" s="55" t="str">
        <x:v>2026-07-09</x:v>
      </x:c>
      <x:c r="E27" s="55" t="str"/>
      <x:c r="F27" s="55" t="str"/>
      <x:c r="G27" s="55" t="str">
        <x:v>not applicable</x:v>
      </x:c>
      <x:c r="H27" s="55" t="str">
        <x:v>records why a proposed parameter is withdrawn and cannot enter runtime</x:v>
      </x:c>
      <x:c r="I27" s="55" t="str">
        <x:v>any numerical estimate, calibration, uncertainty range, or evidence of no damage</x:v>
      </x:c>
      <x:c r="J27" s="55" t="str">
        <x:v>parameter-withholding control</x:v>
      </x:c>
      <x:c r="K27" s="55" t="str">
        <x:v>T4_placeholder_or_expert_judgment</x:v>
      </x:c>
      <x:c r="L27" s="55" t="str">
        <x:v>CONTROL_MARKER_NOT_EVIDENCE</x:v>
      </x:c>
    </x:row>
    <x:row r="28" ht="67.19999694824219" hidden="0" customHeight="1">
      <x:c r="A28" s="55" t="str">
        <x:v>NO_SOURCE_SYNTHETIC</x:v>
      </x:c>
      <x:c r="B28" s="55" t="str">
        <x:v>Governed provenance marker: the input was created as an illustrative synthetic fixture and has no empirical source.</x:v>
      </x:c>
      <x:c r="C28" s="55" t="str">
        <x:v>synthetic-input control marker</x:v>
      </x:c>
      <x:c r="D28" s="55" t="str">
        <x:v>2026-07-09</x:v>
      </x:c>
      <x:c r="E28" s="55" t="str"/>
      <x:c r="F28" s="55" t="str"/>
      <x:c r="G28" s="55" t="str">
        <x:v>not applicable</x:v>
      </x:c>
      <x:c r="H28" s="55" t="str">
        <x:v>identifies an audit-only fixture and requires withdrawal from scientific/runtime use</x:v>
      </x:c>
      <x:c r="I28" s="55" t="str">
        <x:v>site hazard distribution, calibration input, or uncertainty model</x:v>
      </x:c>
      <x:c r="J28" s="55" t="str">
        <x:v>synthetic-fixture control</x:v>
      </x:c>
      <x:c r="K28" s="55" t="str">
        <x:v>T4_placeholder_or_expert_judgment</x:v>
      </x:c>
      <x:c r="L28" s="55" t="str">
        <x:v>CONTROL_MARKER_NOT_EVIDENCE</x:v>
      </x:c>
    </x:row>
    <x:row r="29" ht="100.80000305175781" hidden="0" customHeight="1">
      <x:c r="A29" s="55" t="str">
        <x:v>SOURCE_REVIEW_2026_07_09</x:v>
      </x:c>
      <x:c r="B29" s="55" t="str">
        <x:v>Wildfire × solar bounded public-evidence review and reproducibility log; review date 2026-07-09.</x:v>
      </x:c>
      <x:c r="C29" s="55" t="str">
        <x:v>bounded evidence-review log</x:v>
      </x:c>
      <x:c r="D29" s="55" t="str">
        <x:v>2026-07-09</x:v>
      </x:c>
      <x:c r="E29" s="55" t="str"/>
      <x:c r="F29" s="55" t="str"/>
      <x:c r="G29" s="55" t="str">
        <x:v>search surfaces, query families, cutoff, endpoint tests, inclusion/exclusion and results recorded in BOUNDED_EVIDENCE_SEARCH_LOG_wildfire_solar__model_v0_1__docs_r1.md</x:v>
      </x:c>
      <x:c r="H29" s="55" t="str">
        <x:v>supports the scoped statement that the recorded review did not locate a paired utility-scale-solar exposure/damage/economic-loss dataset</x:v>
      </x:c>
      <x:c r="I29" s="55" t="str">
        <x:v>universal claim that no such evidence exists outside the recorded search scope</x:v>
      </x:c>
      <x:c r="J29" s="55" t="str">
        <x:v>negative-evidence / open-seam control</x:v>
      </x:c>
      <x:c r="K29" s="55" t="str">
        <x:v>T4_placeholder_or_expert_judgment</x:v>
      </x:c>
      <x:c r="L29" s="55" t="str">
        <x:v>REVIEW_LOG_ONLY</x:v>
      </x:c>
    </x:row>
  </x:sheetData>
  <x:mergeCells>
    <x:mergeCell ref="A1:L2"/>
    <x:mergeCell ref="A3:L3"/>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45" hidden="0" customWidth="1"/>
    <x:col min="3" max="3" width="36" hidden="0" customWidth="1"/>
    <x:col min="4" max="4" width="25" hidden="0" customWidth="1"/>
    <x:col min="5" max="5" width="38" hidden="0" customWidth="1"/>
    <x:col min="6" max="6" width="42" hidden="0" customWidth="1"/>
    <x:col min="7" max="7" width="55" hidden="0" customWidth="1"/>
    <x:col min="8" max="8" width="43" hidden="0" customWidth="1"/>
    <x:col min="9" max="9" width="29" hidden="0" customWidth="1"/>
  </x:cols>
  <x:sheetData>
    <x:row r="1" ht="28" customHeight="1">
      <x:c r="A1" s="5" t="str">
        <x:v>Parameter and rule evidence tiers</x:v>
      </x:c>
      <x:c r="B1" s="5"/>
      <x:c r="C1" s="5"/>
      <x:c r="D1" s="5"/>
      <x:c r="E1" s="5"/>
      <x:c r="F1" s="5"/>
      <x:c r="G1" s="5"/>
      <x:c r="H1" s="5"/>
      <x:c r="I1" s="5"/>
    </x:row>
    <x:row r="2" ht="28" customHeight="1">
      <x:c r="A2" s="5"/>
      <x:c r="B2" s="5"/>
      <x:c r="C2" s="5"/>
      <x:c r="D2" s="5"/>
      <x:c r="E2" s="5"/>
      <x:c r="F2" s="5"/>
      <x:c r="G2" s="5"/>
      <x:c r="H2" s="5"/>
      <x:c r="I2" s="5"/>
    </x:row>
    <x:row r="3" ht="34" customHeight="1">
      <x:c r="A3" s="9" t="str">
        <x:v>Canonical T1–T4 tiers describe provenance strength and use. A T4 guardrail may be retained to fail closed, but it cannot silently become a runtime coefficient.</x:v>
      </x:c>
      <x:c r="B3" s="9"/>
      <x:c r="C3" s="9"/>
      <x:c r="D3" s="9"/>
      <x:c r="E3" s="9"/>
      <x:c r="F3" s="9"/>
      <x:c r="G3" s="9"/>
      <x:c r="H3" s="9"/>
      <x:c r="I3" s="9"/>
    </x:row>
    <x:row r="5" ht="32" customHeight="1">
      <x:c r="A5" s="18" t="str">
        <x:v>parameter_id</x:v>
      </x:c>
      <x:c r="B5" s="18" t="str">
        <x:v>parameter_or_rule</x:v>
      </x:c>
      <x:c r="C5" s="18" t="str">
        <x:v>value_or_status</x:v>
      </x:c>
      <x:c r="D5" s="18" t="str">
        <x:v>param_role</x:v>
      </x:c>
      <x:c r="E5" s="18" t="str">
        <x:v>tier</x:v>
      </x:c>
      <x:c r="F5" s="18" t="str">
        <x:v>source_ids</x:v>
      </x:c>
      <x:c r="G5" s="18" t="str">
        <x:v>reasoning</x:v>
      </x:c>
      <x:c r="H5" s="18" t="str">
        <x:v>update_trigger</x:v>
      </x:c>
      <x:c r="I5" s="18" t="str">
        <x:v>runtime_status</x:v>
      </x:c>
    </x:row>
    <x:row r="6" ht="57.599998474121094" hidden="0" customHeight="1">
      <x:c r="A6" s="29" t="str">
        <x:v>WS-P001</x:v>
      </x:c>
      <x:c r="B6" s="29" t="str">
        <x:v>FSim flame-length probability bins</x:v>
      </x:c>
      <x:c r="C6" s="29" t="str">
        <x:v>FLP1–FLP6 source layers mapped exactly to six canonical class IDs</x:v>
      </x:c>
      <x:c r="D6" s="29" t="str">
        <x:v>axis_bridge</x:v>
      </x:c>
      <x:c r="E6" s="29" t="str">
        <x:v>T2_public_lab_standard_or_physics</x:v>
      </x:c>
      <x:c r="F6" s="29" t="str">
        <x:v>USFS_FSIM_RDS_2023;FINNEY_2011_FSIM</x:v>
      </x:c>
      <x:c r="G6" s="29" t="str">
        <x:v>Official product semantics; no midpoint reconstruction.</x:v>
      </x:c>
      <x:c r="H6" s="29" t="str">
        <x:v>FSim product/version change</x:v>
      </x:c>
      <x:c r="I6" s="24" t="str">
        <x:v>RETAINED_INPUT_CONTRACT</x:v>
      </x:c>
    </x:row>
    <x:row r="7" ht="67.19999694824219" hidden="0" customHeight="1">
      <x:c r="A7" s="29" t="str">
        <x:v>WS-P002</x:v>
      </x:c>
      <x:c r="B7" s="29" t="str">
        <x:v>FLP normalization</x:v>
      </x:c>
      <x:c r="C7" s="29" t="str">
        <x:v>six probabilities sum to 1 conditional on burning</x:v>
      </x:c>
      <x:c r="D7" s="29" t="str">
        <x:v>axis_bridge</x:v>
      </x:c>
      <x:c r="E7" s="29" t="str">
        <x:v>T2_public_lab_standard_or_physics</x:v>
      </x:c>
      <x:c r="F7" s="29" t="str">
        <x:v>USFS_FSIM_RDS_2023</x:v>
      </x:c>
      <x:c r="G7" s="29" t="str">
        <x:v>Conditional severity distribution; burn probability remains outside M3.</x:v>
      </x:c>
      <x:c r="H7" s="29" t="str">
        <x:v>FSim semantic change</x:v>
      </x:c>
      <x:c r="I7" s="24" t="str">
        <x:v>RETAINED_VALIDATION_RULE</x:v>
      </x:c>
    </x:row>
    <x:row r="8" ht="76.80000305175781" hidden="0" customHeight="1">
      <x:c r="A8" s="29" t="str">
        <x:v>WS-P003</x:v>
      </x:c>
      <x:c r="B8" s="29" t="str">
        <x:v>Continuous FIL/FLI-to-component exposure converter</x:v>
      </x:c>
      <x:c r="C8" s="29" t="str">
        <x:v>WITHHELD</x:v>
      </x:c>
      <x:c r="D8" s="29" t="str">
        <x:v>axis_bridge</x:v>
      </x:c>
      <x:c r="E8" s="29" t="str">
        <x:v>T4_placeholder_or_expert_judgment</x:v>
      </x:c>
      <x:c r="F8" s="29" t="str">
        <x:v>LEGACY_DIVI_WILDFIRE_SOLAR_2026;USFS_FARSITE_1998;COHEN_USDA_2000</x:v>
      </x:c>
      <x:c r="G8" s="29" t="str">
        <x:v>No validated universal converter from landscape kW/m or FIL class to equipment kW/m²/time.</x:v>
      </x:c>
      <x:c r="H8" s="29" t="str">
        <x:v>Validated site/local transfer model with independent data</x:v>
      </x:c>
      <x:c r="I8" s="20" t="str">
        <x:v>NO_RUNTIME_EFFECT</x:v>
      </x:c>
    </x:row>
    <x:row r="9" ht="57.599998474121094" hidden="0" customHeight="1">
      <x:c r="A9" s="29" t="str">
        <x:v>WS-P004</x:v>
      </x:c>
      <x:c r="B9" s="29" t="str">
        <x:v>Incident heat flux at component zone</x:v>
      </x:c>
      <x:c r="C9" s="29" t="str">
        <x:v>measured or qualified model required; no default</x:v>
      </x:c>
      <x:c r="D9" s="29" t="str">
        <x:v>exposure_or_value</x:v>
      </x:c>
      <x:c r="E9" s="29" t="str">
        <x:v>T2_public_lab_standard_or_physics</x:v>
      </x:c>
      <x:c r="F9" s="29" t="str">
        <x:v>NIST_TN_1796;COHEN_USDA_2000</x:v>
      </x:c>
      <x:c r="G9" s="29" t="str">
        <x:v>Delivered load must be separate from landscape hazard and vulnerability.</x:v>
      </x:c>
      <x:c r="H9" s="29" t="str">
        <x:v>Approved measurement/model protocol</x:v>
      </x:c>
      <x:c r="I9" s="29" t="str">
        <x:v>REQUIRED_FUTURE_INPUT</x:v>
      </x:c>
    </x:row>
    <x:row r="10" ht="67.19999694824219" hidden="0" customHeight="1">
      <x:c r="A10" s="29" t="str">
        <x:v>WS-P005</x:v>
      </x:c>
      <x:c r="B10" s="29" t="str">
        <x:v>Exposure duration at component zone</x:v>
      </x:c>
      <x:c r="C10" s="29" t="str">
        <x:v>measured or qualified model required; no default</x:v>
      </x:c>
      <x:c r="D10" s="29" t="str">
        <x:v>exposure_or_value</x:v>
      </x:c>
      <x:c r="E10" s="29" t="str">
        <x:v>T2_public_lab_standard_or_physics</x:v>
      </x:c>
      <x:c r="F10" s="29" t="str">
        <x:v>NIST_TN_1796;COHEN_USDA_2000;YANG_2015_PV_IGNITION;ZHANG_2022_XLPE</x:v>
      </x:c>
      <x:c r="G10" s="29" t="str">
        <x:v>Ignition and thermal failure depend on time as well as flux.</x:v>
      </x:c>
      <x:c r="H10" s="29" t="str">
        <x:v>Approved measurement/model protocol</x:v>
      </x:c>
      <x:c r="I10" s="29" t="str">
        <x:v>REQUIRED_FUTURE_INPUT</x:v>
      </x:c>
    </x:row>
    <x:row r="11" ht="76.80000305175781" hidden="0" customHeight="1">
      <x:c r="A11" s="29" t="str">
        <x:v>WS-P006</x:v>
      </x:c>
      <x:c r="B11" s="29" t="str">
        <x:v>PV thermal-failure laboratory range</x:v>
      </x:c>
      <x:c r="C11" s="29" t="str">
        <x:v>8–15 kW/m² and 61–84 °C for tested shielded specimens</x:v>
      </x:c>
      <x:c r="D11" s="29" t="str">
        <x:v>boundary_or_cap</x:v>
      </x:c>
      <x:c r="E11" s="29" t="str">
        <x:v>T2_public_lab_standard_or_physics</x:v>
      </x:c>
      <x:c r="F11" s="29" t="str">
        <x:v>WANG_2025_PV_THERMAL</x:v>
      </x:c>
      <x:c r="G11" s="29" t="str">
        <x:v>Test-specific glass-fracture/pyrolysis constraint; geometry and BOM transfer remain unresolved.</x:v>
      </x:c>
      <x:c r="H11" s="29" t="str">
        <x:v>Representative utility-module test matrix</x:v>
      </x:c>
      <x:c r="I11" s="29" t="str">
        <x:v>EVIDENCE_CONSTRAINT_ONLY</x:v>
      </x:c>
    </x:row>
    <x:row r="12" ht="57.599998474121094" hidden="0" customHeight="1">
      <x:c r="A12" s="29" t="str">
        <x:v>WS-P007</x:v>
      </x:c>
      <x:c r="B12" s="29" t="str">
        <x:v>PV module ignition CHF</x:v>
      </x:c>
      <x:c r="C12" s="29" t="str">
        <x:v>26 kW/m² for tested 2014 small module specimens</x:v>
      </x:c>
      <x:c r="D12" s="29" t="str">
        <x:v>boundary_or_cap</x:v>
      </x:c>
      <x:c r="E12" s="29" t="str">
        <x:v>T2_public_lab_standard_or_physics</x:v>
      </x:c>
      <x:c r="F12" s="29" t="str">
        <x:v>YANG_2015_PV_IGNITION</x:v>
      </x:c>
      <x:c r="G12" s="29" t="str">
        <x:v>Sustained-flame ignition endpoint, not functional damage or replacement.</x:v>
      </x:c>
      <x:c r="H12" s="29" t="str">
        <x:v>Representative modern BOM/full-size testing</x:v>
      </x:c>
      <x:c r="I12" s="29" t="str">
        <x:v>EVIDENCE_CONSTRAINT_ONLY</x:v>
      </x:c>
    </x:row>
    <x:row r="13" ht="67.19999694824219" hidden="0" customHeight="1">
      <x:c r="A13" s="29" t="str">
        <x:v>WS-P008</x:v>
      </x:c>
      <x:c r="B13" s="29" t="str">
        <x:v>PV ignition-time observations</x:v>
      </x:c>
      <x:c r="C13" s="29" t="str">
        <x:v>913/636/218/133/83 s at 28/30/35/40/45 kW/m²</x:v>
      </x:c>
      <x:c r="D13" s="29" t="str">
        <x:v>curve_fit_shape</x:v>
      </x:c>
      <x:c r="E13" s="29" t="str">
        <x:v>T2_public_lab_standard_or_physics</x:v>
      </x:c>
      <x:c r="F13" s="29" t="str">
        <x:v>YANG_2015_PV_IGNITION</x:v>
      </x:c>
      <x:c r="G13" s="29" t="str">
        <x:v>Direct test data demonstrate flux/time dependence but do not define economic DR.</x:v>
      </x:c>
      <x:c r="H13" s="29" t="str">
        <x:v>Representative modern BOM/full-size testing</x:v>
      </x:c>
      <x:c r="I13" s="29" t="str">
        <x:v>EVIDENCE_CONSTRAINT_ONLY</x:v>
      </x:c>
    </x:row>
    <x:row r="14" ht="67.19999694824219" hidden="0" customHeight="1">
      <x:c r="A14" s="29" t="str">
        <x:v>WS-P009</x:v>
      </x:c>
      <x:c r="B14" s="29" t="str">
        <x:v>XLPE cable ignition CHF/time observations</x:v>
      </x:c>
      <x:c r="C14" s="29" t="str">
        <x:v>16.24 kW/m²; 83.5/25/13.3 s at 20/30/40 kW/m²</x:v>
      </x:c>
      <x:c r="D14" s="29" t="str">
        <x:v>boundary_or_cap</x:v>
      </x:c>
      <x:c r="E14" s="29" t="str">
        <x:v>T2_public_lab_standard_or_physics</x:v>
      </x:c>
      <x:c r="F14" s="29" t="str">
        <x:v>ZHANG_2022_XLPE</x:v>
      </x:c>
      <x:c r="G14" s="29" t="str">
        <x:v>Direct test data for one 9 mm cable construction; installed-condition transfer unresolved.</x:v>
      </x:c>
      <x:c r="H14" s="29" t="str">
        <x:v>PV cable/conduit/burial test program</x:v>
      </x:c>
      <x:c r="I14" s="29" t="str">
        <x:v>EVIDENCE_CONSTRAINT_ONLY</x:v>
      </x:c>
    </x:row>
    <x:row r="15" ht="57.599998474121094" hidden="0" customHeight="1">
      <x:c r="A15" s="29" t="str">
        <x:v>WS-P010</x:v>
      </x:c>
      <x:c r="B15" s="29" t="str">
        <x:v>Module construction/front-glass condition direction</x:v>
      </x:c>
      <x:c r="C15" s="29" t="str">
        <x:v>selector candidate; numeric effect withheld</x:v>
      </x:c>
      <x:c r="D15" s="29" t="str">
        <x:v>selector_default</x:v>
      </x:c>
      <x:c r="E15" s="29" t="str">
        <x:v>T2_public_lab_standard_or_physics</x:v>
      </x:c>
      <x:c r="F15" s="29" t="str">
        <x:v>ZHAO_2026_PV_POOL_FIRE;WANG_2025_PV_THERMAL</x:v>
      </x:c>
      <x:c r="G15" s="29" t="str">
        <x:v>Laboratory response changes with glass integrity, construction and tilt.</x:v>
      </x:c>
      <x:c r="H15" s="29" t="str">
        <x:v>Population-calibrated selector response</x:v>
      </x:c>
      <x:c r="I15" s="29" t="str">
        <x:v>SELECTOR_CAPTURE_ONLY</x:v>
      </x:c>
    </x:row>
    <x:row r="16" ht="76.80000305175781" hidden="0" customHeight="1">
      <x:c r="A16" s="29" t="str">
        <x:v>WS-P011</x:v>
      </x:c>
      <x:c r="B16" s="29" t="str">
        <x:v>Grass height 100 mm and firebreak width 10 m</x:v>
      </x:c>
      <x:c r="C16" s="29" t="str">
        <x:v>regulatory control values only; no DR credit</x:v>
      </x:c>
      <x:c r="D16" s="29" t="str">
        <x:v>conditioner_adjustment</x:v>
      </x:c>
      <x:c r="E16" s="29" t="str">
        <x:v>T2_public_lab_standard_or_physics</x:v>
      </x:c>
      <x:c r="F16" s="29" t="str">
        <x:v>ENERGY_SAFE_VICTORIA_SOLAR;PLANNING_VICTORIA_SOLAR_GUIDE</x:v>
      </x:c>
      <x:c r="G16" s="29" t="str">
        <x:v>Official jurisdictional controls are auditable site fields, not universal efficacy coefficients.</x:v>
      </x:c>
      <x:c r="H16" s="29" t="str">
        <x:v>Solar-specific effectiveness study or local code selection</x:v>
      </x:c>
      <x:c r="I16" s="29" t="str">
        <x:v>CONTROL_CHECK_ONLY</x:v>
      </x:c>
    </x:row>
    <x:row r="17" ht="76.80000305175781" hidden="0" customHeight="1">
      <x:c r="A17" s="29" t="str">
        <x:v>WS-P012</x:v>
      </x:c>
      <x:c r="B17" s="29" t="str">
        <x:v>Fence material/fuel accumulation direction</x:v>
      </x:c>
      <x:c r="C17" s="29" t="str">
        <x:v>categorical; numeric effect withheld</x:v>
      </x:c>
      <x:c r="D17" s="29" t="str">
        <x:v>conditioner_adjustment</x:v>
      </x:c>
      <x:c r="E17" s="29" t="str">
        <x:v>T3_engineering_proxy_or_adjacent_empirical</x:v>
      </x:c>
      <x:c r="F17" s="29" t="str">
        <x:v>NIST_TN_2228</x:v>
      </x:c>
      <x:c r="G17" s="29" t="str">
        <x:v>Combustible fence/mulch/parallel-fence findings transfer qualitatively from WUI experiments.</x:v>
      </x:c>
      <x:c r="H17" s="29" t="str">
        <x:v>Solar-site fence/fire experiment or validated model</x:v>
      </x:c>
      <x:c r="I17" s="29" t="str">
        <x:v>ADAPTER_FIELD_ONLY</x:v>
      </x:c>
    </x:row>
    <x:row r="18" ht="76.80000305175781" hidden="0" customHeight="1">
      <x:c r="A18" s="29" t="str">
        <x:v>WS-P013</x:v>
      </x:c>
      <x:c r="B18" s="29" t="str">
        <x:v>Solid wall/barrier mitigation credit</x:v>
      </x:c>
      <x:c r="C18" s="29" t="str">
        <x:v>disabled without geometry and bypass model</x:v>
      </x:c>
      <x:c r="D18" s="29" t="str">
        <x:v>conditioner_adjustment</x:v>
      </x:c>
      <x:c r="E18" s="29" t="str">
        <x:v>T4_placeholder_or_expert_judgment</x:v>
      </x:c>
      <x:c r="F18" s="29" t="str">
        <x:v>DOE_FEMP_PV_WILDFIRE;COHEN_USDA_2000</x:v>
      </x:c>
      <x:c r="G18" s="29" t="str">
        <x:v>Possible line-of-sight interruption is source-supported direction; no universal coefficient is supported.</x:v>
      </x:c>
      <x:c r="H18" s="29" t="str">
        <x:v>Validated view-factor/CFD plus ember/gap model</x:v>
      </x:c>
      <x:c r="I18" s="29" t="str">
        <x:v>NO_CREDIT</x:v>
      </x:c>
    </x:row>
    <x:row r="19" ht="76.80000305175781" hidden="0" customHeight="1">
      <x:c r="A19" s="29" t="str">
        <x:v>WS-P014</x:v>
      </x:c>
      <x:c r="B19" s="29" t="str">
        <x:v>Chain-link/open-metal radiant shield credit</x:v>
      </x:c>
      <x:c r="C19" s="29" t="str">
        <x:v>disabled</x:v>
      </x:c>
      <x:c r="D19" s="29" t="str">
        <x:v>conditioner_adjustment</x:v>
      </x:c>
      <x:c r="E19" s="29" t="str">
        <x:v>T4_placeholder_or_expert_judgment</x:v>
      </x:c>
      <x:c r="F19" s="29" t="str">
        <x:v>NIST_TN_2228</x:v>
      </x:c>
      <x:c r="G19" s="29" t="str">
        <x:v>Open fencing is not treated as a solid radiant barrier; this is a fail-closed policy, not a physical zero.</x:v>
      </x:c>
      <x:c r="H19" s="29" t="str">
        <x:v>Qualified geometry model</x:v>
      </x:c>
      <x:c r="I19" s="29" t="str">
        <x:v>NO_CREDIT</x:v>
      </x:c>
    </x:row>
    <x:row r="20" ht="67.19999694824219" hidden="0" customHeight="1">
      <x:c r="A20" s="29" t="str">
        <x:v>WS-P015</x:v>
      </x:c>
      <x:c r="B20" s="29" t="str">
        <x:v>Whole-site exposure default</x:v>
      </x:c>
      <x:c r="C20" s="29" t="str">
        <x:v>prohibited</x:v>
      </x:c>
      <x:c r="D20" s="29" t="str">
        <x:v>exposure_or_value</x:v>
      </x:c>
      <x:c r="E20" s="29" t="str">
        <x:v>T4_placeholder_or_expert_judgment</x:v>
      </x:c>
      <x:c r="F20" s="29" t="str">
        <x:v>NIST_TN_1796;VALUE_SOLAR_WORKBOOK</x:v>
      </x:c>
      <x:c r="G20" s="29" t="str">
        <x:v>A coarse burned pixel cannot establish component attack or exposed value.</x:v>
      </x:c>
      <x:c r="H20" s="29" t="str">
        <x:v>Approved spatial component-zone adapter</x:v>
      </x:c>
      <x:c r="I20" s="29" t="str">
        <x:v>FAIL_CLOSED</x:v>
      </x:c>
    </x:row>
    <x:row r="21" ht="76.80000305175781" hidden="0" customHeight="1">
      <x:c r="A21" s="29" t="str">
        <x:v>WS-P016</x:v>
      </x:c>
      <x:c r="B21" s="29" t="str">
        <x:v>Cable exposed/buried/protected allocation</x:v>
      </x:c>
      <x:c r="C21" s="29" t="str">
        <x:v>site split required; no default</x:v>
      </x:c>
      <x:c r="D21" s="29" t="str">
        <x:v>exposure_or_value</x:v>
      </x:c>
      <x:c r="E21" s="29" t="str">
        <x:v>T2_public_lab_standard_or_physics</x:v>
      </x:c>
      <x:c r="F21" s="29" t="str">
        <x:v>DOE_FEMP_PV_WILDFIRE;NREL_PV_OM_2018;VALUE_SOLAR_WORKBOOK</x:v>
      </x:c>
      <x:c r="G21" s="29" t="str">
        <x:v>Installation state changes exposure; pooled value cannot inherit an exposed-specimen response.</x:v>
      </x:c>
      <x:c r="H21" s="29" t="str">
        <x:v>As-built routing/value inventory</x:v>
      </x:c>
      <x:c r="I21" s="29" t="str">
        <x:v>FAIL_CLOSED</x:v>
      </x:c>
    </x:row>
    <x:row r="22" ht="48" hidden="0" customHeight="1">
      <x:c r="A22" s="29" t="str">
        <x:v>WS-P017</x:v>
      </x:c>
      <x:c r="B22" s="29" t="str">
        <x:v>Reference installed/physical/excluded value basis</x:v>
      </x:c>
      <x:c r="C22" s="29" t="str">
        <x:v>1120.000000 / 877.795702 / 242.204298 USD/kWdc</x:v>
      </x:c>
      <x:c r="D22" s="29" t="str">
        <x:v>exposure_or_value</x:v>
      </x:c>
      <x:c r="E22" s="29" t="str">
        <x:v>T2_public_lab_standard_or_physics</x:v>
      </x:c>
      <x:c r="F22" s="29" t="str">
        <x:v>NREL_NLR_Q1_2025_PV_BENCHMARK;VALUE_SOLAR_WORKBOOK</x:v>
      </x:c>
      <x:c r="G22" s="29" t="str">
        <x:v>Generic valuation/reconciliation proxy only.</x:v>
      </x:c>
      <x:c r="H22" s="29" t="str">
        <x:v>Site appraisal or benchmark vintage change</x:v>
      </x:c>
      <x:c r="I22" s="24" t="str">
        <x:v>RETAINED_REFERENCE_ONLY</x:v>
      </x:c>
    </x:row>
    <x:row r="23" ht="67.19999694824219" hidden="0" customHeight="1">
      <x:c r="A23" s="29" t="str">
        <x:v>WS-P018</x:v>
      </x:c>
      <x:c r="B23" s="29" t="str">
        <x:v>Replacement fieldwork/support-cost allocation</x:v>
      </x:c>
      <x:c r="C23" s="29" t="str">
        <x:v>allocate once after damaged units are known</x:v>
      </x:c>
      <x:c r="D23" s="29" t="str">
        <x:v>exposure_or_value</x:v>
      </x:c>
      <x:c r="E23" s="29" t="str">
        <x:v>T4_placeholder_or_expert_judgment</x:v>
      </x:c>
      <x:c r="F23" s="29" t="str">
        <x:v>VALUE_SOLAR_WORKBOOK</x:v>
      </x:c>
      <x:c r="G23" s="29" t="str">
        <x:v>Support costs are not independent failure units and must not receive a separate DR.</x:v>
      </x:c>
      <x:c r="H23" s="29" t="str">
        <x:v>Claims-supported allocation rule</x:v>
      </x:c>
      <x:c r="I23" s="29" t="str">
        <x:v>FAIL_CLOSED</x:v>
      </x:c>
    </x:row>
    <x:row r="24" ht="105.5999984741211" hidden="0" customHeight="1">
      <x:c r="A24" s="29" t="str">
        <x:v>WS-P019</x:v>
      </x:c>
      <x:c r="B24" s="29" t="str">
        <x:v>Legacy q = 0.35·I/d and d = 10 m</x:v>
      </x:c>
      <x:c r="C24" s="29" t="str">
        <x:v>REJECTED</x:v>
      </x:c>
      <x:c r="D24" s="29" t="str">
        <x:v>axis_bridge</x:v>
      </x:c>
      <x:c r="E24" s="29" t="str">
        <x:v>T4_placeholder_or_expert_judgment</x:v>
      </x:c>
      <x:c r="F24" s="29" t="str">
        <x:v>LEGACY_DIVI_WILDFIRE_SOLAR_2026;COHEN_USDA_2000</x:v>
      </x:c>
      <x:c r="G24" s="29" t="str">
        <x:v>No exact calibrated locator; omits flame/view/wind/contact/duration state; severe simple models can overestimate measured heat flux.</x:v>
      </x:c>
      <x:c r="H24" s="29" t="str">
        <x:v>Independent calibrated converter with applicability domain</x:v>
      </x:c>
      <x:c r="I24" s="20" t="str">
        <x:v>NO_RUNTIME_EFFECT</x:v>
      </x:c>
    </x:row>
    <x:row r="25" ht="105.5999984741211" hidden="0" customHeight="1">
      <x:c r="A25" s="29" t="str">
        <x:v>WS-P020</x:v>
      </x:c>
      <x:c r="B25" s="29" t="str">
        <x:v>Legacy six logistic L/k/x0 sets and DR tables</x:v>
      </x:c>
      <x:c r="C25" s="29" t="str">
        <x:v>REJECTED</x:v>
      </x:c>
      <x:c r="D25" s="29" t="str">
        <x:v>curve_fit_shape</x:v>
      </x:c>
      <x:c r="E25" s="29" t="str">
        <x:v>T4_placeholder_or_expert_judgment</x:v>
      </x:c>
      <x:c r="F25" s="29" t="str">
        <x:v>LEGACY_DIVI_WILDFIRE_SOLAR_2026</x:v>
      </x:c>
      <x:c r="G25" s="29" t="str">
        <x:v>No target observations or fit objective; equations contradict displayed tables and imply 5.8–9.8% DR at zero intensity.</x:v>
      </x:c>
      <x:c r="H25" s="29" t="str">
        <x:v>Target field/lab/claims calibration</x:v>
      </x:c>
      <x:c r="I25" s="20" t="str">
        <x:v>NO_RUNTIME_EFFECT</x:v>
      </x:c>
    </x:row>
    <x:row r="26" ht="86.4000015258789" hidden="0" customHeight="1">
      <x:c r="A26" s="29" t="str">
        <x:v>WS-P021</x:v>
      </x:c>
      <x:c r="B26" s="29" t="str">
        <x:v>Legacy component/BOM/civil weights</x:v>
      </x:c>
      <x:c r="C26" s="29" t="str">
        <x:v>REJECTED</x:v>
      </x:c>
      <x:c r="D26" s="29" t="str">
        <x:v>exposure_or_value</x:v>
      </x:c>
      <x:c r="E26" s="29" t="str">
        <x:v>T4_placeholder_or_expert_judgment</x:v>
      </x:c>
      <x:c r="F26" s="29" t="str">
        <x:v>LEGACY_DIVI_WILDFIRE_SOLAR_2026;VALUE_SOLAR_WORKBOOK</x:v>
      </x:c>
      <x:c r="G26" s="29" t="str">
        <x:v>Material fractions are not replacement-cost failure-unit weights; source cells are largely unlocated.</x:v>
      </x:c>
      <x:c r="H26" s="29" t="str">
        <x:v>Audited BOM plus replacement-unit/value rule</x:v>
      </x:c>
      <x:c r="I26" s="20" t="str">
        <x:v>NO_RUNTIME_EFFECT</x:v>
      </x:c>
    </x:row>
    <x:row r="27" ht="76.80000305175781" hidden="0" customHeight="1">
      <x:c r="A27" s="29" t="str">
        <x:v>WS-P022</x:v>
      </x:c>
      <x:c r="B27" s="29" t="str">
        <x:v>Legacy ±35–60% parameter bands and factor-of-two claim</x:v>
      </x:c>
      <x:c r="C27" s="29" t="str">
        <x:v>REJECTED</x:v>
      </x:c>
      <x:c r="D27" s="29" t="str">
        <x:v>curve_fit_shape</x:v>
      </x:c>
      <x:c r="E27" s="29" t="str">
        <x:v>T4_placeholder_or_expert_judgment</x:v>
      </x:c>
      <x:c r="F27" s="29" t="str">
        <x:v>LEGACY_DIVI_WILDFIRE_SOLAR_2026</x:v>
      </x:c>
      <x:c r="G27" s="29" t="str">
        <x:v>No elicitation, sample, distribution, coverage target, or calibration supports the bounds.</x:v>
      </x:c>
      <x:c r="H27" s="29" t="str">
        <x:v>Documented statistical model or structured expert elicitation</x:v>
      </x:c>
      <x:c r="I27" s="20" t="str">
        <x:v>NO_RUNTIME_EFFECT</x:v>
      </x:c>
    </x:row>
    <x:row r="28" ht="86.4000015258789" hidden="0" customHeight="1">
      <x:c r="A28" s="29" t="str">
        <x:v>WS-P023</x:v>
      </x:c>
      <x:c r="B28" s="29" t="str">
        <x:v>Failure-unit economic DR curves</x:v>
      </x:c>
      <x:c r="C28" s="29" t="str">
        <x:v>WITHHELD</x:v>
      </x:c>
      <x:c r="D28" s="29" t="str">
        <x:v>curve_fit_shape</x:v>
      </x:c>
      <x:c r="E28" s="29" t="str">
        <x:v>T4_placeholder_or_expert_judgment</x:v>
      </x:c>
      <x:c r="F28" s="29" t="str">
        <x:v>SOURCE_REVIEW_2026_07_09</x:v>
      </x:c>
      <x:c r="G28" s="29" t="str">
        <x:v>No public paired local-exposure/component-replacement dataset was located in the bounded review.</x:v>
      </x:c>
      <x:c r="H28" s="29" t="str">
        <x:v>Reviewed calibration satisfying promotion gates</x:v>
      </x:c>
      <x:c r="I28" s="20" t="str">
        <x:v>NO_RUNTIME_CURVE</x:v>
      </x:c>
    </x:row>
  </x:sheetData>
  <x:mergeCells>
    <x:mergeCell ref="A1:I2"/>
    <x:mergeCell ref="A3:I3"/>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36" hidden="0" customWidth="1"/>
    <x:col min="3" max="3" width="22" hidden="0" customWidth="1"/>
    <x:col min="4" max="4" width="22" hidden="0" customWidth="1"/>
    <x:col min="5" max="5" width="15" hidden="0" customWidth="1"/>
    <x:col min="6" max="6" width="43" hidden="0" customWidth="1"/>
    <x:col min="7" max="7" width="36" hidden="0" customWidth="1"/>
  </x:cols>
  <x:sheetData>
    <x:row r="1" ht="28" customHeight="1">
      <x:c r="A1" s="5" t="str">
        <x:v>Structural QA and scientific withholding</x:v>
      </x:c>
      <x:c r="B1" s="5"/>
      <x:c r="C1" s="5"/>
      <x:c r="D1" s="5"/>
      <x:c r="E1" s="5"/>
      <x:c r="F1" s="5"/>
      <x:c r="G1" s="5"/>
    </x:row>
    <x:row r="2" ht="28" customHeight="1">
      <x:c r="A2" s="5"/>
      <x:c r="B2" s="5"/>
      <x:c r="C2" s="5"/>
      <x:c r="D2" s="5"/>
      <x:c r="E2" s="5"/>
      <x:c r="F2" s="5"/>
      <x:c r="G2" s="5"/>
    </x:row>
    <x:row r="3" ht="34" customHeight="1">
      <x:c r="A3" s="9" t="str">
        <x:v>PASS verifies reconciliation, provenance coverage and fail-closed behavior. It does not mean a wildfire_solar fragility or loss model has been calibrated.</x:v>
      </x:c>
      <x:c r="B3" s="9"/>
      <x:c r="C3" s="9"/>
      <x:c r="D3" s="9"/>
      <x:c r="E3" s="9"/>
      <x:c r="F3" s="9"/>
      <x:c r="G3" s="9"/>
    </x:row>
    <x:row r="5" ht="32" customHeight="1">
      <x:c r="A5" s="18" t="str">
        <x:v>check</x:v>
      </x:c>
      <x:c r="B5" s="18" t="str">
        <x:v>basis</x:v>
      </x:c>
      <x:c r="C5" s="18" t="str">
        <x:v>expected</x:v>
      </x:c>
      <x:c r="D5" s="18" t="str">
        <x:v>observed</x:v>
      </x:c>
      <x:c r="E5" s="18" t="str">
        <x:v>status</x:v>
      </x:c>
      <x:c r="F5" s="18" t="str">
        <x:v>interpretation</x:v>
      </x:c>
      <x:c r="G5" s="18" t="str">
        <x:v>promotion impact</x:v>
      </x:c>
    </x:row>
    <x:row r="6" ht="32.400001525878906" hidden="0" customHeight="1">
      <x:c r="A6" s="13" t="str">
        <x:v>Installed reconciliation</x:v>
      </x:c>
      <x:c r="B6" s="13" t="str">
        <x:v>Asset_Value physical + excluded</x:v>
      </x:c>
      <x:c r="C6" s="60" t="n">
        <x:v>1120</x:v>
      </x:c>
      <x:c r="D6" s="60" t="n">
        <x:f>Asset_Value!B9</x:f>
        <x:v>1119.9999999999998</x:v>
      </x:c>
      <x:c r="E6" s="24" t="str">
        <x:f>IF(ABS(C6-D6)&lt;0.000001,"PASS","FAIL")</x:f>
        <x:v>PASS</x:v>
      </x:c>
      <x:c r="F6" s="13" t="str">
        <x:v>value basis integrity</x:v>
      </x:c>
      <x:c r="G6" s="13" t="str">
        <x:v>blocking if false</x:v>
      </x:c>
    </x:row>
    <x:row r="7" ht="54" hidden="0" customHeight="1">
      <x:c r="A7" s="13" t="str">
        <x:v>Physical reconciliation</x:v>
      </x:c>
      <x:c r="B7" s="13" t="str">
        <x:v>direct hardware + mixed rows 12:15 subtotal</x:v>
      </x:c>
      <x:c r="C7" s="60" t="n">
        <x:v>877.7957023626668</x:v>
      </x:c>
      <x:c r="D7" s="60" t="n">
        <x:f>Asset_Value!B12</x:f>
        <x:v>877.7957023626668</x:v>
      </x:c>
      <x:c r="E7" s="24" t="str">
        <x:f>IF(ABS(C7-D7)&lt;0.000001,"PASS","FAIL")</x:f>
        <x:v>PASS</x:v>
      </x:c>
      <x:c r="F7" s="13" t="str">
        <x:v>denominator classes reconcile</x:v>
      </x:c>
      <x:c r="G7" s="13" t="str">
        <x:v>blocking if false</x:v>
      </x:c>
    </x:row>
    <x:row r="8" ht="43.20000076293945" hidden="0" customHeight="1">
      <x:c r="A8" s="13" t="str">
        <x:v>Curve record count</x:v>
      </x:c>
      <x:c r="B8" s="13" t="str">
        <x:v>governed JSON</x:v>
      </x:c>
      <x:c r="C8" s="13" t="n">
        <x:v>0</x:v>
      </x:c>
      <x:c r="D8" s="13" t="n">
        <x:v>0</x:v>
      </x:c>
      <x:c r="E8" s="24" t="str">
        <x:v>PASS</x:v>
      </x:c>
      <x:c r="F8" s="13" t="str">
        <x:v>no unsupported curve remains</x:v>
      </x:c>
      <x:c r="G8" s="13" t="str">
        <x:v>required while calibration absent</x:v>
      </x:c>
    </x:row>
    <x:row r="9" ht="32.400001525878906" hidden="0" customHeight="1">
      <x:c r="A9" s="13" t="str">
        <x:v>Claim register rows</x:v>
      </x:c>
      <x:c r="B9" s="13" t="str">
        <x:v>CSV-backed sheet</x:v>
      </x:c>
      <x:c r="C9" s="13" t="n">
        <x:v>51</x:v>
      </x:c>
      <x:c r="D9" s="13" t="n">
        <x:f>COUNTA(Claim_Register!A6:A100)</x:f>
        <x:v>51</x:v>
      </x:c>
      <x:c r="E9" s="13" t="str">
        <x:f>IF(C9=D9,"PASS","FAIL")</x:f>
        <x:v>PASS</x:v>
      </x:c>
      <x:c r="F9" s="13" t="str">
        <x:v>row-level claim provenance</x:v>
      </x:c>
      <x:c r="G9" s="13" t="str">
        <x:v>source audit</x:v>
      </x:c>
    </x:row>
    <x:row r="10" ht="21.600000381469727" hidden="0" customHeight="1">
      <x:c r="A10" s="13" t="str">
        <x:v>Source register rows</x:v>
      </x:c>
      <x:c r="B10" s="13" t="str">
        <x:v>CSV-backed sheet</x:v>
      </x:c>
      <x:c r="C10" s="13" t="n">
        <x:v>24</x:v>
      </x:c>
      <x:c r="D10" s="13" t="n">
        <x:f>COUNTA(Source_Register!A6:A100)</x:f>
        <x:v>24</x:v>
      </x:c>
      <x:c r="E10" s="13" t="str">
        <x:f>IF(C10=D10,"PASS","FAIL")</x:f>
        <x:v>PASS</x:v>
      </x:c>
      <x:c r="F10" s="13" t="str">
        <x:v>source IDs and roles</x:v>
      </x:c>
      <x:c r="G10" s="13" t="str">
        <x:v>orphan IDs block</x:v>
      </x:c>
    </x:row>
    <x:row r="11" ht="32.400001525878906" hidden="0" customHeight="1">
      <x:c r="A11" s="13" t="str">
        <x:v>Parameter-tier rows</x:v>
      </x:c>
      <x:c r="B11" s="13" t="str">
        <x:v>CSV-backed sheet</x:v>
      </x:c>
      <x:c r="C11" s="13" t="n">
        <x:v>23</x:v>
      </x:c>
      <x:c r="D11" s="13" t="n">
        <x:f>COUNTA(Parameter_Tiers!A6:A100)</x:f>
        <x:v>23</x:v>
      </x:c>
      <x:c r="E11" s="13" t="str">
        <x:f>IF(C11=D11,"PASS","FAIL")</x:f>
        <x:v>PASS</x:v>
      </x:c>
      <x:c r="F11" s="13" t="str">
        <x:v>canonical evidence tiers</x:v>
      </x:c>
      <x:c r="G11" s="13" t="str">
        <x:v>invalid enum blocks</x:v>
      </x:c>
    </x:row>
    <x:row r="12" ht="32.400001525878906" hidden="0" customHeight="1">
      <x:c r="A12" s="13" t="str">
        <x:v>Whole-site exposure default</x:v>
      </x:c>
      <x:c r="B12" s="13" t="str">
        <x:v>site contract</x:v>
      </x:c>
      <x:c r="C12" s="13" t="str">
        <x:v>prohibited</x:v>
      </x:c>
      <x:c r="D12" s="13" t="str">
        <x:v>prohibited</x:v>
      </x:c>
      <x:c r="E12" s="24" t="str">
        <x:v>PASS</x:v>
      </x:c>
      <x:c r="F12" s="13" t="str">
        <x:v>prevents silent exposure=1</x:v>
      </x:c>
      <x:c r="G12" s="13" t="str">
        <x:v>runtime invariant</x:v>
      </x:c>
    </x:row>
    <x:row r="13" ht="32.400001525878906" hidden="0" customHeight="1">
      <x:c r="A13" s="13" t="str">
        <x:v>Fence/wall generic credit</x:v>
      </x:c>
      <x:c r="B13" s="13" t="str">
        <x:v>site contract</x:v>
      </x:c>
      <x:c r="C13" s="13" t="str">
        <x:v>disabled</x:v>
      </x:c>
      <x:c r="D13" s="13" t="str">
        <x:v>disabled</x:v>
      </x:c>
      <x:c r="E13" s="24" t="str">
        <x:v>PASS</x:v>
      </x:c>
      <x:c r="F13" s="13" t="str">
        <x:v>site geometry required</x:v>
      </x:c>
      <x:c r="G13" s="13" t="str">
        <x:v>runtime invariant</x:v>
      </x:c>
    </x:row>
    <x:row r="14" ht="32.400001525878906" hidden="0" customHeight="1">
      <x:c r="A14" s="13" t="str">
        <x:v>Support-cost independent curve</x:v>
      </x:c>
      <x:c r="B14" s="13" t="str">
        <x:v>value contract</x:v>
      </x:c>
      <x:c r="C14" s="13" t="str">
        <x:v>prohibited</x:v>
      </x:c>
      <x:c r="D14" s="13" t="str">
        <x:v>prohibited</x:v>
      </x:c>
      <x:c r="E14" s="24" t="str">
        <x:v>PASS</x:v>
      </x:c>
      <x:c r="F14" s="13" t="str">
        <x:v>prevents double counting</x:v>
      </x:c>
      <x:c r="G14" s="13" t="str">
        <x:v>runtime invariant</x:v>
      </x:c>
    </x:row>
    <x:row r="15" ht="43.20000076293945" hidden="0" customHeight="1">
      <x:c r="A15" s="13" t="str">
        <x:v>Legacy logistic low-intensity match</x:v>
      </x:c>
      <x:c r="B15" s="13" t="str">
        <x:v>Legacy_Audit</x:v>
      </x:c>
      <x:c r="C15" s="13" t="str">
        <x:v>must fail</x:v>
      </x:c>
      <x:c r="D15" s="13" t="str">
        <x:v>fails</x:v>
      </x:c>
      <x:c r="E15" s="24" t="str">
        <x:v>PASS</x:v>
      </x:c>
      <x:c r="F15" s="13" t="str">
        <x:v>internal numerical inconsistency reproduced</x:v>
      </x:c>
      <x:c r="G15" s="13" t="str">
        <x:v>legacy rejected</x:v>
      </x:c>
    </x:row>
    <x:row r="16" ht="43.20000076293945" hidden="0" customHeight="1">
      <x:c r="A16" s="13" t="str">
        <x:v>Legacy flame-length inverse match</x:v>
      </x:c>
      <x:c r="B16" s="13" t="str">
        <x:v>Legacy_Audit</x:v>
      </x:c>
      <x:c r="C16" s="13" t="str">
        <x:v>must fail</x:v>
      </x:c>
      <x:c r="D16" s="13" t="str">
        <x:v>fails</x:v>
      </x:c>
      <x:c r="E16" s="24" t="str">
        <x:v>PASS</x:v>
      </x:c>
      <x:c r="F16" s="13" t="str">
        <x:v>displayed equation/table mismatch reproduced</x:v>
      </x:c>
      <x:c r="G16" s="13" t="str">
        <x:v>legacy rejected</x:v>
      </x:c>
    </x:row>
    <x:row r="17" ht="43.20000076293945" hidden="0" customHeight="1">
      <x:c r="A17" s="13" t="str">
        <x:v>Scientific FIL→local exposure calibration</x:v>
      </x:c>
      <x:c r="B17" s="13" t="str">
        <x:v>evidence gate</x:v>
      </x:c>
      <x:c r="C17" s="13" t="str">
        <x:v>WITHHELD</x:v>
      </x:c>
      <x:c r="D17" s="13" t="str">
        <x:v>WITHHELD</x:v>
      </x:c>
      <x:c r="E17" s="24" t="str">
        <x:v>PASS</x:v>
      </x:c>
      <x:c r="F17" s="13" t="str">
        <x:v>no validated universal converter</x:v>
      </x:c>
      <x:c r="G17" s="13" t="str">
        <x:v>blocks runtime curve</x:v>
      </x:c>
    </x:row>
    <x:row r="18" ht="43.20000076293945" hidden="0" customHeight="1">
      <x:c r="A18" s="13" t="str">
        <x:v>Component exposure→economic DR calibration</x:v>
      </x:c>
      <x:c r="B18" s="13" t="str">
        <x:v>evidence gate</x:v>
      </x:c>
      <x:c r="C18" s="13" t="str">
        <x:v>WITHHELD</x:v>
      </x:c>
      <x:c r="D18" s="13" t="str">
        <x:v>WITHHELD</x:v>
      </x:c>
      <x:c r="E18" s="24" t="str">
        <x:v>PASS</x:v>
      </x:c>
      <x:c r="F18" s="13" t="str">
        <x:v>no paired target calibration</x:v>
      </x:c>
      <x:c r="G18" s="13" t="str">
        <x:v>blocks runtime curve</x:v>
      </x:c>
    </x:row>
    <x:row r="19" ht="32.400001525878906" hidden="0" customHeight="1">
      <x:c r="A19" s="13" t="str">
        <x:v>Capability metrics</x:v>
      </x:c>
      <x:c r="B19" s="13" t="str">
        <x:v>standalone + embedded JSON</x:v>
      </x:c>
      <x:c r="C19" s="13" t="str">
        <x:v>all withheld</x:v>
      </x:c>
      <x:c r="D19" s="13" t="str">
        <x:v>all withheld</x:v>
      </x:c>
      <x:c r="E19" s="24" t="str">
        <x:v>PASS</x:v>
      </x:c>
      <x:c r="F19" s="13" t="str">
        <x:v>NO_RUNTIME_CURVE</x:v>
      </x:c>
      <x:c r="G19" s="13" t="str">
        <x:v>blocks DR/loss/EAL/tail</x:v>
      </x:c>
    </x:row>
    <x:row r="22">
      <x:c r="A22" s="64" t="str">
        <x:v>FINAL: STRUCTURAL PASS / SITE ADAPTER SPECIFIED BUT NOT PARAMETERIZED / FIL→LOCAL EXPOSURE AND COMPONENT→ECONOMIC DR CALIBRATIONS NOT PASSED / ALL PRODUCTION METRICS WITHHELD</x:v>
      </x:c>
      <x:c r="B22" s="64"/>
      <x:c r="C22" s="64"/>
      <x:c r="D22" s="64"/>
      <x:c r="E22" s="64"/>
      <x:c r="F22" s="64"/>
      <x:c r="G22" s="64"/>
    </x:row>
    <x:row r="23">
      <x:c r="A23" s="64"/>
      <x:c r="B23" s="64"/>
      <x:c r="C23" s="64"/>
      <x:c r="D23" s="64"/>
      <x:c r="E23" s="64"/>
      <x:c r="F23" s="64"/>
      <x:c r="G23" s="64"/>
    </x:row>
  </x:sheetData>
  <x:mergeCells>
    <x:mergeCell ref="A1:G2"/>
    <x:mergeCell ref="A3:G3"/>
    <x:mergeCell ref="A22:G23"/>
  </x:mergeCells>
  <x:pageMargins left="0.7" right="0.7" top="0.75" bottom="0.75" header="0.3" footer="0.3"/>
</x:worksheet>
</file>