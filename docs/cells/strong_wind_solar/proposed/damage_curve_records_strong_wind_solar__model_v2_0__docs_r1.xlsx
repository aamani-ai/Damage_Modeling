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cb0786d37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39295ee64f94b2b"/>
    <x:sheet xmlns:r="http://schemas.openxmlformats.org/officeDocument/2006/relationships" name="Scope_Pathway" sheetId="2" r:id="R4a656e185da84c7b"/>
    <x:sheet xmlns:r="http://schemas.openxmlformats.org/officeDocument/2006/relationships" name="Architecture_Axes" sheetId="3" r:id="R66c8c6a47e614176"/>
    <x:sheet xmlns:r="http://schemas.openxmlformats.org/officeDocument/2006/relationships" name="Curve_Records" sheetId="4" r:id="R75fa8352f8c1481a"/>
    <x:sheet xmlns:r="http://schemas.openxmlformats.org/officeDocument/2006/relationships" name="Curve_Data" sheetId="5" r:id="Rbb561ece6f78421a"/>
    <x:sheet xmlns:r="http://schemas.openxmlformats.org/officeDocument/2006/relationships" name="State_Definitions" sheetId="6" r:id="R440d879b8f0e4ae7"/>
    <x:sheet xmlns:r="http://schemas.openxmlformats.org/officeDocument/2006/relationships" name="KATs" sheetId="7" r:id="R7a104fc14f904574"/>
    <x:sheet xmlns:r="http://schemas.openxmlformats.org/officeDocument/2006/relationships" name="Value_Crosswalk" sheetId="8" r:id="Rb4d7457f8e4e4a8f"/>
    <x:sheet xmlns:r="http://schemas.openxmlformats.org/officeDocument/2006/relationships" name="Sources" sheetId="9" r:id="R48fbd798a0eb4a43"/>
    <x:sheet xmlns:r="http://schemas.openxmlformats.org/officeDocument/2006/relationships" name="Claim_Register" sheetId="10" r:id="Rf0a3137ee18a4d62"/>
    <x:sheet xmlns:r="http://schemas.openxmlformats.org/officeDocument/2006/relationships" name="Parameter_Tiers" sheetId="11" r:id="Raa13ff60981d4bc1"/>
    <x:sheet xmlns:r="http://schemas.openxmlformats.org/officeDocument/2006/relationships" name="Legacy_Comparison" sheetId="12" r:id="R46c65e16047b4191"/>
    <x:sheet xmlns:r="http://schemas.openxmlformats.org/officeDocument/2006/relationships" name="QA_Checks" sheetId="13" r:id="Refc5cfd3fe2b4694"/>
    <x:sheet xmlns:r="http://schemas.openxmlformats.org/officeDocument/2006/relationships" name="Dashboard" sheetId="14" r:id="R3eb7d111890744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"/>
    <x:numFmt numFmtId="202" formatCode="0.00000000000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B1F33"/>
      <x:name val="Carlito"/>
    </x:font>
    <x:font>
      <x:b/>
      <x:sz val="11"/>
      <x:color rgb="FFFFFFFF"/>
      <x:name val="Carlito"/>
    </x:font>
    <x:font>
      <x:b/>
      <x:sz val="11"/>
      <x:color rgb="FF7A4E00"/>
      <x:name val="Carlito"/>
    </x:font>
    <x:font>
      <x:b/>
      <x:sz val="11"/>
      <x:color rgb="FF0B1F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CE6F1"/>
      </x:patternFill>
    </x:fill>
    <x:fill>
      <x:patternFill patternType="solid">
        <x:fgColor rgb="FF1565C0"/>
      </x:patternFill>
    </x:fill>
    <x:fill>
      <x:patternFill patternType="solid">
        <x:fgColor rgb="FFF6F8FA"/>
      </x:patternFill>
    </x:fill>
    <x:fill>
      <x:patternFill patternType="solid">
        <x:fgColor rgb="FF00796B"/>
      </x:patternFill>
    </x:fill>
    <x:fill>
      <x:patternFill patternType="solid">
        <x:fgColor rgb="FFFFF3CD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7A3E9D"/>
      </x:patternFill>
    </x:fill>
  </x:fills>
  <x:borders count="2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200" fontId="0" fillId="8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1" fontId="0" fillId="5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5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5" fillId="9" borderId="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5" fillId="9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1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B5E20"/>
      </x:font>
      <x:fill>
        <x:patternFill patternType="solid">
          <x:bgColor rgb="FFD9EAD3"/>
        </x:patternFill>
      </x:fill>
    </x:dxf>
    <x:dxf>
      <x:font>
        <x:b/>
        <x:color rgb="FF8B0000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32c534843c4d2d" /><Relationship Type="http://schemas.openxmlformats.org/officeDocument/2006/relationships/theme" Target="/xl/theme/theme1.xml" Id="R62f8fd2f733242f9" /><Relationship Type="http://schemas.openxmlformats.org/officeDocument/2006/relationships/sharedStrings" Target="/xl/sharedStrings.xml" Id="R3efd849880144118" /><Relationship Type="http://schemas.openxmlformats.org/officeDocument/2006/relationships/worksheet" Target="/xl/worksheets/sheet1.xml" Id="Rd39295ee64f94b2b" /><Relationship Type="http://schemas.openxmlformats.org/officeDocument/2006/relationships/worksheet" Target="/xl/worksheets/sheet2.xml" Id="R4a656e185da84c7b" /><Relationship Type="http://schemas.openxmlformats.org/officeDocument/2006/relationships/worksheet" Target="/xl/worksheets/sheet3.xml" Id="R66c8c6a47e614176" /><Relationship Type="http://schemas.openxmlformats.org/officeDocument/2006/relationships/worksheet" Target="/xl/worksheets/sheet4.xml" Id="R75fa8352f8c1481a" /><Relationship Type="http://schemas.openxmlformats.org/officeDocument/2006/relationships/worksheet" Target="/xl/worksheets/sheet5.xml" Id="Rbb561ece6f78421a" /><Relationship Type="http://schemas.openxmlformats.org/officeDocument/2006/relationships/worksheet" Target="/xl/worksheets/sheet6.xml" Id="R440d879b8f0e4ae7" /><Relationship Type="http://schemas.openxmlformats.org/officeDocument/2006/relationships/worksheet" Target="/xl/worksheets/sheet7.xml" Id="R7a104fc14f904574" /><Relationship Type="http://schemas.openxmlformats.org/officeDocument/2006/relationships/worksheet" Target="/xl/worksheets/sheet8.xml" Id="Rb4d7457f8e4e4a8f" /><Relationship Type="http://schemas.openxmlformats.org/officeDocument/2006/relationships/worksheet" Target="/xl/worksheets/sheet9.xml" Id="R48fbd798a0eb4a43" /><Relationship Type="http://schemas.openxmlformats.org/officeDocument/2006/relationships/worksheet" Target="/xl/worksheets/sheet10.xml" Id="Rf0a3137ee18a4d62" /><Relationship Type="http://schemas.openxmlformats.org/officeDocument/2006/relationships/worksheet" Target="/xl/worksheets/sheet11.xml" Id="Raa13ff60981d4bc1" /><Relationship Type="http://schemas.openxmlformats.org/officeDocument/2006/relationships/worksheet" Target="/xl/worksheets/sheet12.xml" Id="R46c65e16047b4191" /><Relationship Type="http://schemas.openxmlformats.org/officeDocument/2006/relationships/worksheet" Target="/xl/worksheets/sheet13.xml" Id="Refc5cfd3fe2b4694" /><Relationship Type="http://schemas.openxmlformats.org/officeDocument/2006/relationships/worksheet" Target="/xl/worksheets/sheet14.xml" Id="R3eb7d111890744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22823487ac45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7310fddb25e46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Central screening damage ratio by architecture/failure unit</a:t>
            </a:r>
          </a:p>
        </c:rich>
      </c:tx>
    </c:title>
    <c:plotArea>
      <c:lineChart>
        <c:grouping val="standard"/>
        <c:ser>
          <c:idx val="0"/>
          <c:order val="0"/>
          <c:tx>
            <c:v>Fixed module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'Curve_Data'!$B$5:$B$45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Fixed structure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'Curve_Data'!$C$5:$C$45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Tracker module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'Curve_Data'!$D$5:$D$45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Tracker SBOS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'Curve_Data'!$E$5:$E$45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Central screening DR by qualified demand index</a:t>
            </a:r>
          </a:p>
        </c:rich>
      </c:tx>
    </c:title>
    <c:plotArea>
      <c:lineChart>
        <c:grouping val="standard"/>
        <c:ser>
          <c:idx val="0"/>
          <c:order val="0"/>
          <c:tx>
            <c:v>Fixed module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'Curve_Data'!$B$5:$B$45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Fixed structure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'Curve_Data'!$C$5:$C$45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Tracker module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'Curve_Data'!$D$5:$D$45</c:f>
              <c:numCache>
                <c:formatCode>0.0000</c:formatCode>
                <c:ptCount val="0"/>
              </c:numCache>
            </c:numRef>
          </c:val>
        </c:ser>
        <c:ser>
          <c:idx val="3"/>
          <c:order val="3"/>
          <c:tx>
            <c:v>Tracker SBOS</c:v>
          </c:tx>
          <c:marker>
            <c:symbol val="none"/>
          </c:marker>
          <c:cat>
            <c:strRef>
              <c:f>'Curve_Data'!$A$5:$A$45</c:f>
              <c:strCache>
                <c:ptCount val="0"/>
              </c:strCache>
            </c:strRef>
          </c:cat>
          <c:val>
            <c:numRef>
              <c:f>'Curve_Data'!$E$5:$E$45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22823487ac45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310fddb25e46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9a5cec3b09e477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2.xml" Id="R7773cb47ee0948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28" customHeight="1">
      <x:c r="A1" s="47" t="str">
        <x:v>STRONG WIND × SOLAR — PROPOSED MODEL v2.0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32" customHeight="1">
      <x:c r="A2" s="48" t="str">
        <x:v>Noncanonical straight-line-convective screening package · docs r1 · current v1.0/docs r3 remains runtime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</x:row>
    <x:row r="4" ht="34" customHeight="1">
      <x:c r="A4" s="50" t="str">
        <x:v>Field</x:v>
      </x:c>
      <x:c r="B4" s="50" t="str">
        <x:v>Governed statement</x:v>
      </x:c>
      <x:c r="C4" s="49"/>
      <x:c r="D4" s="49"/>
      <x:c r="E4" s="49"/>
      <x:c r="F4" s="49"/>
      <x:c r="G4" s="49"/>
      <x:c r="H4" s="49"/>
      <x:c r="I4" s="49"/>
      <x:c r="J4" s="49"/>
    </x:row>
    <x:row r="5" ht="34" customHeight="1">
      <x:c r="A5" s="15" t="str">
        <x:v>Status</x:v>
      </x:c>
      <x:c r="B5" s="15" t="str">
        <x:v>PROPOSED / NONCANONICAL / PROMOTION BLOCKED</x:v>
      </x:c>
      <x:c r="C5" s="49"/>
      <x:c r="D5" s="49"/>
      <x:c r="E5" s="49"/>
      <x:c r="F5" s="49"/>
      <x:c r="G5" s="49"/>
      <x:c r="H5" s="49"/>
      <x:c r="I5" s="49"/>
      <x:c r="J5" s="49"/>
    </x:row>
    <x:row r="6" ht="34" customHeight="1">
      <x:c r="A6" s="16" t="str">
        <x:v>Pathway</x:v>
      </x:c>
      <x:c r="B6" s="16" t="str">
        <x:v>straight_line_convective: downburst, microburst, macroburst, gust front, local non-tornadic derecho outflow</x:v>
      </x:c>
      <x:c r="C6" s="49"/>
      <x:c r="D6" s="49"/>
      <x:c r="E6" s="49"/>
      <x:c r="F6" s="49"/>
      <x:c r="G6" s="49"/>
      <x:c r="H6" s="49"/>
      <x:c r="I6" s="49"/>
      <x:c r="J6" s="49"/>
    </x:row>
    <x:row r="7" ht="34" customHeight="1">
      <x:c r="A7" s="15" t="str">
        <x:v>Architectures</x:v>
      </x:c>
      <x:c r="B7" s="15" t="str">
        <x:v>Rigid fixed tilt; exact-system-qualified 1P/2P single-axis tracker</x:v>
      </x:c>
      <x:c r="C7" s="49"/>
      <x:c r="D7" s="49"/>
      <x:c r="E7" s="49"/>
      <x:c r="F7" s="49"/>
      <x:c r="G7" s="49"/>
      <x:c r="H7" s="49"/>
      <x:c r="I7" s="49"/>
      <x:c r="J7" s="49"/>
    </x:row>
    <x:row r="8" ht="34" customHeight="1">
      <x:c r="A8" s="16" t="str">
        <x:v>Fixed axis</x:v>
      </x:c>
      <x:c r="B8" s="16" t="str">
        <x:v>Qualified event/design net-pressure-demand ratio; T4 record medians carry capacity; flagged V² proxy only with named bridges</x:v>
      </x:c>
      <x:c r="C8" s="49"/>
      <x:c r="D8" s="49"/>
      <x:c r="E8" s="49"/>
      <x:c r="F8" s="49"/>
      <x:c r="G8" s="49"/>
      <x:c r="H8" s="49"/>
      <x:c r="I8" s="49"/>
      <x:c r="J8" s="49"/>
    </x:row>
    <x:row r="9" ht="34" customHeight="1">
      <x:c r="A9" s="15" t="str">
        <x:v>Tracker axis</x:v>
      </x:c>
      <x:c r="B9" s="15" t="str">
        <x:v>tracker-normal local 3-second gust / exact-system critical-instability 3-second gust</x:v>
      </x:c>
      <x:c r="C9" s="49"/>
      <x:c r="D9" s="49"/>
      <x:c r="E9" s="49"/>
      <x:c r="F9" s="49"/>
      <x:c r="G9" s="49"/>
      <x:c r="H9" s="49"/>
      <x:c r="I9" s="49"/>
      <x:c r="J9" s="49"/>
    </x:row>
    <x:row r="10" ht="34" customHeight="1">
      <x:c r="A10" s="16" t="str">
        <x:v>Numeric grade</x:v>
      </x:c>
      <x:c r="B10" s="16" t="str">
        <x:v>Broad T4 unweighted screening scenarios; not fitted, claims-calibrated, or probabilistic percentiles</x:v>
      </x:c>
      <x:c r="C10" s="49"/>
      <x:c r="D10" s="49"/>
      <x:c r="E10" s="49"/>
      <x:c r="F10" s="49"/>
      <x:c r="G10" s="49"/>
      <x:c r="H10" s="49"/>
      <x:c r="I10" s="49"/>
      <x:c r="J10" s="49"/>
    </x:row>
    <x:row r="11" ht="34" customHeight="1">
      <x:c r="A11" s="15" t="str">
        <x:v>Active units</x:v>
      </x:c>
      <x:c r="B11" s="15" t="str">
        <x:v>Architecture-specific module field and above-ground structure</x:v>
      </x:c>
      <x:c r="C11" s="49"/>
      <x:c r="D11" s="49"/>
      <x:c r="E11" s="49"/>
      <x:c r="F11" s="49"/>
      <x:c r="G11" s="49"/>
      <x:c r="H11" s="49"/>
      <x:c r="I11" s="49"/>
      <x:c r="J11" s="49"/>
    </x:row>
    <x:row r="12" ht="34" customHeight="1">
      <x:c r="A12" s="16" t="str">
        <x:v>Withheld</x:v>
      </x:c>
      <x:c r="B12" s="16" t="str">
        <x:v>Foundation, inverter/electrical, SCADA, civil, full-plant DR and all annual financial metrics</x:v>
      </x:c>
      <x:c r="C12" s="49"/>
      <x:c r="D12" s="49"/>
      <x:c r="E12" s="49"/>
      <x:c r="F12" s="49"/>
      <x:c r="G12" s="49"/>
      <x:c r="H12" s="49"/>
      <x:c r="I12" s="49"/>
      <x:c r="J12" s="49"/>
    </x:row>
    <x:row r="13" ht="34" customHeight="1">
      <x:c r="A13" s="15" t="str">
        <x:v>Dependency</x:v>
      </x:c>
      <x:c r="B13" s="15" t="str">
        <x:v>Terminal structural replacement forces colocated module terminal exactly once</x:v>
      </x:c>
      <x:c r="C13" s="49"/>
      <x:c r="D13" s="49"/>
      <x:c r="E13" s="49"/>
      <x:c r="F13" s="49"/>
      <x:c r="G13" s="49"/>
      <x:c r="H13" s="49"/>
      <x:c r="I13" s="49"/>
      <x:c r="J13" s="49"/>
    </x:row>
    <x:row r="14" ht="34" customHeight="1">
      <x:c r="A14" s="16" t="str">
        <x:v>Value</x:v>
      </x:c>
      <x:c r="B14" s="16" t="str">
        <x:v>Explicit site values required; NLR Q1-2025 2024 USD reference is informational only</x:v>
      </x:c>
      <x:c r="C14" s="49"/>
      <x:c r="D14" s="49"/>
      <x:c r="E14" s="49"/>
      <x:c r="F14" s="49"/>
      <x:c r="G14" s="49"/>
      <x:c r="H14" s="49"/>
      <x:c r="I14" s="49"/>
      <x:c r="J14" s="49"/>
    </x:row>
    <x:row r="15" ht="34" customHeight="1">
      <x:c r="A15" s="15" t="str">
        <x:v>Current invariant</x:v>
      </x:c>
      <x:c r="B15" s="15" t="str">
        <x:v>strong_wind_solar@model_v1_0__docs_r3; SHA 832f47d… remains canonical</x:v>
      </x:c>
      <x:c r="C15" s="49"/>
      <x:c r="D15" s="49"/>
      <x:c r="E15" s="49"/>
      <x:c r="F15" s="49"/>
      <x:c r="G15" s="49"/>
      <x:c r="H15" s="49"/>
      <x:c r="I15" s="49"/>
      <x:c r="J15" s="49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34" hidden="0" customWidth="1"/>
    <x:col min="4" max="4" width="72" hidden="0" customWidth="1"/>
  </x:cols>
  <x:sheetData>
    <x:row r="1" ht="28" customHeight="1">
      <x:c r="A1" s="47" t="str">
        <x:v>Scope and pathway boundary</x:v>
      </x:c>
      <x:c r="B1" s="47"/>
      <x:c r="C1" s="47"/>
      <x:c r="D1" s="47"/>
      <x:c r="E1" s="47"/>
      <x:c r="F1" s="47"/>
      <x:c r="G1" s="47"/>
      <x:c r="H1" s="47"/>
    </x:row>
    <x:row r="2" ht="32" customHeight="1">
      <x:c r="A2" s="48" t="str">
        <x:v>Exact causal routing is required; neighboring hazards receive no numeric fallback</x:v>
      </x:c>
      <x:c r="B2" s="48"/>
      <x:c r="C2" s="48"/>
      <x:c r="D2" s="48"/>
      <x:c r="E2" s="48"/>
      <x:c r="F2" s="48"/>
      <x:c r="G2" s="48"/>
      <x:c r="H2" s="48"/>
    </x:row>
    <x:row r="3">
      <x:c r="A3" s="49"/>
      <x:c r="B3" s="49"/>
      <x:c r="C3" s="49"/>
      <x:c r="D3" s="49"/>
      <x:c r="E3" s="49"/>
      <x:c r="F3" s="49"/>
      <x:c r="G3" s="49"/>
      <x:c r="H3" s="49"/>
    </x:row>
    <x:row r="4" ht="28" customHeight="1">
      <x:c r="A4" s="52" t="str">
        <x:v>Hazard/event</x:v>
      </x:c>
      <x:c r="B4" s="52" t="str">
        <x:v>Status</x:v>
      </x:c>
      <x:c r="C4" s="52" t="str">
        <x:v>Route</x:v>
      </x:c>
      <x:c r="D4" s="52" t="str">
        <x:v>Rule</x:v>
      </x:c>
      <x:c r="E4" s="49"/>
      <x:c r="F4" s="49"/>
      <x:c r="G4" s="49"/>
      <x:c r="H4" s="49"/>
    </x:row>
    <x:row r="5" ht="30" customHeight="1">
      <x:c r="A5" s="15" t="str">
        <x:v>downburst / microburst / macroburst</x:v>
      </x:c>
      <x:c r="B5" s="15" t="str">
        <x:v>in scope</x:v>
      </x:c>
      <x:c r="C5" s="15" t="str">
        <x:v>Local non-tornadic convective outflow</x:v>
      </x:c>
      <x:c r="D5" s="15" t="str">
        <x:v>Require site-local demand and parent event ID</x:v>
      </x:c>
      <x:c r="E5" s="49"/>
      <x:c r="F5" s="49"/>
      <x:c r="G5" s="49"/>
      <x:c r="H5" s="49"/>
    </x:row>
    <x:row r="6" ht="30" customHeight="1">
      <x:c r="A6" s="16" t="str">
        <x:v>gust front / thunderstorm outflow</x:v>
      </x:c>
      <x:c r="B6" s="16" t="str">
        <x:v>in scope</x:v>
      </x:c>
      <x:c r="C6" s="16" t="str">
        <x:v>Straight-line convective</x:v>
      </x:c>
      <x:c r="D6" s="16" t="str">
        <x:v>Same local-demand rule</x:v>
      </x:c>
      <x:c r="E6" s="49"/>
      <x:c r="F6" s="49"/>
      <x:c r="G6" s="49"/>
      <x:c r="H6" s="49"/>
    </x:row>
    <x:row r="7" ht="30" customHeight="1">
      <x:c r="A7" s="15" t="str">
        <x:v>derecho</x:v>
      </x:c>
      <x:c r="B7" s="15" t="str">
        <x:v>conditional</x:v>
      </x:c>
      <x:c r="C7" s="15" t="str">
        <x:v>Parent convective event</x:v>
      </x:c>
      <x:c r="D7" s="15" t="str">
        <x:v>Resolve local non-tornadic mechanism; partition embedded tornadoes</x:v>
      </x:c>
      <x:c r="E7" s="49"/>
      <x:c r="F7" s="49"/>
      <x:c r="G7" s="49"/>
      <x:c r="H7" s="49"/>
    </x:row>
    <x:row r="8" ht="30" customHeight="1">
      <x:c r="A8" s="16" t="str">
        <x:v>tropical cyclone / hurricane</x:v>
      </x:c>
      <x:c r="B8" s="16" t="str">
        <x:v>out</x:v>
      </x:c>
      <x:c r="C8" s="16" t="str">
        <x:v>Future hurricane_wind_solar</x:v>
      </x:c>
      <x:c r="D8" s="16" t="str">
        <x:v>Duration/profile/rain/debris/control differ</x:v>
      </x:c>
      <x:c r="E8" s="49"/>
      <x:c r="F8" s="49"/>
      <x:c r="G8" s="49"/>
      <x:c r="H8" s="49"/>
    </x:row>
    <x:row r="9" ht="30" customHeight="1">
      <x:c r="A9" s="15" t="str">
        <x:v>tornado</x:v>
      </x:c>
      <x:c r="B9" s="15" t="str">
        <x:v>out</x:v>
      </x:c>
      <x:c r="C9" s="15" t="str">
        <x:v>Future tornado_solar</x:v>
      </x:c>
      <x:c r="D9" s="15" t="str">
        <x:v>Rotating flow/debris/swath exposure differ</x:v>
      </x:c>
      <x:c r="E9" s="49"/>
      <x:c r="F9" s="49"/>
      <x:c r="G9" s="49"/>
      <x:c r="H9" s="49"/>
    </x:row>
    <x:row r="10" ht="30" customHeight="1">
      <x:c r="A10" s="16" t="str">
        <x:v>synoptic / downslope</x:v>
      </x:c>
      <x:c r="B10" s="16" t="str">
        <x:v>out</x:v>
      </x:c>
      <x:c r="C10" s="16" t="str">
        <x:v>Separate workstream</x:v>
      </x:c>
      <x:c r="D10" s="16" t="str">
        <x:v>Stationarity/profile/duration differ</x:v>
      </x:c>
      <x:c r="E10" s="49"/>
      <x:c r="F10" s="49"/>
      <x:c r="G10" s="49"/>
      <x:c r="H10" s="49"/>
    </x:row>
    <x:row r="11" ht="30" customHeight="1">
      <x:c r="A11" s="15" t="str">
        <x:v>hail</x:v>
      </x:c>
      <x:c r="B11" s="15" t="str">
        <x:v>out</x:v>
      </x:c>
      <x:c r="C11" s="15" t="str">
        <x:v>hail_solar</x:v>
      </x:c>
      <x:c r="D11" s="15" t="str">
        <x:v>Reconcile shared module disposition after separate evaluation</x:v>
      </x:c>
      <x:c r="E11" s="49"/>
      <x:c r="F11" s="49"/>
      <x:c r="G11" s="49"/>
      <x:c r="H11" s="49"/>
    </x:row>
    <x:row r="12" ht="30" customHeight="1">
      <x:c r="A12" s="16" t="str">
        <x:v>debris / rain ingress / lightning / flood</x:v>
      </x:c>
      <x:c r="B12" s="16" t="str">
        <x:v>out</x:v>
      </x:c>
      <x:c r="C12" s="16" t="str">
        <x:v>Separate mechanism</x:v>
      </x:c>
      <x:c r="D12" s="16" t="str">
        <x:v>Not aerodynamic pressure DR</x:v>
      </x:c>
      <x:c r="E12" s="49"/>
      <x:c r="F12" s="49"/>
      <x:c r="G12" s="49"/>
      <x:c r="H12" s="49"/>
    </x:row>
    <x:row r="13" ht="30" customHeight="1">
      <x:c r="A13" s="15" t="str">
        <x:v>lifetime fatigue / downtime / BI</x:v>
      </x:c>
      <x:c r="B13" s="15" t="str">
        <x:v>out</x:v>
      </x:c>
      <x:c r="C13" s="15" t="str">
        <x:v>Reliability or downstream consumer</x:v>
      </x:c>
      <x:c r="D13" s="15" t="str">
        <x:v>Not occurrence physical destruction</x:v>
      </x:c>
      <x:c r="E13" s="49"/>
      <x:c r="F13" s="49"/>
      <x:c r="G13" s="49"/>
      <x:c r="H13" s="49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30" hidden="0" customWidth="1"/>
    <x:col min="3" max="3" width="72" hidden="0" customWidth="1"/>
    <x:col min="4" max="4" width="14" hidden="0" customWidth="1"/>
    <x:col min="5" max="5" width="35" hidden="0" customWidth="1"/>
    <x:col min="6" max="6" width="66" hidden="0" customWidth="1"/>
  </x:cols>
  <x:sheetData>
    <x:row r="1" ht="28" customHeight="1">
      <x:c r="A1" s="47" t="str">
        <x:v>Architecture-specific demand axes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32" customHeight="1">
      <x:c r="A2" s="48" t="str">
        <x:v>Fixed tilt and trackers share a convective pathway but not a normalization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</x:row>
    <x:row r="4" ht="28" customHeight="1">
      <x:c r="A4" s="52" t="str">
        <x:v>Architecture</x:v>
      </x:c>
      <x:c r="B4" s="52" t="str">
        <x:v>Axis</x:v>
      </x:c>
      <x:c r="C4" s="52" t="str">
        <x:v>Required inputs</x:v>
      </x:c>
      <x:c r="D4" s="52" t="str">
        <x:v>Valid range</x:v>
      </x:c>
      <x:c r="E4" s="52" t="str">
        <x:v>Flags</x:v>
      </x:c>
      <x:c r="F4" s="52" t="str">
        <x:v>Prohibited shortcut</x:v>
      </x:c>
      <x:c r="G4" s="49"/>
      <x:c r="H4" s="49"/>
      <x:c r="I4" s="49"/>
      <x:c r="J4" s="49"/>
    </x:row>
    <x:row r="5" ht="30" customHeight="1">
      <x:c r="A5" s="15" t="str">
        <x:v>fixed_tilt_ground_mount_screening_v1</x:v>
      </x:c>
      <x:c r="B5" s="15" t="str">
        <x:v>q_event_net / q_design_demand</x:v>
      </x:c>
      <x:c r="C5" s="15" t="str">
        <x:v>event/design pressure ratio + aerodynamic bridge ID</x:v>
      </x:c>
      <x:c r="D5" s="15" t="str">
        <x:v>0–2</x:v>
      </x:c>
      <x:c r="E5" s="15" t="str">
        <x:v>below .2; above 1.6</x:v>
      </x:c>
      <x:c r="F5" s="15" t="str">
        <x:v>design demand treated as resistance; raw 10 m wind or design speed treated as D50</x:v>
      </x:c>
      <x:c r="G5" s="49"/>
      <x:c r="H5" s="49"/>
      <x:c r="I5" s="49"/>
      <x:c r="J5" s="49"/>
    </x:row>
    <x:row r="6" ht="30" customHeight="1">
      <x:c r="A6" s="16" t="str">
        <x:v>fixed speed proxy</x:v>
      </x:c>
      <x:c r="B6" s="16" t="str">
        <x:v>(Varray/Vdesign)^2</x:v>
      </x:c>
      <x:c r="C6" s="16" t="str">
        <x:v>array-height gust + design gust + profile and demand bridge IDs</x:v>
      </x:c>
      <x:c r="D6" s="16" t="str">
        <x:v>0–2</x:v>
      </x:c>
      <x:c r="E6" s="16" t="str">
        <x:v>QUASI_STEADY_GUST_PROXY_USED</x:v>
      </x:c>
      <x:c r="F6" s="16" t="str">
        <x:v>ordinary default power law</x:v>
      </x:c>
      <x:c r="G6" s="49"/>
      <x:c r="H6" s="49"/>
      <x:c r="I6" s="49"/>
      <x:c r="J6" s="49"/>
    </x:row>
    <x:row r="7" ht="30" customHeight="1">
      <x:c r="A7" s="15" t="str">
        <x:v>single_axis_tracker_qualified_screening_v1</x:v>
      </x:c>
      <x:c r="B7" s="15" t="str">
        <x:v>Vnormal_3s / Ucrit_3s</x:v>
      </x:c>
      <x:c r="C7" s="15" t="str">
        <x:v>local normal gust + positive Ucrit + qualification ID + profile bridge + 1P/2P</x:v>
      </x:c>
      <x:c r="D7" s="15" t="str">
        <x:v>0–2</x:v>
      </x:c>
      <x:c r="E7" s="15" t="str">
        <x:v>stow action ≥.75; high &gt;1.7</x:v>
      </x:c>
      <x:c r="F7" s="15" t="str">
        <x:v>generic Ucrit, fixed-tilt coefficients, universal stow multiplier</x:v>
      </x:c>
      <x:c r="G7" s="49"/>
      <x:c r="H7" s="49"/>
      <x:c r="I7" s="49"/>
      <x:c r="J7" s="49"/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</x:row>
    <x:row r="9" ht="34" customHeight="1">
      <x:c r="A9" s="54" t="str">
        <x:v>FM 0.75 Ucrit is an operational stow-action flag only. It is not damage onset and does not force zero below it.</x:v>
      </x:c>
      <x:c r="B9" s="54"/>
      <x:c r="C9" s="54"/>
      <x:c r="D9" s="54"/>
      <x:c r="E9" s="54"/>
      <x:c r="F9" s="54"/>
      <x:c r="G9" s="54"/>
      <x:c r="H9" s="54"/>
      <x:c r="I9" s="54"/>
      <x:c r="J9" s="54"/>
    </x:row>
  </x:sheetData>
  <x:mergeCells>
    <x:mergeCell ref="A1:J1"/>
    <x:mergeCell ref="A2:J2"/>
    <x:mergeCell ref="A9:J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4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1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</x:cols>
  <x:sheetData>
    <x:row r="1" ht="28" customHeight="1">
      <x:c r="A1" s="47" t="str">
        <x:v>Curve records and independent equation audit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7"/>
      <x:c r="U1" s="47"/>
    </x:row>
    <x:row r="2" ht="32" customHeight="1">
      <x:c r="A2" s="48" t="str">
        <x:v>Edit sample x in column M; columns N–U calculate exceedance, exact states and expected DR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</x:row>
    <x:row r="4" ht="28" customHeight="1">
      <x:c r="A4" s="52" t="str">
        <x:v>Architecture</x:v>
      </x:c>
      <x:c r="B4" s="52" t="str">
        <x:v>Failure unit</x:v>
      </x:c>
      <x:c r="C4" s="52" t="str">
        <x:v>Curve ID</x:v>
      </x:c>
      <x:c r="D4" s="52" t="str">
        <x:v>beta_ln</x:v>
      </x:c>
      <x:c r="E4" s="52" t="str">
        <x:v>zero below</x:v>
      </x:c>
      <x:c r="F4" s="52" t="str">
        <x:v>DS1 cost</x:v>
      </x:c>
      <x:c r="G4" s="52" t="str">
        <x:v>DS2 cost</x:v>
      </x:c>
      <x:c r="H4" s="52" t="str">
        <x:v>DS3 cost</x:v>
      </x:c>
      <x:c r="I4" s="52" t="str">
        <x:v>Scenario</x:v>
      </x:c>
      <x:c r="J4" s="52" t="str">
        <x:v>theta1</x:v>
      </x:c>
      <x:c r="K4" s="52" t="str">
        <x:v>theta2</x:v>
      </x:c>
      <x:c r="L4" s="52" t="str">
        <x:v>theta3</x:v>
      </x:c>
      <x:c r="M4" s="52" t="str">
        <x:v>sample x</x:v>
      </x:c>
      <x:c r="N4" s="52" t="str">
        <x:v>Q1</x:v>
      </x:c>
      <x:c r="O4" s="52" t="str">
        <x:v>Q2</x:v>
      </x:c>
      <x:c r="P4" s="52" t="str">
        <x:v>Q3</x:v>
      </x:c>
      <x:c r="Q4" s="52" t="str">
        <x:v>P0</x:v>
      </x:c>
      <x:c r="R4" s="52" t="str">
        <x:v>P1</x:v>
      </x:c>
      <x:c r="S4" s="52" t="str">
        <x:v>P2</x:v>
      </x:c>
      <x:c r="T4" s="52" t="str">
        <x:v>P3</x:v>
      </x:c>
      <x:c r="U4" s="52" t="str">
        <x:v>DR</x:v>
      </x:c>
    </x:row>
    <x:row r="5" ht="30" customHeight="1">
      <x:c r="A5" s="15" t="str">
        <x:v>fixed</x:v>
      </x:c>
      <x:c r="B5" s="15" t="str">
        <x:v>PV_FIXED_TILT_MODULE_FIELD</x:v>
      </x:c>
      <x:c r="C5" s="15" t="str">
        <x:v>SWS2_SLC_FIXED_MODULE_ORDERED_STATES</x:v>
      </x:c>
      <x:c r="D5" s="21" t="n">
        <x:v>0.3</x:v>
      </x:c>
      <x:c r="E5" s="21" t="n">
        <x:v>0.1</x:v>
      </x:c>
      <x:c r="F5" s="21" t="n">
        <x:v>0.1</x:v>
      </x:c>
      <x:c r="G5" s="21" t="n">
        <x:v>1</x:v>
      </x:c>
      <x:c r="H5" s="21" t="n">
        <x:v>0</x:v>
      </x:c>
      <x:c r="I5" s="21" t="str">
        <x:v>lower_resistance</x:v>
      </x:c>
      <x:c r="J5" s="21" t="n">
        <x:v>0.65</x:v>
      </x:c>
      <x:c r="K5" s="21" t="n">
        <x:v>1.2</x:v>
      </x:c>
      <x:c r="L5" s="21"/>
      <x:c r="M5" s="23" t="n">
        <x:v>1</x:v>
      </x:c>
      <x:c r="N5" s="21" t="n">
        <x:f>IF(M5&lt;E5,0,NORM.S.DIST(LN(M5/J5)/D5,TRUE))</x:f>
        <x:v>0.9244907269373599</x:v>
      </x:c>
      <x:c r="O5" s="21" t="n">
        <x:f>IF(M5&lt;E5,0,NORM.S.DIST(LN(M5/K5)/D5,TRUE))</x:f>
        <x:v>0.2716804545269203</x:v>
      </x:c>
      <x:c r="P5" s="21" t="n">
        <x:f>IF(L5="",0,IF(M5&lt;E5,0,NORM.S.DIST(LN(M5/L5)/D5,TRUE)))</x:f>
        <x:v>0</x:v>
      </x:c>
      <x:c r="Q5" s="21" t="n">
        <x:f>1-N5</x:f>
        <x:v>0.0755092730626401</x:v>
      </x:c>
      <x:c r="R5" s="21" t="n">
        <x:f>N5-O5</x:f>
        <x:v>0.6528102724104397</x:v>
      </x:c>
      <x:c r="S5" s="21" t="n">
        <x:f>O5-P5</x:f>
        <x:v>0.2716804545269203</x:v>
      </x:c>
      <x:c r="T5" s="21" t="n">
        <x:f>P5</x:f>
        <x:v>0</x:v>
      </x:c>
      <x:c r="U5" s="21" t="n">
        <x:f>R5*F5+S5*G5+T5*H5</x:f>
        <x:v>0.33696148176796425</x:v>
      </x:c>
    </x:row>
    <x:row r="6" ht="30" customHeight="1">
      <x:c r="A6" s="16" t="str">
        <x:v>fixed</x:v>
      </x:c>
      <x:c r="B6" s="16" t="str">
        <x:v>PV_FIXED_TILT_MODULE_FIELD</x:v>
      </x:c>
      <x:c r="C6" s="16" t="str">
        <x:v>SWS2_SLC_FIXED_MODULE_ORDERED_STATES</x:v>
      </x:c>
      <x:c r="D6" s="22" t="n">
        <x:v>0.3</x:v>
      </x:c>
      <x:c r="E6" s="22" t="n">
        <x:v>0.1</x:v>
      </x:c>
      <x:c r="F6" s="22" t="n">
        <x:v>0.1</x:v>
      </x:c>
      <x:c r="G6" s="22" t="n">
        <x:v>1</x:v>
      </x:c>
      <x:c r="H6" s="22" t="n">
        <x:v>0</x:v>
      </x:c>
      <x:c r="I6" s="22" t="str">
        <x:v>central_screening</x:v>
      </x:c>
      <x:c r="J6" s="22" t="n">
        <x:v>0.85</x:v>
      </x:c>
      <x:c r="K6" s="22" t="n">
        <x:v>1.55</x:v>
      </x:c>
      <x:c r="L6" s="22"/>
      <x:c r="M6" s="23" t="n">
        <x:v>1</x:v>
      </x:c>
      <x:c r="N6" s="22" t="n">
        <x:f>IF(M6&lt;E6,0,NORM.S.DIST(LN(M6/J6)/D6,TRUE))</x:f>
        <x:v>0.7059976591156181</x:v>
      </x:c>
      <x:c r="O6" s="22" t="n">
        <x:f>IF(M6&lt;E6,0,NORM.S.DIST(LN(M6/K6)/D6,TRUE))</x:f>
        <x:v>0.07202833696659716</x:v>
      </x:c>
      <x:c r="P6" s="22" t="n">
        <x:f>IF(L6="",0,IF(M6&lt;E6,0,NORM.S.DIST(LN(M6/L6)/D6,TRUE)))</x:f>
        <x:v>0</x:v>
      </x:c>
      <x:c r="Q6" s="22" t="n">
        <x:f>1-N6</x:f>
        <x:v>0.29400234088438193</x:v>
      </x:c>
      <x:c r="R6" s="22" t="n">
        <x:f>N6-O6</x:f>
        <x:v>0.6339693221490209</x:v>
      </x:c>
      <x:c r="S6" s="22" t="n">
        <x:f>O6-P6</x:f>
        <x:v>0.07202833696659716</x:v>
      </x:c>
      <x:c r="T6" s="22" t="n">
        <x:f>P6</x:f>
        <x:v>0</x:v>
      </x:c>
      <x:c r="U6" s="22" t="n">
        <x:f>R6*F6+S6*G6+T6*H6</x:f>
        <x:v>0.13542526918149927</x:v>
      </x:c>
    </x:row>
    <x:row r="7" ht="30" customHeight="1">
      <x:c r="A7" s="15" t="str">
        <x:v>fixed</x:v>
      </x:c>
      <x:c r="B7" s="15" t="str">
        <x:v>PV_FIXED_TILT_MODULE_FIELD</x:v>
      </x:c>
      <x:c r="C7" s="15" t="str">
        <x:v>SWS2_SLC_FIXED_MODULE_ORDERED_STATES</x:v>
      </x:c>
      <x:c r="D7" s="21" t="n">
        <x:v>0.3</x:v>
      </x:c>
      <x:c r="E7" s="21" t="n">
        <x:v>0.1</x:v>
      </x:c>
      <x:c r="F7" s="21" t="n">
        <x:v>0.1</x:v>
      </x:c>
      <x:c r="G7" s="21" t="n">
        <x:v>1</x:v>
      </x:c>
      <x:c r="H7" s="21" t="n">
        <x:v>0</x:v>
      </x:c>
      <x:c r="I7" s="21" t="str">
        <x:v>upper_resistance</x:v>
      </x:c>
      <x:c r="J7" s="21" t="n">
        <x:v>1.05</x:v>
      </x:c>
      <x:c r="K7" s="21" t="n">
        <x:v>1.95</x:v>
      </x:c>
      <x:c r="L7" s="21"/>
      <x:c r="M7" s="23" t="n">
        <x:v>1</x:v>
      </x:c>
      <x:c r="N7" s="21" t="n">
        <x:f>IF(M7&lt;E7,0,NORM.S.DIST(LN(M7/J7)/D7,TRUE))</x:f>
        <x:v>0.4354033546458197</x:v>
      </x:c>
      <x:c r="O7" s="21" t="n">
        <x:f>IF(M7&lt;E7,0,NORM.S.DIST(LN(M7/K7)/D7,TRUE))</x:f>
        <x:v>0.013003812003236748</x:v>
      </x:c>
      <x:c r="P7" s="21" t="n">
        <x:f>IF(L7="",0,IF(M7&lt;E7,0,NORM.S.DIST(LN(M7/L7)/D7,TRUE)))</x:f>
        <x:v>0</x:v>
      </x:c>
      <x:c r="Q7" s="21" t="n">
        <x:f>1-N7</x:f>
        <x:v>0.5645966453541803</x:v>
      </x:c>
      <x:c r="R7" s="21" t="n">
        <x:f>N7-O7</x:f>
        <x:v>0.42239954264258295</x:v>
      </x:c>
      <x:c r="S7" s="21" t="n">
        <x:f>O7-P7</x:f>
        <x:v>0.013003812003236748</x:v>
      </x:c>
      <x:c r="T7" s="21" t="n">
        <x:f>P7</x:f>
        <x:v>0</x:v>
      </x:c>
      <x:c r="U7" s="21" t="n">
        <x:f>R7*F7+S7*G7+T7*H7</x:f>
        <x:v>0.05524376626749505</x:v>
      </x:c>
    </x:row>
    <x:row r="8" ht="30" customHeight="1">
      <x:c r="A8" s="16" t="str">
        <x:v>fixed</x:v>
      </x:c>
      <x:c r="B8" s="16" t="str">
        <x:v>PV_FIXED_TILT_SUPPORT_STRUCTURE</x:v>
      </x:c>
      <x:c r="C8" s="16" t="str">
        <x:v>SWS2_SLC_FIXED_STRUCTURE_ORDERED_STATES</x:v>
      </x:c>
      <x:c r="D8" s="22" t="n">
        <x:v>0.3</x:v>
      </x:c>
      <x:c r="E8" s="22" t="n">
        <x:v>0.1</x:v>
      </x:c>
      <x:c r="F8" s="22" t="n">
        <x:v>0.15</x:v>
      </x:c>
      <x:c r="G8" s="22" t="n">
        <x:v>1</x:v>
      </x:c>
      <x:c r="H8" s="22" t="n">
        <x:v>1</x:v>
      </x:c>
      <x:c r="I8" s="22" t="str">
        <x:v>lower_resistance</x:v>
      </x:c>
      <x:c r="J8" s="22" t="n">
        <x:v>0.9</x:v>
      </x:c>
      <x:c r="K8" s="22" t="n">
        <x:v>1.2</x:v>
      </x:c>
      <x:c r="L8" s="22" t="n">
        <x:v>1.5</x:v>
      </x:c>
      <x:c r="M8" s="23" t="n">
        <x:v>1</x:v>
      </x:c>
      <x:c r="N8" s="22" t="n">
        <x:f>IF(M8&lt;E8,0,NORM.S.DIST(LN(M8/J8)/D8,TRUE))</x:f>
        <x:v>0.6372814896504637</x:v>
      </x:c>
      <x:c r="O8" s="22" t="n">
        <x:f>IF(M8&lt;E8,0,NORM.S.DIST(LN(M8/K8)/D8,TRUE))</x:f>
        <x:v>0.2716804545269203</x:v>
      </x:c>
      <x:c r="P8" s="22" t="n">
        <x:f>IF(L8="",0,IF(M8&lt;E8,0,NORM.S.DIST(LN(M8/L8)/D8,TRUE)))</x:f>
        <x:v>0.08825959961479624</x:v>
      </x:c>
      <x:c r="Q8" s="22" t="n">
        <x:f>1-N8</x:f>
        <x:v>0.3627185103495363</x:v>
      </x:c>
      <x:c r="R8" s="22" t="n">
        <x:f>N8-O8</x:f>
        <x:v>0.3656010351235434</x:v>
      </x:c>
      <x:c r="S8" s="22" t="n">
        <x:f>O8-P8</x:f>
        <x:v>0.18342085491212407</x:v>
      </x:c>
      <x:c r="T8" s="22" t="n">
        <x:f>P8</x:f>
        <x:v>0.08825959961479624</x:v>
      </x:c>
      <x:c r="U8" s="22" t="n">
        <x:f>R8*F8+S8*G8+T8*H8</x:f>
        <x:v>0.32652060979545183</x:v>
      </x:c>
    </x:row>
    <x:row r="9" ht="30" customHeight="1">
      <x:c r="A9" s="15" t="str">
        <x:v>fixed</x:v>
      </x:c>
      <x:c r="B9" s="15" t="str">
        <x:v>PV_FIXED_TILT_SUPPORT_STRUCTURE</x:v>
      </x:c>
      <x:c r="C9" s="15" t="str">
        <x:v>SWS2_SLC_FIXED_STRUCTURE_ORDERED_STATES</x:v>
      </x:c>
      <x:c r="D9" s="21" t="n">
        <x:v>0.3</x:v>
      </x:c>
      <x:c r="E9" s="21" t="n">
        <x:v>0.1</x:v>
      </x:c>
      <x:c r="F9" s="21" t="n">
        <x:v>0.15</x:v>
      </x:c>
      <x:c r="G9" s="21" t="n">
        <x:v>1</x:v>
      </x:c>
      <x:c r="H9" s="21" t="n">
        <x:v>1</x:v>
      </x:c>
      <x:c r="I9" s="21" t="str">
        <x:v>central_screening</x:v>
      </x:c>
      <x:c r="J9" s="21" t="n">
        <x:v>1.15</x:v>
      </x:c>
      <x:c r="K9" s="21" t="n">
        <x:v>1.55</x:v>
      </x:c>
      <x:c r="L9" s="21" t="n">
        <x:v>1.9</x:v>
      </x:c>
      <x:c r="M9" s="23" t="n">
        <x:v>1</x:v>
      </x:c>
      <x:c r="N9" s="21" t="n">
        <x:f>IF(M9&lt;E9,0,NORM.S.DIST(LN(M9/J9)/D9,TRUE))</x:f>
        <x:v>0.3206531536901392</x:v>
      </x:c>
      <x:c r="O9" s="21" t="n">
        <x:f>IF(M9&lt;E9,0,NORM.S.DIST(LN(M9/K9)/D9,TRUE))</x:f>
        <x:v>0.07202833696659716</x:v>
      </x:c>
      <x:c r="P9" s="21" t="n">
        <x:f>IF(L9="",0,IF(M9&lt;E9,0,NORM.S.DIST(LN(M9/L9)/D9,TRUE)))</x:f>
        <x:v>0.01619707397237735</x:v>
      </x:c>
      <x:c r="Q9" s="21" t="n">
        <x:f>1-N9</x:f>
        <x:v>0.6793468463098609</x:v>
      </x:c>
      <x:c r="R9" s="21" t="n">
        <x:f>N9-O9</x:f>
        <x:v>0.24862481672354203</x:v>
      </x:c>
      <x:c r="S9" s="21" t="n">
        <x:f>O9-P9</x:f>
        <x:v>0.05583126299421981</x:v>
      </x:c>
      <x:c r="T9" s="21" t="n">
        <x:f>P9</x:f>
        <x:v>0.01619707397237735</x:v>
      </x:c>
      <x:c r="U9" s="21" t="n">
        <x:f>R9*F9+S9*G9+T9*H9</x:f>
        <x:v>0.10932205947512846</x:v>
      </x:c>
    </x:row>
    <x:row r="10" ht="30" customHeight="1">
      <x:c r="A10" s="16" t="str">
        <x:v>fixed</x:v>
      </x:c>
      <x:c r="B10" s="16" t="str">
        <x:v>PV_FIXED_TILT_SUPPORT_STRUCTURE</x:v>
      </x:c>
      <x:c r="C10" s="16" t="str">
        <x:v>SWS2_SLC_FIXED_STRUCTURE_ORDERED_STATES</x:v>
      </x:c>
      <x:c r="D10" s="22" t="n">
        <x:v>0.3</x:v>
      </x:c>
      <x:c r="E10" s="22" t="n">
        <x:v>0.1</x:v>
      </x:c>
      <x:c r="F10" s="22" t="n">
        <x:v>0.15</x:v>
      </x:c>
      <x:c r="G10" s="22" t="n">
        <x:v>1</x:v>
      </x:c>
      <x:c r="H10" s="22" t="n">
        <x:v>1</x:v>
      </x:c>
      <x:c r="I10" s="22" t="str">
        <x:v>upper_resistance</x:v>
      </x:c>
      <x:c r="J10" s="22" t="n">
        <x:v>1.45</x:v>
      </x:c>
      <x:c r="K10" s="22" t="n">
        <x:v>1.95</x:v>
      </x:c>
      <x:c r="L10" s="22" t="n">
        <x:v>2.35</x:v>
      </x:c>
      <x:c r="M10" s="23" t="n">
        <x:v>1</x:v>
      </x:c>
      <x:c r="N10" s="22" t="n">
        <x:f>IF(M10&lt;E10,0,NORM.S.DIST(LN(M10/J10)/D10,TRUE))</x:f>
        <x:v>0.10775698875879858</x:v>
      </x:c>
      <x:c r="O10" s="22" t="n">
        <x:f>IF(M10&lt;E10,0,NORM.S.DIST(LN(M10/K10)/D10,TRUE))</x:f>
        <x:v>0.013003812003236748</x:v>
      </x:c>
      <x:c r="P10" s="22" t="n">
        <x:f>IF(L10="",0,IF(M10&lt;E10,0,NORM.S.DIST(LN(M10/L10)/D10,TRUE)))</x:f>
        <x:v>0.0021993930913602466</x:v>
      </x:c>
      <x:c r="Q10" s="22" t="n">
        <x:f>1-N10</x:f>
        <x:v>0.8922430112412014</x:v>
      </x:c>
      <x:c r="R10" s="22" t="n">
        <x:f>N10-O10</x:f>
        <x:v>0.09475317675556183</x:v>
      </x:c>
      <x:c r="S10" s="22" t="n">
        <x:f>O10-P10</x:f>
        <x:v>0.010804418911876501</x:v>
      </x:c>
      <x:c r="T10" s="22" t="n">
        <x:f>P10</x:f>
        <x:v>0.0021993930913602466</x:v>
      </x:c>
      <x:c r="U10" s="22" t="n">
        <x:f>R10*F10+S10*G10+T10*H10</x:f>
        <x:v>0.02721678851657102</x:v>
      </x:c>
    </x:row>
    <x:row r="11" ht="30" customHeight="1">
      <x:c r="A11" s="15" t="str">
        <x:v>tracker</x:v>
      </x:c>
      <x:c r="B11" s="15" t="str">
        <x:v>PV_TRACKER_MODULE_FIELD</x:v>
      </x:c>
      <x:c r="C11" s="15" t="str">
        <x:v>SWS2_SLC_TRACKER_MODULE_ORDERED_STATES</x:v>
      </x:c>
      <x:c r="D11" s="21" t="n">
        <x:v>0.275</x:v>
      </x:c>
      <x:c r="E11" s="21" t="n">
        <x:v>0.1</x:v>
      </x:c>
      <x:c r="F11" s="21" t="n">
        <x:v>0.1</x:v>
      </x:c>
      <x:c r="G11" s="21" t="n">
        <x:v>1</x:v>
      </x:c>
      <x:c r="H11" s="21" t="n">
        <x:v>0</x:v>
      </x:c>
      <x:c r="I11" s="21" t="str">
        <x:v>lower_resistance</x:v>
      </x:c>
      <x:c r="J11" s="21" t="n">
        <x:v>0.8</x:v>
      </x:c>
      <x:c r="K11" s="21" t="n">
        <x:v>1.15</x:v>
      </x:c>
      <x:c r="L11" s="21"/>
      <x:c r="M11" s="23" t="n">
        <x:v>1</x:v>
      </x:c>
      <x:c r="N11" s="21" t="n">
        <x:f>IF(M11&lt;E11,0,NORM.S.DIST(LN(M11/J11)/D11,TRUE))</x:f>
        <x:v>0.791440926110266</x:v>
      </x:c>
      <x:c r="O11" s="21" t="n">
        <x:f>IF(M11&lt;E11,0,NORM.S.DIST(LN(M11/K11)/D11,TRUE))</x:f>
        <x:v>0.30564769426872396</x:v>
      </x:c>
      <x:c r="P11" s="21" t="n">
        <x:f>IF(L11="",0,IF(M11&lt;E11,0,NORM.S.DIST(LN(M11/L11)/D11,TRUE)))</x:f>
        <x:v>0</x:v>
      </x:c>
      <x:c r="Q11" s="21" t="n">
        <x:f>1-N11</x:f>
        <x:v>0.20855907388973405</x:v>
      </x:c>
      <x:c r="R11" s="21" t="n">
        <x:f>N11-O11</x:f>
        <x:v>0.485793231841542</x:v>
      </x:c>
      <x:c r="S11" s="21" t="n">
        <x:f>O11-P11</x:f>
        <x:v>0.30564769426872396</x:v>
      </x:c>
      <x:c r="T11" s="21" t="n">
        <x:f>P11</x:f>
        <x:v>0</x:v>
      </x:c>
      <x:c r="U11" s="21" t="n">
        <x:f>R11*F11+S11*G11+T11*H11</x:f>
        <x:v>0.35422701745287816</x:v>
      </x:c>
    </x:row>
    <x:row r="12" ht="30" customHeight="1">
      <x:c r="A12" s="16" t="str">
        <x:v>tracker</x:v>
      </x:c>
      <x:c r="B12" s="16" t="str">
        <x:v>PV_TRACKER_MODULE_FIELD</x:v>
      </x:c>
      <x:c r="C12" s="16" t="str">
        <x:v>SWS2_SLC_TRACKER_MODULE_ORDERED_STATES</x:v>
      </x:c>
      <x:c r="D12" s="22" t="n">
        <x:v>0.275</x:v>
      </x:c>
      <x:c r="E12" s="22" t="n">
        <x:v>0.1</x:v>
      </x:c>
      <x:c r="F12" s="22" t="n">
        <x:v>0.1</x:v>
      </x:c>
      <x:c r="G12" s="22" t="n">
        <x:v>1</x:v>
      </x:c>
      <x:c r="H12" s="22" t="n">
        <x:v>0</x:v>
      </x:c>
      <x:c r="I12" s="22" t="str">
        <x:v>central_screening</x:v>
      </x:c>
      <x:c r="J12" s="22" t="n">
        <x:v>0.95</x:v>
      </x:c>
      <x:c r="K12" s="22" t="n">
        <x:v>1.4</x:v>
      </x:c>
      <x:c r="L12" s="22"/>
      <x:c r="M12" s="23" t="n">
        <x:v>1</x:v>
      </x:c>
      <x:c r="N12" s="22" t="n">
        <x:f>IF(M12&lt;E12,0,NORM.S.DIST(LN(M12/J12)/D12,TRUE))</x:f>
        <x:v>0.5739819215442641</x:v>
      </x:c>
      <x:c r="O12" s="22" t="n">
        <x:f>IF(M12&lt;E12,0,NORM.S.DIST(LN(M12/K12)/D12,TRUE))</x:f>
        <x:v>0.11056376992716344</x:v>
      </x:c>
      <x:c r="P12" s="22" t="n">
        <x:f>IF(L12="",0,IF(M12&lt;E12,0,NORM.S.DIST(LN(M12/L12)/D12,TRUE)))</x:f>
        <x:v>0</x:v>
      </x:c>
      <x:c r="Q12" s="22" t="n">
        <x:f>1-N12</x:f>
        <x:v>0.4260180784557359</x:v>
      </x:c>
      <x:c r="R12" s="22" t="n">
        <x:f>N12-O12</x:f>
        <x:v>0.46341815161710065</x:v>
      </x:c>
      <x:c r="S12" s="22" t="n">
        <x:f>O12-P12</x:f>
        <x:v>0.11056376992716344</x:v>
      </x:c>
      <x:c r="T12" s="22" t="n">
        <x:f>P12</x:f>
        <x:v>0</x:v>
      </x:c>
      <x:c r="U12" s="22" t="n">
        <x:f>R12*F12+S12*G12+T12*H12</x:f>
        <x:v>0.1569055850888735</x:v>
      </x:c>
    </x:row>
    <x:row r="13" ht="30" customHeight="1">
      <x:c r="A13" s="15" t="str">
        <x:v>tracker</x:v>
      </x:c>
      <x:c r="B13" s="15" t="str">
        <x:v>PV_TRACKER_MODULE_FIELD</x:v>
      </x:c>
      <x:c r="C13" s="15" t="str">
        <x:v>SWS2_SLC_TRACKER_MODULE_ORDERED_STATES</x:v>
      </x:c>
      <x:c r="D13" s="21" t="n">
        <x:v>0.275</x:v>
      </x:c>
      <x:c r="E13" s="21" t="n">
        <x:v>0.1</x:v>
      </x:c>
      <x:c r="F13" s="21" t="n">
        <x:v>0.1</x:v>
      </x:c>
      <x:c r="G13" s="21" t="n">
        <x:v>1</x:v>
      </x:c>
      <x:c r="H13" s="21" t="n">
        <x:v>0</x:v>
      </x:c>
      <x:c r="I13" s="21" t="str">
        <x:v>upper_resistance</x:v>
      </x:c>
      <x:c r="J13" s="21" t="n">
        <x:v>1.1</x:v>
      </x:c>
      <x:c r="K13" s="21" t="n">
        <x:v>1.7</x:v>
      </x:c>
      <x:c r="L13" s="21"/>
      <x:c r="M13" s="23" t="n">
        <x:v>1</x:v>
      </x:c>
      <x:c r="N13" s="21" t="n">
        <x:f>IF(M13&lt;E13,0,NORM.S.DIST(LN(M13/J13)/D13,TRUE))</x:f>
        <x:v>0.36445250797643447</x:v>
      </x:c>
      <x:c r="O13" s="21" t="n">
        <x:f>IF(M13&lt;E13,0,NORM.S.DIST(LN(M13/K13)/D13,TRUE))</x:f>
        <x:v>0.026830858386125478</x:v>
      </x:c>
      <x:c r="P13" s="21" t="n">
        <x:f>IF(L13="",0,IF(M13&lt;E13,0,NORM.S.DIST(LN(M13/L13)/D13,TRUE)))</x:f>
        <x:v>0</x:v>
      </x:c>
      <x:c r="Q13" s="21" t="n">
        <x:f>1-N13</x:f>
        <x:v>0.6355474920235655</x:v>
      </x:c>
      <x:c r="R13" s="21" t="n">
        <x:f>N13-O13</x:f>
        <x:v>0.337621649590309</x:v>
      </x:c>
      <x:c r="S13" s="21" t="n">
        <x:f>O13-P13</x:f>
        <x:v>0.026830858386125478</x:v>
      </x:c>
      <x:c r="T13" s="21" t="n">
        <x:f>P13</x:f>
        <x:v>0</x:v>
      </x:c>
      <x:c r="U13" s="21" t="n">
        <x:f>R13*F13+S13*G13+T13*H13</x:f>
        <x:v>0.06059302334515638</x:v>
      </x:c>
    </x:row>
    <x:row r="14" ht="30" customHeight="1">
      <x:c r="A14" s="16" t="str">
        <x:v>tracker</x:v>
      </x:c>
      <x:c r="B14" s="16" t="str">
        <x:v>PV_TRACKER_SBOS_ASSEMBLY</x:v>
      </x:c>
      <x:c r="C14" s="16" t="str">
        <x:v>SWS2_SLC_TRACKER_SBOS_ORDERED_STATES</x:v>
      </x:c>
      <x:c r="D14" s="22" t="n">
        <x:v>0.275</x:v>
      </x:c>
      <x:c r="E14" s="22" t="n">
        <x:v>0.1</x:v>
      </x:c>
      <x:c r="F14" s="22" t="n">
        <x:v>0.15</x:v>
      </x:c>
      <x:c r="G14" s="22" t="n">
        <x:v>1</x:v>
      </x:c>
      <x:c r="H14" s="22" t="n">
        <x:v>1</x:v>
      </x:c>
      <x:c r="I14" s="22" t="str">
        <x:v>lower_resistance</x:v>
      </x:c>
      <x:c r="J14" s="22" t="n">
        <x:v>0.95</x:v>
      </x:c>
      <x:c r="K14" s="22" t="n">
        <x:v>1.15</x:v>
      </x:c>
      <x:c r="L14" s="22" t="n">
        <x:v>1.35</x:v>
      </x:c>
      <x:c r="M14" s="23" t="n">
        <x:v>1</x:v>
      </x:c>
      <x:c r="N14" s="22" t="n">
        <x:f>IF(M14&lt;E14,0,NORM.S.DIST(LN(M14/J14)/D14,TRUE))</x:f>
        <x:v>0.5739819215442641</x:v>
      </x:c>
      <x:c r="O14" s="22" t="n">
        <x:f>IF(M14&lt;E14,0,NORM.S.DIST(LN(M14/K14)/D14,TRUE))</x:f>
        <x:v>0.30564769426872396</x:v>
      </x:c>
      <x:c r="P14" s="22" t="n">
        <x:f>IF(L14="",0,IF(M14&lt;E14,0,NORM.S.DIST(LN(M14/L14)/D14,TRUE)))</x:f>
        <x:v>0.137572774287189</x:v>
      </x:c>
      <x:c r="Q14" s="22" t="n">
        <x:f>1-N14</x:f>
        <x:v>0.4260180784557359</x:v>
      </x:c>
      <x:c r="R14" s="22" t="n">
        <x:f>N14-O14</x:f>
        <x:v>0.2683342272755401</x:v>
      </x:c>
      <x:c r="S14" s="22" t="n">
        <x:f>O14-P14</x:f>
        <x:v>0.16807491998153495</x:v>
      </x:c>
      <x:c r="T14" s="22" t="n">
        <x:f>P14</x:f>
        <x:v>0.137572774287189</x:v>
      </x:c>
      <x:c r="U14" s="22" t="n">
        <x:f>R14*F14+S14*G14+T14*H14</x:f>
        <x:v>0.345897828360055</x:v>
      </x:c>
    </x:row>
    <x:row r="15" ht="30" customHeight="1">
      <x:c r="A15" s="15" t="str">
        <x:v>tracker</x:v>
      </x:c>
      <x:c r="B15" s="15" t="str">
        <x:v>PV_TRACKER_SBOS_ASSEMBLY</x:v>
      </x:c>
      <x:c r="C15" s="15" t="str">
        <x:v>SWS2_SLC_TRACKER_SBOS_ORDERED_STATES</x:v>
      </x:c>
      <x:c r="D15" s="21" t="n">
        <x:v>0.275</x:v>
      </x:c>
      <x:c r="E15" s="21" t="n">
        <x:v>0.1</x:v>
      </x:c>
      <x:c r="F15" s="21" t="n">
        <x:v>0.15</x:v>
      </x:c>
      <x:c r="G15" s="21" t="n">
        <x:v>1</x:v>
      </x:c>
      <x:c r="H15" s="21" t="n">
        <x:v>1</x:v>
      </x:c>
      <x:c r="I15" s="21" t="str">
        <x:v>central_screening</x:v>
      </x:c>
      <x:c r="J15" s="21" t="n">
        <x:v>1.15</x:v>
      </x:c>
      <x:c r="K15" s="21" t="n">
        <x:v>1.4</x:v>
      </x:c>
      <x:c r="L15" s="21" t="n">
        <x:v>1.65</x:v>
      </x:c>
      <x:c r="M15" s="23" t="n">
        <x:v>1</x:v>
      </x:c>
      <x:c r="N15" s="21" t="n">
        <x:f>IF(M15&lt;E15,0,NORM.S.DIST(LN(M15/J15)/D15,TRUE))</x:f>
        <x:v>0.30564769426872396</x:v>
      </x:c>
      <x:c r="O15" s="21" t="n">
        <x:f>IF(M15&lt;E15,0,NORM.S.DIST(LN(M15/K15)/D15,TRUE))</x:f>
        <x:v>0.11056376992716344</x:v>
      </x:c>
      <x:c r="P15" s="21" t="n">
        <x:f>IF(L15="",0,IF(M15&lt;E15,0,NORM.S.DIST(LN(M15/L15)/D15,TRUE)))</x:f>
        <x:v>0.034303348859757</x:v>
      </x:c>
      <x:c r="Q15" s="21" t="n">
        <x:f>1-N15</x:f>
        <x:v>0.694352305731276</x:v>
      </x:c>
      <x:c r="R15" s="21" t="n">
        <x:f>N15-O15</x:f>
        <x:v>0.19508392434156052</x:v>
      </x:c>
      <x:c r="S15" s="21" t="n">
        <x:f>O15-P15</x:f>
        <x:v>0.07626042106740644</x:v>
      </x:c>
      <x:c r="T15" s="21" t="n">
        <x:f>P15</x:f>
        <x:v>0.034303348859757</x:v>
      </x:c>
      <x:c r="U15" s="21" t="n">
        <x:f>R15*F15+S15*G15+T15*H15</x:f>
        <x:v>0.1398263585783975</x:v>
      </x:c>
    </x:row>
    <x:row r="16" ht="30" customHeight="1">
      <x:c r="A16" s="16" t="str">
        <x:v>tracker</x:v>
      </x:c>
      <x:c r="B16" s="16" t="str">
        <x:v>PV_TRACKER_SBOS_ASSEMBLY</x:v>
      </x:c>
      <x:c r="C16" s="16" t="str">
        <x:v>SWS2_SLC_TRACKER_SBOS_ORDERED_STATES</x:v>
      </x:c>
      <x:c r="D16" s="22" t="n">
        <x:v>0.275</x:v>
      </x:c>
      <x:c r="E16" s="22" t="n">
        <x:v>0.1</x:v>
      </x:c>
      <x:c r="F16" s="22" t="n">
        <x:v>0.15</x:v>
      </x:c>
      <x:c r="G16" s="22" t="n">
        <x:v>1</x:v>
      </x:c>
      <x:c r="H16" s="22" t="n">
        <x:v>1</x:v>
      </x:c>
      <x:c r="I16" s="22" t="str">
        <x:v>upper_resistance</x:v>
      </x:c>
      <x:c r="J16" s="22" t="n">
        <x:v>1.35</x:v>
      </x:c>
      <x:c r="K16" s="22" t="n">
        <x:v>1.7</x:v>
      </x:c>
      <x:c r="L16" s="22" t="n">
        <x:v>2</x:v>
      </x:c>
      <x:c r="M16" s="23" t="n">
        <x:v>1</x:v>
      </x:c>
      <x:c r="N16" s="22" t="n">
        <x:f>IF(M16&lt;E16,0,NORM.S.DIST(LN(M16/J16)/D16,TRUE))</x:f>
        <x:v>0.137572774287189</x:v>
      </x:c>
      <x:c r="O16" s="22" t="n">
        <x:f>IF(M16&lt;E16,0,NORM.S.DIST(LN(M16/K16)/D16,TRUE))</x:f>
        <x:v>0.026830858386125478</x:v>
      </x:c>
      <x:c r="P16" s="22" t="n">
        <x:f>IF(L16="",0,IF(M16&lt;E16,0,NORM.S.DIST(LN(M16/L16)/D16,TRUE)))</x:f>
        <x:v>0.005858825857647965</x:v>
      </x:c>
      <x:c r="Q16" s="22" t="n">
        <x:f>1-N16</x:f>
        <x:v>0.8624272257128109</x:v>
      </x:c>
      <x:c r="R16" s="22" t="n">
        <x:f>N16-O16</x:f>
        <x:v>0.11074191590106353</x:v>
      </x:c>
      <x:c r="S16" s="22" t="n">
        <x:f>O16-P16</x:f>
        <x:v>0.020972032528477513</x:v>
      </x:c>
      <x:c r="T16" s="22" t="n">
        <x:f>P16</x:f>
        <x:v>0.005858825857647965</x:v>
      </x:c>
      <x:c r="U16" s="22" t="n">
        <x:f>R16*F16+S16*G16+T16*H16</x:f>
        <x:v>0.04344214577128501</x:v>
      </x:c>
    </x:row>
  </x:sheetData>
  <x:mergeCells>
    <x:mergeCell ref="A1:U1"/>
    <x:mergeCell ref="A2:U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8" customHeight="1">
      <x:c r="A1" s="47" t="str">
        <x:v>Central screening curve data</x:v>
      </x:c>
      <x:c r="B1" s="47"/>
      <x:c r="C1" s="47"/>
      <x:c r="D1" s="47"/>
      <x:c r="E1" s="47"/>
      <x:c r="F1" s="47"/>
    </x:row>
    <x:row r="2" ht="32" customHeight="1">
      <x:c r="A2" s="48" t="str">
        <x:v>Formula-backed values from the governed parameters; scenarios remain unweighted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 ht="28" customHeight="1">
      <x:c r="A4" s="52" t="str">
        <x:v>Demand index</x:v>
      </x:c>
      <x:c r="B4" s="52" t="str">
        <x:v>Fixed module</x:v>
      </x:c>
      <x:c r="C4" s="52" t="str">
        <x:v>Fixed structure</x:v>
      </x:c>
      <x:c r="D4" s="52" t="str">
        <x:v>Tracker module</x:v>
      </x:c>
      <x:c r="E4" s="52" t="str">
        <x:v>Tracker SBOS</x:v>
      </x:c>
      <x:c r="F4" s="49"/>
    </x:row>
    <x:row r="5" ht="30" customHeight="1">
      <x:c r="A5" s="24" t="n">
        <x:v>0</x:v>
      </x:c>
      <x:c r="B5" s="24" t="n">
        <x:f>IF(A5&lt;Curve_Records!$E$6,0,(NORM.S.DIST(LN(A5/Curve_Records!$J$6)/Curve_Records!$D$6,TRUE)-NORM.S.DIST(LN(A5/Curve_Records!$K$6)/Curve_Records!$D$6,TRUE))*Curve_Records!$F$6+(NORM.S.DIST(LN(A5/Curve_Records!$K$6)/Curve_Records!$D$6,TRUE)-IF(Curve_Records!$L$6="",0,NORM.S.DIST(LN(A5/Curve_Records!$L$6)/Curve_Records!$D$6,TRUE)))*Curve_Records!$G$6+IF(Curve_Records!$L$6="",0,NORM.S.DIST(LN(A5/Curve_Records!$L$6)/Curve_Records!$D$6,TRUE))*Curve_Records!$H$6)</x:f>
        <x:v>0</x:v>
      </x:c>
      <x:c r="C5" s="24" t="n">
        <x:f>IF(A5&lt;Curve_Records!$E$9,0,(NORM.S.DIST(LN(A5/Curve_Records!$J$9)/Curve_Records!$D$9,TRUE)-NORM.S.DIST(LN(A5/Curve_Records!$K$9)/Curve_Records!$D$9,TRUE))*Curve_Records!$F$9+(NORM.S.DIST(LN(A5/Curve_Records!$K$9)/Curve_Records!$D$9,TRUE)-IF(Curve_Records!$L$9="",0,NORM.S.DIST(LN(A5/Curve_Records!$L$9)/Curve_Records!$D$9,TRUE)))*Curve_Records!$G$9+IF(Curve_Records!$L$9="",0,NORM.S.DIST(LN(A5/Curve_Records!$L$9)/Curve_Records!$D$9,TRUE))*Curve_Records!$H$9)</x:f>
        <x:v>0</x:v>
      </x:c>
      <x:c r="D5" s="24" t="n">
        <x:f>IF(A5&lt;Curve_Records!$E$12,0,(NORM.S.DIST(LN(A5/Curve_Records!$J$12)/Curve_Records!$D$12,TRUE)-NORM.S.DIST(LN(A5/Curve_Records!$K$12)/Curve_Records!$D$12,TRUE))*Curve_Records!$F$12+(NORM.S.DIST(LN(A5/Curve_Records!$K$12)/Curve_Records!$D$12,TRUE)-IF(Curve_Records!$L$12="",0,NORM.S.DIST(LN(A5/Curve_Records!$L$12)/Curve_Records!$D$12,TRUE)))*Curve_Records!$G$12+IF(Curve_Records!$L$12="",0,NORM.S.DIST(LN(A5/Curve_Records!$L$12)/Curve_Records!$D$12,TRUE))*Curve_Records!$H$12)</x:f>
        <x:v>0</x:v>
      </x:c>
      <x:c r="E5" s="24" t="n">
        <x:f>IF(A5&lt;Curve_Records!$E$15,0,(NORM.S.DIST(LN(A5/Curve_Records!$J$15)/Curve_Records!$D$15,TRUE)-NORM.S.DIST(LN(A5/Curve_Records!$K$15)/Curve_Records!$D$15,TRUE))*Curve_Records!$F$15+(NORM.S.DIST(LN(A5/Curve_Records!$K$15)/Curve_Records!$D$15,TRUE)-IF(Curve_Records!$L$15="",0,NORM.S.DIST(LN(A5/Curve_Records!$L$15)/Curve_Records!$D$15,TRUE)))*Curve_Records!$G$15+IF(Curve_Records!$L$15="",0,NORM.S.DIST(LN(A5/Curve_Records!$L$15)/Curve_Records!$D$15,TRUE))*Curve_Records!$H$15)</x:f>
        <x:v>0</x:v>
      </x:c>
      <x:c r="F5" s="49"/>
    </x:row>
    <x:row r="6" ht="30" customHeight="1">
      <x:c r="A6" s="25" t="n">
        <x:v>0.05</x:v>
      </x:c>
      <x:c r="B6" s="25" t="n">
        <x:f>IF(A6&lt;Curve_Records!$E$6,0,(NORM.S.DIST(LN(A6/Curve_Records!$J$6)/Curve_Records!$D$6,TRUE)-NORM.S.DIST(LN(A6/Curve_Records!$K$6)/Curve_Records!$D$6,TRUE))*Curve_Records!$F$6+(NORM.S.DIST(LN(A6/Curve_Records!$K$6)/Curve_Records!$D$6,TRUE)-IF(Curve_Records!$L$6="",0,NORM.S.DIST(LN(A6/Curve_Records!$L$6)/Curve_Records!$D$6,TRUE)))*Curve_Records!$G$6+IF(Curve_Records!$L$6="",0,NORM.S.DIST(LN(A6/Curve_Records!$L$6)/Curve_Records!$D$6,TRUE))*Curve_Records!$H$6)</x:f>
        <x:v>0</x:v>
      </x:c>
      <x:c r="C6" s="25" t="n">
        <x:f>IF(A6&lt;Curve_Records!$E$9,0,(NORM.S.DIST(LN(A6/Curve_Records!$J$9)/Curve_Records!$D$9,TRUE)-NORM.S.DIST(LN(A6/Curve_Records!$K$9)/Curve_Records!$D$9,TRUE))*Curve_Records!$F$9+(NORM.S.DIST(LN(A6/Curve_Records!$K$9)/Curve_Records!$D$9,TRUE)-IF(Curve_Records!$L$9="",0,NORM.S.DIST(LN(A6/Curve_Records!$L$9)/Curve_Records!$D$9,TRUE)))*Curve_Records!$G$9+IF(Curve_Records!$L$9="",0,NORM.S.DIST(LN(A6/Curve_Records!$L$9)/Curve_Records!$D$9,TRUE))*Curve_Records!$H$9)</x:f>
        <x:v>0</x:v>
      </x:c>
      <x:c r="D6" s="25" t="n">
        <x:f>IF(A6&lt;Curve_Records!$E$12,0,(NORM.S.DIST(LN(A6/Curve_Records!$J$12)/Curve_Records!$D$12,TRUE)-NORM.S.DIST(LN(A6/Curve_Records!$K$12)/Curve_Records!$D$12,TRUE))*Curve_Records!$F$12+(NORM.S.DIST(LN(A6/Curve_Records!$K$12)/Curve_Records!$D$12,TRUE)-IF(Curve_Records!$L$12="",0,NORM.S.DIST(LN(A6/Curve_Records!$L$12)/Curve_Records!$D$12,TRUE)))*Curve_Records!$G$12+IF(Curve_Records!$L$12="",0,NORM.S.DIST(LN(A6/Curve_Records!$L$12)/Curve_Records!$D$12,TRUE))*Curve_Records!$H$12)</x:f>
        <x:v>0</x:v>
      </x:c>
      <x:c r="E6" s="25" t="n">
        <x:f>IF(A6&lt;Curve_Records!$E$15,0,(NORM.S.DIST(LN(A6/Curve_Records!$J$15)/Curve_Records!$D$15,TRUE)-NORM.S.DIST(LN(A6/Curve_Records!$K$15)/Curve_Records!$D$15,TRUE))*Curve_Records!$F$15+(NORM.S.DIST(LN(A6/Curve_Records!$K$15)/Curve_Records!$D$15,TRUE)-IF(Curve_Records!$L$15="",0,NORM.S.DIST(LN(A6/Curve_Records!$L$15)/Curve_Records!$D$15,TRUE)))*Curve_Records!$G$15+IF(Curve_Records!$L$15="",0,NORM.S.DIST(LN(A6/Curve_Records!$L$15)/Curve_Records!$D$15,TRUE))*Curve_Records!$H$15)</x:f>
        <x:v>0</x:v>
      </x:c>
      <x:c r="F6" s="49"/>
    </x:row>
    <x:row r="7" ht="30" customHeight="1">
      <x:c r="A7" s="24" t="n">
        <x:v>0.1</x:v>
      </x:c>
      <x:c r="B7" s="24" t="n">
        <x:f>IF(A7&lt;Curve_Records!$E$6,0,(NORM.S.DIST(LN(A7/Curve_Records!$J$6)/Curve_Records!$D$6,TRUE)-NORM.S.DIST(LN(A7/Curve_Records!$K$6)/Curve_Records!$D$6,TRUE))*Curve_Records!$F$6+(NORM.S.DIST(LN(A7/Curve_Records!$K$6)/Curve_Records!$D$6,TRUE)-IF(Curve_Records!$L$6="",0,NORM.S.DIST(LN(A7/Curve_Records!$L$6)/Curve_Records!$D$6,TRUE)))*Curve_Records!$G$6+IF(Curve_Records!$L$6="",0,NORM.S.DIST(LN(A7/Curve_Records!$L$6)/Curve_Records!$D$6,TRUE))*Curve_Records!$H$6)</x:f>
        <x:v>4.8905324234738146e-14</x:v>
      </x:c>
      <x:c r="C7" s="24" t="n">
        <x:f>IF(A7&lt;Curve_Records!$E$9,0,(NORM.S.DIST(LN(A7/Curve_Records!$J$9)/Curve_Records!$D$9,TRUE)-NORM.S.DIST(LN(A7/Curve_Records!$K$9)/Curve_Records!$D$9,TRUE))*Curve_Records!$F$9+(NORM.S.DIST(LN(A7/Curve_Records!$K$9)/Curve_Records!$D$9,TRUE)-IF(Curve_Records!$L$9="",0,NORM.S.DIST(LN(A7/Curve_Records!$L$9)/Curve_Records!$D$9,TRUE)))*Curve_Records!$G$9+IF(Curve_Records!$L$9="",0,NORM.S.DIST(LN(A7/Curve_Records!$L$9)/Curve_Records!$D$9,TRUE))*Curve_Records!$H$9)</x:f>
        <x:v>3.3306690738754695e-17</x:v>
      </x:c>
      <x:c r="D7" s="24" t="n">
        <x:f>IF(A7&lt;Curve_Records!$E$12,0,(NORM.S.DIST(LN(A7/Curve_Records!$J$12)/Curve_Records!$D$12,TRUE)-NORM.S.DIST(LN(A7/Curve_Records!$K$12)/Curve_Records!$D$12,TRUE))*Curve_Records!$F$12+(NORM.S.DIST(LN(A7/Curve_Records!$K$12)/Curve_Records!$D$12,TRUE)-IF(Curve_Records!$L$12="",0,NORM.S.DIST(LN(A7/Curve_Records!$L$12)/Curve_Records!$D$12,TRUE)))*Curve_Records!$G$12+IF(Curve_Records!$L$12="",0,NORM.S.DIST(LN(A7/Curve_Records!$L$12)/Curve_Records!$D$12,TRUE))*Curve_Records!$H$12)</x:f>
        <x:v>1.1102230246251566e-17</x:v>
      </x:c>
      <x:c r="E7" s="24" t="n">
        <x:f>IF(A7&lt;Curve_Records!$E$15,0,(NORM.S.DIST(LN(A7/Curve_Records!$J$15)/Curve_Records!$D$15,TRUE)-NORM.S.DIST(LN(A7/Curve_Records!$K$15)/Curve_Records!$D$15,TRUE))*Curve_Records!$F$15+(NORM.S.DIST(LN(A7/Curve_Records!$K$15)/Curve_Records!$D$15,TRUE)-IF(Curve_Records!$L$15="",0,NORM.S.DIST(LN(A7/Curve_Records!$L$15)/Curve_Records!$D$15,TRUE)))*Curve_Records!$G$15+IF(Curve_Records!$L$15="",0,NORM.S.DIST(LN(A7/Curve_Records!$L$15)/Curve_Records!$D$15,TRUE))*Curve_Records!$H$15)</x:f>
        <x:v>0</x:v>
      </x:c>
      <x:c r="F7" s="49"/>
    </x:row>
    <x:row r="8" ht="30" customHeight="1">
      <x:c r="A8" s="25" t="n">
        <x:v>0.15000000000000002</x:v>
      </x:c>
      <x:c r="B8" s="25" t="n">
        <x:f>IF(A8&lt;Curve_Records!$E$6,0,(NORM.S.DIST(LN(A8/Curve_Records!$J$6)/Curve_Records!$D$6,TRUE)-NORM.S.DIST(LN(A8/Curve_Records!$K$6)/Curve_Records!$D$6,TRUE))*Curve_Records!$F$6+(NORM.S.DIST(LN(A8/Curve_Records!$K$6)/Curve_Records!$D$6,TRUE)-IF(Curve_Records!$L$6="",0,NORM.S.DIST(LN(A8/Curve_Records!$L$6)/Curve_Records!$D$6,TRUE)))*Curve_Records!$G$6+IF(Curve_Records!$L$6="",0,NORM.S.DIST(LN(A8/Curve_Records!$L$6)/Curve_Records!$D$6,TRUE))*Curve_Records!$H$6)</x:f>
        <x:v>3.690839689429737e-10</x:v>
      </x:c>
      <x:c r="C8" s="25" t="n">
        <x:f>IF(A8&lt;Curve_Records!$E$9,0,(NORM.S.DIST(LN(A8/Curve_Records!$J$9)/Curve_Records!$D$9,TRUE)-NORM.S.DIST(LN(A8/Curve_Records!$K$9)/Curve_Records!$D$9,TRUE))*Curve_Records!$F$9+(NORM.S.DIST(LN(A8/Curve_Records!$K$9)/Curve_Records!$D$9,TRUE)-IF(Curve_Records!$L$9="",0,NORM.S.DIST(LN(A8/Curve_Records!$L$9)/Curve_Records!$D$9,TRUE)))*Curve_Records!$G$9+IF(Curve_Records!$L$9="",0,NORM.S.DIST(LN(A8/Curve_Records!$L$9)/Curve_Records!$D$9,TRUE))*Curve_Records!$H$9)</x:f>
        <x:v>8.462730516356486e-13</x:v>
      </x:c>
      <x:c r="D8" s="25" t="n">
        <x:f>IF(A8&lt;Curve_Records!$E$12,0,(NORM.S.DIST(LN(A8/Curve_Records!$J$12)/Curve_Records!$D$12,TRUE)-NORM.S.DIST(LN(A8/Curve_Records!$K$12)/Curve_Records!$D$12,TRUE))*Curve_Records!$F$12+(NORM.S.DIST(LN(A8/Curve_Records!$K$12)/Curve_Records!$D$12,TRUE)-IF(Curve_Records!$L$12="",0,NORM.S.DIST(LN(A8/Curve_Records!$L$12)/Curve_Records!$D$12,TRUE)))*Curve_Records!$G$12+IF(Curve_Records!$L$12="",0,NORM.S.DIST(LN(A8/Curve_Records!$L$12)/Curve_Records!$D$12,TRUE))*Curve_Records!$H$12)</x:f>
        <x:v>9.59432533420568e-13</x:v>
      </x:c>
      <x:c r="E8" s="25" t="n">
        <x:f>IF(A8&lt;Curve_Records!$E$15,0,(NORM.S.DIST(LN(A8/Curve_Records!$J$15)/Curve_Records!$D$15,TRUE)-NORM.S.DIST(LN(A8/Curve_Records!$K$15)/Curve_Records!$D$15,TRUE))*Curve_Records!$F$15+(NORM.S.DIST(LN(A8/Curve_Records!$K$15)/Curve_Records!$D$15,TRUE)-IF(Curve_Records!$L$15="",0,NORM.S.DIST(LN(A8/Curve_Records!$L$15)/Curve_Records!$D$15,TRUE)))*Curve_Records!$G$15+IF(Curve_Records!$L$15="",0,NORM.S.DIST(LN(A8/Curve_Records!$L$15)/Curve_Records!$D$15,TRUE))*Curve_Records!$H$15)</x:f>
        <x:v>9.889311591848582e-15</x:v>
      </x:c>
      <x:c r="F8" s="49"/>
    </x:row>
    <x:row r="9" ht="30" customHeight="1">
      <x:c r="A9" s="24" t="n">
        <x:v>0.2</x:v>
      </x:c>
      <x:c r="B9" s="24" t="n">
        <x:f>IF(A9&lt;Curve_Records!$E$6,0,(NORM.S.DIST(LN(A9/Curve_Records!$J$6)/Curve_Records!$D$6,TRUE)-NORM.S.DIST(LN(A9/Curve_Records!$K$6)/Curve_Records!$D$6,TRUE))*Curve_Records!$F$6+(NORM.S.DIST(LN(A9/Curve_Records!$K$6)/Curve_Records!$D$6,TRUE)-IF(Curve_Records!$L$6="",0,NORM.S.DIST(LN(A9/Curve_Records!$L$6)/Curve_Records!$D$6,TRUE)))*Curve_Records!$G$6+IF(Curve_Records!$L$6="",0,NORM.S.DIST(LN(A9/Curve_Records!$L$6)/Curve_Records!$D$6,TRUE))*Curve_Records!$H$6)</x:f>
        <x:v>7.068898800755008e-8</x:v>
      </x:c>
      <x:c r="C9" s="24" t="n">
        <x:f>IF(A9&lt;Curve_Records!$E$9,0,(NORM.S.DIST(LN(A9/Curve_Records!$J$9)/Curve_Records!$D$9,TRUE)-NORM.S.DIST(LN(A9/Curve_Records!$K$9)/Curve_Records!$D$9,TRUE))*Curve_Records!$F$9+(NORM.S.DIST(LN(A9/Curve_Records!$K$9)/Curve_Records!$D$9,TRUE)-IF(Curve_Records!$L$9="",0,NORM.S.DIST(LN(A9/Curve_Records!$L$9)/Curve_Records!$D$9,TRUE)))*Curve_Records!$G$9+IF(Curve_Records!$L$9="",0,NORM.S.DIST(LN(A9/Curve_Records!$L$9)/Curve_Records!$D$9,TRUE))*Curve_Records!$H$9)</x:f>
        <x:v>4.1776907211410473e-10</x:v>
      </x:c>
      <x:c r="D9" s="24" t="n">
        <x:f>IF(A9&lt;Curve_Records!$E$12,0,(NORM.S.DIST(LN(A9/Curve_Records!$J$12)/Curve_Records!$D$12,TRUE)-NORM.S.DIST(LN(A9/Curve_Records!$K$12)/Curve_Records!$D$12,TRUE))*Curve_Records!$F$12+(NORM.S.DIST(LN(A9/Curve_Records!$K$12)/Curve_Records!$D$12,TRUE)-IF(Curve_Records!$L$12="",0,NORM.S.DIST(LN(A9/Curve_Records!$L$12)/Curve_Records!$D$12,TRUE)))*Curve_Records!$G$12+IF(Curve_Records!$L$12="",0,NORM.S.DIST(LN(A9/Curve_Records!$L$12)/Curve_Records!$D$12,TRUE))*Curve_Records!$H$12)</x:f>
        <x:v>7.315985706135564e-10</x:v>
      </x:c>
      <x:c r="E9" s="24" t="n">
        <x:f>IF(A9&lt;Curve_Records!$E$15,0,(NORM.S.DIST(LN(A9/Curve_Records!$J$15)/Curve_Records!$D$15,TRUE)-NORM.S.DIST(LN(A9/Curve_Records!$K$15)/Curve_Records!$D$15,TRUE))*Curve_Records!$F$15+(NORM.S.DIST(LN(A9/Curve_Records!$K$15)/Curve_Records!$D$15,TRUE)-IF(Curve_Records!$L$15="",0,NORM.S.DIST(LN(A9/Curve_Records!$L$15)/Curve_Records!$D$15,TRUE)))*Curve_Records!$G$15+IF(Curve_Records!$L$15="",0,NORM.S.DIST(LN(A9/Curve_Records!$L$15)/Curve_Records!$D$15,TRUE))*Curve_Records!$H$15)</x:f>
        <x:v>1.5690534982404358e-11</x:v>
      </x:c>
      <x:c r="F9" s="49"/>
    </x:row>
    <x:row r="10" ht="30" customHeight="1">
      <x:c r="A10" s="25" t="n">
        <x:v>0.25</x:v>
      </x:c>
      <x:c r="B10" s="25" t="n">
        <x:f>IF(A10&lt;Curve_Records!$E$6,0,(NORM.S.DIST(LN(A10/Curve_Records!$J$6)/Curve_Records!$D$6,TRUE)-NORM.S.DIST(LN(A10/Curve_Records!$K$6)/Curve_Records!$D$6,TRUE))*Curve_Records!$F$6+(NORM.S.DIST(LN(A10/Curve_Records!$K$6)/Curve_Records!$D$6,TRUE)-IF(Curve_Records!$L$6="",0,NORM.S.DIST(LN(A10/Curve_Records!$L$6)/Curve_Records!$D$6,TRUE)))*Curve_Records!$G$6+IF(Curve_Records!$L$6="",0,NORM.S.DIST(LN(A10/Curve_Records!$L$6)/Curve_Records!$D$6,TRUE))*Curve_Records!$H$6)</x:f>
        <x:v>0.0000022595821312754174</x:v>
      </x:c>
      <x:c r="C10" s="25" t="n">
        <x:f>IF(A10&lt;Curve_Records!$E$9,0,(NORM.S.DIST(LN(A10/Curve_Records!$J$9)/Curve_Records!$D$9,TRUE)-NORM.S.DIST(LN(A10/Curve_Records!$K$9)/Curve_Records!$D$9,TRUE))*Curve_Records!$F$9+(NORM.S.DIST(LN(A10/Curve_Records!$K$9)/Curve_Records!$D$9,TRUE)-IF(Curve_Records!$L$9="",0,NORM.S.DIST(LN(A10/Curve_Records!$L$9)/Curve_Records!$D$9,TRUE)))*Curve_Records!$G$9+IF(Curve_Records!$L$9="",0,NORM.S.DIST(LN(A10/Curve_Records!$L$9)/Curve_Records!$D$9,TRUE))*Curve_Records!$H$9)</x:f>
        <x:v>2.7808816108199074e-8</x:v>
      </x:c>
      <x:c r="D10" s="25" t="n">
        <x:f>IF(A10&lt;Curve_Records!$E$12,0,(NORM.S.DIST(LN(A10/Curve_Records!$J$12)/Curve_Records!$D$12,TRUE)-NORM.S.DIST(LN(A10/Curve_Records!$K$12)/Curve_Records!$D$12,TRUE))*Curve_Records!$F$12+(NORM.S.DIST(LN(A10/Curve_Records!$K$12)/Curve_Records!$D$12,TRUE)-IF(Curve_Records!$L$12="",0,NORM.S.DIST(LN(A10/Curve_Records!$L$12)/Curve_Records!$D$12,TRUE)))*Curve_Records!$G$12+IF(Curve_Records!$L$12="",0,NORM.S.DIST(LN(A10/Curve_Records!$L$12)/Curve_Records!$D$12,TRUE))*Curve_Records!$H$12)</x:f>
        <x:v>6.049861128176737e-8</x:v>
      </x:c>
      <x:c r="E10" s="25" t="n">
        <x:f>IF(A10&lt;Curve_Records!$E$15,0,(NORM.S.DIST(LN(A10/Curve_Records!$J$15)/Curve_Records!$D$15,TRUE)-NORM.S.DIST(LN(A10/Curve_Records!$K$15)/Curve_Records!$D$15,TRUE))*Curve_Records!$F$15+(NORM.S.DIST(LN(A10/Curve_Records!$K$15)/Curve_Records!$D$15,TRUE)-IF(Curve_Records!$L$15="",0,NORM.S.DIST(LN(A10/Curve_Records!$L$15)/Curve_Records!$D$15,TRUE)))*Curve_Records!$G$15+IF(Curve_Records!$L$15="",0,NORM.S.DIST(LN(A10/Curve_Records!$L$15)/Curve_Records!$D$15,TRUE))*Curve_Records!$H$15)</x:f>
        <x:v>2.3100230145400857e-9</x:v>
      </x:c>
      <x:c r="F10" s="49"/>
    </x:row>
    <x:row r="11" ht="30" customHeight="1">
      <x:c r="A11" s="24" t="n">
        <x:v>0.30000000000000004</x:v>
      </x:c>
      <x:c r="B11" s="24" t="n">
        <x:f>IF(A11&lt;Curve_Records!$E$6,0,(NORM.S.DIST(LN(A11/Curve_Records!$J$6)/Curve_Records!$D$6,TRUE)-NORM.S.DIST(LN(A11/Curve_Records!$K$6)/Curve_Records!$D$6,TRUE))*Curve_Records!$F$6+(NORM.S.DIST(LN(A11/Curve_Records!$K$6)/Curve_Records!$D$6,TRUE)-IF(Curve_Records!$L$6="",0,NORM.S.DIST(LN(A11/Curve_Records!$L$6)/Curve_Records!$D$6,TRUE)))*Curve_Records!$G$6+IF(Curve_Records!$L$6="",0,NORM.S.DIST(LN(A11/Curve_Records!$L$6)/Curve_Records!$D$6,TRUE))*Curve_Records!$H$6)</x:f>
        <x:v>0.000025896510894807268</x:v>
      </x:c>
      <x:c r="C11" s="24" t="n">
        <x:f>IF(A11&lt;Curve_Records!$E$9,0,(NORM.S.DIST(LN(A11/Curve_Records!$J$9)/Curve_Records!$D$9,TRUE)-NORM.S.DIST(LN(A11/Curve_Records!$K$9)/Curve_Records!$D$9,TRUE))*Curve_Records!$F$9+(NORM.S.DIST(LN(A11/Curve_Records!$K$9)/Curve_Records!$D$9,TRUE)-IF(Curve_Records!$L$9="",0,NORM.S.DIST(LN(A11/Curve_Records!$L$9)/Curve_Records!$D$9,TRUE)))*Curve_Records!$G$9+IF(Curve_Records!$L$9="",0,NORM.S.DIST(LN(A11/Curve_Records!$L$9)/Curve_Records!$D$9,TRUE))*Curve_Records!$H$9)</x:f>
        <x:v>5.808362129294808e-7</x:v>
      </x:c>
      <x:c r="D11" s="24" t="n">
        <x:f>IF(A11&lt;Curve_Records!$E$12,0,(NORM.S.DIST(LN(A11/Curve_Records!$J$12)/Curve_Records!$D$12,TRUE)-NORM.S.DIST(LN(A11/Curve_Records!$K$12)/Curve_Records!$D$12,TRUE))*Curve_Records!$F$12+(NORM.S.DIST(LN(A11/Curve_Records!$K$12)/Curve_Records!$D$12,TRUE)-IF(Curve_Records!$L$12="",0,NORM.S.DIST(LN(A11/Curve_Records!$L$12)/Curve_Records!$D$12,TRUE)))*Curve_Records!$G$12+IF(Curve_Records!$L$12="",0,NORM.S.DIST(LN(A11/Curve_Records!$L$12)/Curve_Records!$D$12,TRUE))*Curve_Records!$H$12)</x:f>
        <x:v>0.0000013947593528851332</x:v>
      </x:c>
      <x:c r="E11" s="24" t="n">
        <x:f>IF(A11&lt;Curve_Records!$E$15,0,(NORM.S.DIST(LN(A11/Curve_Records!$J$15)/Curve_Records!$D$15,TRUE)-NORM.S.DIST(LN(A11/Curve_Records!$K$15)/Curve_Records!$D$15,TRUE))*Curve_Records!$F$15+(NORM.S.DIST(LN(A11/Curve_Records!$K$15)/Curve_Records!$D$15,TRUE)-IF(Curve_Records!$L$15="",0,NORM.S.DIST(LN(A11/Curve_Records!$L$15)/Curve_Records!$D$15,TRUE)))*Curve_Records!$G$15+IF(Curve_Records!$L$15="",0,NORM.S.DIST(LN(A11/Curve_Records!$L$15)/Curve_Records!$D$15,TRUE))*Curve_Records!$H$15)</x:f>
        <x:v>8.608354226669057e-8</x:v>
      </x:c>
      <x:c r="F11" s="49"/>
    </x:row>
    <x:row r="12" ht="30" customHeight="1">
      <x:c r="A12" s="25" t="n">
        <x:v>0.35000000000000003</x:v>
      </x:c>
      <x:c r="B12" s="25" t="n">
        <x:f>IF(A12&lt;Curve_Records!$E$6,0,(NORM.S.DIST(LN(A12/Curve_Records!$J$6)/Curve_Records!$D$6,TRUE)-NORM.S.DIST(LN(A12/Curve_Records!$K$6)/Curve_Records!$D$6,TRUE))*Curve_Records!$F$6+(NORM.S.DIST(LN(A12/Curve_Records!$K$6)/Curve_Records!$D$6,TRUE)-IF(Curve_Records!$L$6="",0,NORM.S.DIST(LN(A12/Curve_Records!$L$6)/Curve_Records!$D$6,TRUE)))*Curve_Records!$G$6+IF(Curve_Records!$L$6="",0,NORM.S.DIST(LN(A12/Curve_Records!$L$6)/Curve_Records!$D$6,TRUE))*Curve_Records!$H$6)</x:f>
        <x:v>0.00015530000832011948</x:v>
      </x:c>
      <x:c r="C12" s="25" t="n">
        <x:f>IF(A12&lt;Curve_Records!$E$9,0,(NORM.S.DIST(LN(A12/Curve_Records!$J$9)/Curve_Records!$D$9,TRUE)-NORM.S.DIST(LN(A12/Curve_Records!$K$9)/Curve_Records!$D$9,TRUE))*Curve_Records!$F$9+(NORM.S.DIST(LN(A12/Curve_Records!$K$9)/Curve_Records!$D$9,TRUE)-IF(Curve_Records!$L$9="",0,NORM.S.DIST(LN(A12/Curve_Records!$L$9)/Curve_Records!$D$9,TRUE)))*Curve_Records!$G$9+IF(Curve_Records!$L$9="",0,NORM.S.DIST(LN(A12/Curve_Records!$L$9)/Curve_Records!$D$9,TRUE))*Curve_Records!$H$9)</x:f>
        <x:v>0.0000057974330313737</x:v>
      </x:c>
      <x:c r="D12" s="25" t="n">
        <x:f>IF(A12&lt;Curve_Records!$E$12,0,(NORM.S.DIST(LN(A12/Curve_Records!$J$12)/Curve_Records!$D$12,TRUE)-NORM.S.DIST(LN(A12/Curve_Records!$K$12)/Curve_Records!$D$12,TRUE))*Curve_Records!$F$12+(NORM.S.DIST(LN(A12/Curve_Records!$K$12)/Curve_Records!$D$12,TRUE)-IF(Curve_Records!$L$12="",0,NORM.S.DIST(LN(A12/Curve_Records!$L$12)/Curve_Records!$D$12,TRUE)))*Curve_Records!$G$12+IF(Curve_Records!$L$12="",0,NORM.S.DIST(LN(A12/Curve_Records!$L$12)/Curve_Records!$D$12,TRUE))*Curve_Records!$H$12)</x:f>
        <x:v>0.000014323818165318249</x:v>
      </x:c>
      <x:c r="E12" s="25" t="n">
        <x:f>IF(A12&lt;Curve_Records!$E$15,0,(NORM.S.DIST(LN(A12/Curve_Records!$J$15)/Curve_Records!$D$15,TRUE)-NORM.S.DIST(LN(A12/Curve_Records!$K$15)/Curve_Records!$D$15,TRUE))*Curve_Records!$F$15+(NORM.S.DIST(LN(A12/Curve_Records!$K$15)/Curve_Records!$D$15,TRUE)-IF(Curve_Records!$L$15="",0,NORM.S.DIST(LN(A12/Curve_Records!$L$15)/Curve_Records!$D$15,TRUE)))*Curve_Records!$G$15+IF(Curve_Records!$L$15="",0,NORM.S.DIST(LN(A12/Curve_Records!$L$15)/Curve_Records!$D$15,TRUE))*Curve_Records!$H$15)</x:f>
        <x:v>0.0000013367975740669058</x:v>
      </x:c>
      <x:c r="F12" s="49"/>
    </x:row>
    <x:row r="13" ht="30" customHeight="1">
      <x:c r="A13" s="24" t="n">
        <x:v>0.4</x:v>
      </x:c>
      <x:c r="B13" s="24" t="n">
        <x:f>IF(A13&lt;Curve_Records!$E$6,0,(NORM.S.DIST(LN(A13/Curve_Records!$J$6)/Curve_Records!$D$6,TRUE)-NORM.S.DIST(LN(A13/Curve_Records!$K$6)/Curve_Records!$D$6,TRUE))*Curve_Records!$F$6+(NORM.S.DIST(LN(A13/Curve_Records!$K$6)/Curve_Records!$D$6,TRUE)-IF(Curve_Records!$L$6="",0,NORM.S.DIST(LN(A13/Curve_Records!$L$6)/Curve_Records!$D$6,TRUE)))*Curve_Records!$G$6+IF(Curve_Records!$L$6="",0,NORM.S.DIST(LN(A13/Curve_Records!$L$6)/Curve_Records!$D$6,TRUE))*Curve_Records!$H$6)</x:f>
        <x:v>0.0006021192881906835</x:v>
      </x:c>
      <x:c r="C13" s="24" t="n">
        <x:f>IF(A13&lt;Curve_Records!$E$9,0,(NORM.S.DIST(LN(A13/Curve_Records!$J$9)/Curve_Records!$D$9,TRUE)-NORM.S.DIST(LN(A13/Curve_Records!$K$9)/Curve_Records!$D$9,TRUE))*Curve_Records!$F$9+(NORM.S.DIST(LN(A13/Curve_Records!$K$9)/Curve_Records!$D$9,TRUE)-IF(Curve_Records!$L$9="",0,NORM.S.DIST(LN(A13/Curve_Records!$L$9)/Curve_Records!$D$9,TRUE)))*Curve_Records!$G$9+IF(Curve_Records!$L$9="",0,NORM.S.DIST(LN(A13/Curve_Records!$L$9)/Curve_Records!$D$9,TRUE))*Curve_Records!$H$9)</x:f>
        <x:v>0.0000350336211684954</x:v>
      </x:c>
      <x:c r="D13" s="24" t="n">
        <x:f>IF(A13&lt;Curve_Records!$E$12,0,(NORM.S.DIST(LN(A13/Curve_Records!$J$12)/Curve_Records!$D$12,TRUE)-NORM.S.DIST(LN(A13/Curve_Records!$K$12)/Curve_Records!$D$12,TRUE))*Curve_Records!$F$12+(NORM.S.DIST(LN(A13/Curve_Records!$K$12)/Curve_Records!$D$12,TRUE)-IF(Curve_Records!$L$12="",0,NORM.S.DIST(LN(A13/Curve_Records!$L$12)/Curve_Records!$D$12,TRUE)))*Curve_Records!$G$12+IF(Curve_Records!$L$12="",0,NORM.S.DIST(LN(A13/Curve_Records!$L$12)/Curve_Records!$D$12,TRUE))*Curve_Records!$H$12)</x:f>
        <x:v>0.00008526885322029942</x:v>
      </x:c>
      <x:c r="E13" s="24" t="n">
        <x:f>IF(A13&lt;Curve_Records!$E$15,0,(NORM.S.DIST(LN(A13/Curve_Records!$J$15)/Curve_Records!$D$15,TRUE)-NORM.S.DIST(LN(A13/Curve_Records!$K$15)/Curve_Records!$D$15,TRUE))*Curve_Records!$F$15+(NORM.S.DIST(LN(A13/Curve_Records!$K$15)/Curve_Records!$D$15,TRUE)-IF(Curve_Records!$L$15="",0,NORM.S.DIST(LN(A13/Curve_Records!$L$15)/Curve_Records!$D$15,TRUE)))*Curve_Records!$G$15+IF(Curve_Records!$L$15="",0,NORM.S.DIST(LN(A13/Curve_Records!$L$15)/Curve_Records!$D$15,TRUE))*Curve_Records!$H$15)</x:f>
        <x:v>0.000011441455864727446</x:v>
      </x:c>
      <x:c r="F13" s="49"/>
    </x:row>
    <x:row r="14" ht="30" customHeight="1">
      <x:c r="A14" s="25" t="n">
        <x:v>0.45</x:v>
      </x:c>
      <x:c r="B14" s="25" t="n">
        <x:f>IF(A14&lt;Curve_Records!$E$6,0,(NORM.S.DIST(LN(A14/Curve_Records!$J$6)/Curve_Records!$D$6,TRUE)-NORM.S.DIST(LN(A14/Curve_Records!$K$6)/Curve_Records!$D$6,TRUE))*Curve_Records!$F$6+(NORM.S.DIST(LN(A14/Curve_Records!$K$6)/Curve_Records!$D$6,TRUE)-IF(Curve_Records!$L$6="",0,NORM.S.DIST(LN(A14/Curve_Records!$L$6)/Curve_Records!$D$6,TRUE)))*Curve_Records!$G$6+IF(Curve_Records!$L$6="",0,NORM.S.DIST(LN(A14/Curve_Records!$L$6)/Curve_Records!$D$6,TRUE))*Curve_Records!$H$6)</x:f>
        <x:v>0.0017173222940836787</x:v>
      </x:c>
      <x:c r="C14" s="25" t="n">
        <x:f>IF(A14&lt;Curve_Records!$E$9,0,(NORM.S.DIST(LN(A14/Curve_Records!$J$9)/Curve_Records!$D$9,TRUE)-NORM.S.DIST(LN(A14/Curve_Records!$K$9)/Curve_Records!$D$9,TRUE))*Curve_Records!$F$9+(NORM.S.DIST(LN(A14/Curve_Records!$K$9)/Curve_Records!$D$9,TRUE)-IF(Curve_Records!$L$9="",0,NORM.S.DIST(LN(A14/Curve_Records!$L$9)/Curve_Records!$D$9,TRUE)))*Curve_Records!$G$9+IF(Curve_Records!$L$9="",0,NORM.S.DIST(LN(A14/Curve_Records!$L$9)/Curve_Records!$D$9,TRUE))*Curve_Records!$H$9)</x:f>
        <x:v>0.0001481207723799699</x:v>
      </x:c>
      <x:c r="D14" s="25" t="n">
        <x:f>IF(A14&lt;Curve_Records!$E$12,0,(NORM.S.DIST(LN(A14/Curve_Records!$J$12)/Curve_Records!$D$12,TRUE)-NORM.S.DIST(LN(A14/Curve_Records!$K$12)/Curve_Records!$D$12,TRUE))*Curve_Records!$F$12+(NORM.S.DIST(LN(A14/Curve_Records!$K$12)/Curve_Records!$D$12,TRUE)-IF(Curve_Records!$L$12="",0,NORM.S.DIST(LN(A14/Curve_Records!$L$12)/Curve_Records!$D$12,TRUE)))*Curve_Records!$G$12+IF(Curve_Records!$L$12="",0,NORM.S.DIST(LN(A14/Curve_Records!$L$12)/Curve_Records!$D$12,TRUE))*Curve_Records!$H$12)</x:f>
        <x:v>0.0003457648078311282</x:v>
      </x:c>
      <x:c r="E14" s="25" t="n">
        <x:f>IF(A14&lt;Curve_Records!$E$15,0,(NORM.S.DIST(LN(A14/Curve_Records!$J$15)/Curve_Records!$D$15,TRUE)-NORM.S.DIST(LN(A14/Curve_Records!$K$15)/Curve_Records!$D$15,TRUE))*Curve_Records!$F$15+(NORM.S.DIST(LN(A14/Curve_Records!$K$15)/Curve_Records!$D$15,TRUE)-IF(Curve_Records!$L$15="",0,NORM.S.DIST(LN(A14/Curve_Records!$L$15)/Curve_Records!$D$15,TRUE)))*Curve_Records!$G$15+IF(Curve_Records!$L$15="",0,NORM.S.DIST(LN(A14/Curve_Records!$L$15)/Curve_Records!$D$15,TRUE))*Curve_Records!$H$15)</x:f>
        <x:v>0.0000639919924280724</x:v>
      </x:c>
      <x:c r="F14" s="49"/>
    </x:row>
    <x:row r="15" ht="30" customHeight="1">
      <x:c r="A15" s="24" t="n">
        <x:v>0.5</x:v>
      </x:c>
      <x:c r="B15" s="24" t="n">
        <x:f>IF(A15&lt;Curve_Records!$E$6,0,(NORM.S.DIST(LN(A15/Curve_Records!$J$6)/Curve_Records!$D$6,TRUE)-NORM.S.DIST(LN(A15/Curve_Records!$K$6)/Curve_Records!$D$6,TRUE))*Curve_Records!$F$6+(NORM.S.DIST(LN(A15/Curve_Records!$K$6)/Curve_Records!$D$6,TRUE)-IF(Curve_Records!$L$6="",0,NORM.S.DIST(LN(A15/Curve_Records!$L$6)/Curve_Records!$D$6,TRUE)))*Curve_Records!$G$6+IF(Curve_Records!$L$6="",0,NORM.S.DIST(LN(A15/Curve_Records!$L$6)/Curve_Records!$D$6,TRUE))*Curve_Records!$H$6)</x:f>
        <x:v>0.003919757601827262</x:v>
      </x:c>
      <x:c r="C15" s="24" t="n">
        <x:f>IF(A15&lt;Curve_Records!$E$9,0,(NORM.S.DIST(LN(A15/Curve_Records!$J$9)/Curve_Records!$D$9,TRUE)-NORM.S.DIST(LN(A15/Curve_Records!$K$9)/Curve_Records!$D$9,TRUE))*Curve_Records!$F$9+(NORM.S.DIST(LN(A15/Curve_Records!$K$9)/Curve_Records!$D$9,TRUE)-IF(Curve_Records!$L$9="",0,NORM.S.DIST(LN(A15/Curve_Records!$L$9)/Curve_Records!$D$9,TRUE)))*Curve_Records!$G$9+IF(Curve_Records!$L$9="",0,NORM.S.DIST(LN(A15/Curve_Records!$L$9)/Curve_Records!$D$9,TRUE))*Curve_Records!$H$9)</x:f>
        <x:v>0.00048128856229770755</x:v>
      </x:c>
      <x:c r="D15" s="24" t="n">
        <x:f>IF(A15&lt;Curve_Records!$E$12,0,(NORM.S.DIST(LN(A15/Curve_Records!$J$12)/Curve_Records!$D$12,TRUE)-NORM.S.DIST(LN(A15/Curve_Records!$K$12)/Curve_Records!$D$12,TRUE))*Curve_Records!$F$12+(NORM.S.DIST(LN(A15/Curve_Records!$K$12)/Curve_Records!$D$12,TRUE)-IF(Curve_Records!$L$12="",0,NORM.S.DIST(LN(A15/Curve_Records!$L$12)/Curve_Records!$D$12,TRUE)))*Curve_Records!$G$12+IF(Curve_Records!$L$12="",0,NORM.S.DIST(LN(A15/Curve_Records!$L$12)/Curve_Records!$D$12,TRUE))*Curve_Records!$H$12)</x:f>
        <x:v>0.001061227329290665</x:v>
      </x:c>
      <x:c r="E15" s="24" t="n">
        <x:f>IF(A15&lt;Curve_Records!$E$15,0,(NORM.S.DIST(LN(A15/Curve_Records!$J$15)/Curve_Records!$D$15,TRUE)-NORM.S.DIST(LN(A15/Curve_Records!$K$15)/Curve_Records!$D$15,TRUE))*Curve_Records!$F$15+(NORM.S.DIST(LN(A15/Curve_Records!$K$15)/Curve_Records!$D$15,TRUE)-IF(Curve_Records!$L$15="",0,NORM.S.DIST(LN(A15/Curve_Records!$L$15)/Curve_Records!$D$15,TRUE)))*Curve_Records!$G$15+IF(Curve_Records!$L$15="",0,NORM.S.DIST(LN(A15/Curve_Records!$L$15)/Curve_Records!$D$15,TRUE))*Curve_Records!$H$15)</x:f>
        <x:v>0.00026112114632131087</x:v>
      </x:c>
      <x:c r="F15" s="49"/>
    </x:row>
    <x:row r="16" ht="30" customHeight="1">
      <x:c r="A16" s="25" t="n">
        <x:v>0.55</x:v>
      </x:c>
      <x:c r="B16" s="25" t="n">
        <x:f>IF(A16&lt;Curve_Records!$E$6,0,(NORM.S.DIST(LN(A16/Curve_Records!$J$6)/Curve_Records!$D$6,TRUE)-NORM.S.DIST(LN(A16/Curve_Records!$K$6)/Curve_Records!$D$6,TRUE))*Curve_Records!$F$6+(NORM.S.DIST(LN(A16/Curve_Records!$K$6)/Curve_Records!$D$6,TRUE)-IF(Curve_Records!$L$6="",0,NORM.S.DIST(LN(A16/Curve_Records!$L$6)/Curve_Records!$D$6,TRUE)))*Curve_Records!$G$6+IF(Curve_Records!$L$6="",0,NORM.S.DIST(LN(A16/Curve_Records!$L$6)/Curve_Records!$D$6,TRUE))*Curve_Records!$H$6)</x:f>
        <x:v>0.007587038394778024</x:v>
      </x:c>
      <x:c r="C16" s="25" t="n">
        <x:f>IF(A16&lt;Curve_Records!$E$9,0,(NORM.S.DIST(LN(A16/Curve_Records!$J$9)/Curve_Records!$D$9,TRUE)-NORM.S.DIST(LN(A16/Curve_Records!$K$9)/Curve_Records!$D$9,TRUE))*Curve_Records!$F$9+(NORM.S.DIST(LN(A16/Curve_Records!$K$9)/Curve_Records!$D$9,TRUE)-IF(Curve_Records!$L$9="",0,NORM.S.DIST(LN(A16/Curve_Records!$L$9)/Curve_Records!$D$9,TRUE)))*Curve_Records!$G$9+IF(Curve_Records!$L$9="",0,NORM.S.DIST(LN(A16/Curve_Records!$L$9)/Curve_Records!$D$9,TRUE))*Curve_Records!$H$9)</x:f>
        <x:v>0.0012809726256637593</x:v>
      </x:c>
      <x:c r="D16" s="25" t="n">
        <x:f>IF(A16&lt;Curve_Records!$E$12,0,(NORM.S.DIST(LN(A16/Curve_Records!$J$12)/Curve_Records!$D$12,TRUE)-NORM.S.DIST(LN(A16/Curve_Records!$K$12)/Curve_Records!$D$12,TRUE))*Curve_Records!$F$12+(NORM.S.DIST(LN(A16/Curve_Records!$K$12)/Curve_Records!$D$12,TRUE)-IF(Curve_Records!$L$12="",0,NORM.S.DIST(LN(A16/Curve_Records!$L$12)/Curve_Records!$D$12,TRUE)))*Curve_Records!$G$12+IF(Curve_Records!$L$12="",0,NORM.S.DIST(LN(A16/Curve_Records!$L$12)/Curve_Records!$D$12,TRUE))*Curve_Records!$H$12)</x:f>
        <x:v>0.0026497630246275386</x:v>
      </x:c>
      <x:c r="E16" s="25" t="n">
        <x:f>IF(A16&lt;Curve_Records!$E$15,0,(NORM.S.DIST(LN(A16/Curve_Records!$J$15)/Curve_Records!$D$15,TRUE)-NORM.S.DIST(LN(A16/Curve_Records!$K$15)/Curve_Records!$D$15,TRUE))*Curve_Records!$F$15+(NORM.S.DIST(LN(A16/Curve_Records!$K$15)/Curve_Records!$D$15,TRUE)-IF(Curve_Records!$L$15="",0,NORM.S.DIST(LN(A16/Curve_Records!$L$15)/Curve_Records!$D$15,TRUE)))*Curve_Records!$G$15+IF(Curve_Records!$L$15="",0,NORM.S.DIST(LN(A16/Curve_Records!$L$15)/Curve_Records!$D$15,TRUE))*Curve_Records!$H$15)</x:f>
        <x:v>0.0008376160424211326</x:v>
      </x:c>
      <x:c r="F16" s="49"/>
    </x:row>
    <x:row r="17" ht="30" customHeight="1">
      <x:c r="A17" s="24" t="n">
        <x:v>0.6000000000000001</x:v>
      </x:c>
      <x:c r="B17" s="24" t="n">
        <x:f>IF(A17&lt;Curve_Records!$E$6,0,(NORM.S.DIST(LN(A17/Curve_Records!$J$6)/Curve_Records!$D$6,TRUE)-NORM.S.DIST(LN(A17/Curve_Records!$K$6)/Curve_Records!$D$6,TRUE))*Curve_Records!$F$6+(NORM.S.DIST(LN(A17/Curve_Records!$K$6)/Curve_Records!$D$6,TRUE)-IF(Curve_Records!$L$6="",0,NORM.S.DIST(LN(A17/Curve_Records!$L$6)/Curve_Records!$D$6,TRUE)))*Curve_Records!$G$6+IF(Curve_Records!$L$6="",0,NORM.S.DIST(LN(A17/Curve_Records!$L$6)/Curve_Records!$D$6,TRUE))*Curve_Records!$H$6)</x:f>
        <x:v>0.012982875426696856</x:v>
      </x:c>
      <x:c r="C17" s="24" t="n">
        <x:f>IF(A17&lt;Curve_Records!$E$9,0,(NORM.S.DIST(LN(A17/Curve_Records!$J$9)/Curve_Records!$D$9,TRUE)-NORM.S.DIST(LN(A17/Curve_Records!$K$9)/Curve_Records!$D$9,TRUE))*Curve_Records!$F$9+(NORM.S.DIST(LN(A17/Curve_Records!$K$9)/Curve_Records!$D$9,TRUE)-IF(Curve_Records!$L$9="",0,NORM.S.DIST(LN(A17/Curve_Records!$L$9)/Curve_Records!$D$9,TRUE)))*Curve_Records!$G$9+IF(Curve_Records!$L$9="",0,NORM.S.DIST(LN(A17/Curve_Records!$L$9)/Curve_Records!$D$9,TRUE))*Curve_Records!$H$9)</x:f>
        <x:v>0.0029206128835340683</x:v>
      </x:c>
      <x:c r="D17" s="24" t="n">
        <x:f>IF(A17&lt;Curve_Records!$E$12,0,(NORM.S.DIST(LN(A17/Curve_Records!$J$12)/Curve_Records!$D$12,TRUE)-NORM.S.DIST(LN(A17/Curve_Records!$K$12)/Curve_Records!$D$12,TRUE))*Curve_Records!$F$12+(NORM.S.DIST(LN(A17/Curve_Records!$K$12)/Curve_Records!$D$12,TRUE)-IF(Curve_Records!$L$12="",0,NORM.S.DIST(LN(A17/Curve_Records!$L$12)/Curve_Records!$D$12,TRUE)))*Curve_Records!$G$12+IF(Curve_Records!$L$12="",0,NORM.S.DIST(LN(A17/Curve_Records!$L$12)/Curve_Records!$D$12,TRUE))*Curve_Records!$H$12)</x:f>
        <x:v>0.005663941439337106</x:v>
      </x:c>
      <x:c r="E17" s="24" t="n">
        <x:f>IF(A17&lt;Curve_Records!$E$15,0,(NORM.S.DIST(LN(A17/Curve_Records!$J$15)/Curve_Records!$D$15,TRUE)-NORM.S.DIST(LN(A17/Curve_Records!$K$15)/Curve_Records!$D$15,TRUE))*Curve_Records!$F$15+(NORM.S.DIST(LN(A17/Curve_Records!$K$15)/Curve_Records!$D$15,TRUE)-IF(Curve_Records!$L$15="",0,NORM.S.DIST(LN(A17/Curve_Records!$L$15)/Curve_Records!$D$15,TRUE)))*Curve_Records!$G$15+IF(Curve_Records!$L$15="",0,NORM.S.DIST(LN(A17/Curve_Records!$L$15)/Curve_Records!$D$15,TRUE))*Curve_Records!$H$15)</x:f>
        <x:v>0.002225994055461894</x:v>
      </x:c>
      <x:c r="F17" s="49"/>
    </x:row>
    <x:row r="18" ht="30" customHeight="1">
      <x:c r="A18" s="25" t="n">
        <x:v>0.65</x:v>
      </x:c>
      <x:c r="B18" s="25" t="n">
        <x:f>IF(A18&lt;Curve_Records!$E$6,0,(NORM.S.DIST(LN(A18/Curve_Records!$J$6)/Curve_Records!$D$6,TRUE)-NORM.S.DIST(LN(A18/Curve_Records!$K$6)/Curve_Records!$D$6,TRUE))*Curve_Records!$F$6+(NORM.S.DIST(LN(A18/Curve_Records!$K$6)/Curve_Records!$D$6,TRUE)-IF(Curve_Records!$L$6="",0,NORM.S.DIST(LN(A18/Curve_Records!$L$6)/Curve_Records!$D$6,TRUE)))*Curve_Records!$G$6+IF(Curve_Records!$L$6="",0,NORM.S.DIST(LN(A18/Curve_Records!$L$6)/Curve_Records!$D$6,TRUE))*Curve_Records!$H$6)</x:f>
        <x:v>0.02025688301016527</x:v>
      </x:c>
      <x:c r="C18" s="25" t="n">
        <x:f>IF(A18&lt;Curve_Records!$E$9,0,(NORM.S.DIST(LN(A18/Curve_Records!$J$9)/Curve_Records!$D$9,TRUE)-NORM.S.DIST(LN(A18/Curve_Records!$K$9)/Curve_Records!$D$9,TRUE))*Curve_Records!$F$9+(NORM.S.DIST(LN(A18/Curve_Records!$K$9)/Curve_Records!$D$9,TRUE)-IF(Curve_Records!$L$9="",0,NORM.S.DIST(LN(A18/Curve_Records!$L$9)/Curve_Records!$D$9,TRUE)))*Curve_Records!$G$9+IF(Curve_Records!$L$9="",0,NORM.S.DIST(LN(A18/Curve_Records!$L$9)/Curve_Records!$D$9,TRUE))*Curve_Records!$H$9)</x:f>
        <x:v>0.005891883297123088</x:v>
      </x:c>
      <x:c r="D18" s="25" t="n">
        <x:f>IF(A18&lt;Curve_Records!$E$12,0,(NORM.S.DIST(LN(A18/Curve_Records!$J$12)/Curve_Records!$D$12,TRUE)-NORM.S.DIST(LN(A18/Curve_Records!$K$12)/Curve_Records!$D$12,TRUE))*Curve_Records!$F$12+(NORM.S.DIST(LN(A18/Curve_Records!$K$12)/Curve_Records!$D$12,TRUE)-IF(Curve_Records!$L$12="",0,NORM.S.DIST(LN(A18/Curve_Records!$L$12)/Curve_Records!$D$12,TRUE)))*Curve_Records!$G$12+IF(Curve_Records!$L$12="",0,NORM.S.DIST(LN(A18/Curve_Records!$L$12)/Curve_Records!$D$12,TRUE))*Curve_Records!$H$12)</x:f>
        <x:v>0.010751637854621006</x:v>
      </x:c>
      <x:c r="E18" s="25" t="n">
        <x:f>IF(A18&lt;Curve_Records!$E$15,0,(NORM.S.DIST(LN(A18/Curve_Records!$J$15)/Curve_Records!$D$15,TRUE)-NORM.S.DIST(LN(A18/Curve_Records!$K$15)/Curve_Records!$D$15,TRUE))*Curve_Records!$F$15+(NORM.S.DIST(LN(A18/Curve_Records!$K$15)/Curve_Records!$D$15,TRUE)-IF(Curve_Records!$L$15="",0,NORM.S.DIST(LN(A18/Curve_Records!$L$15)/Curve_Records!$D$15,TRUE)))*Curve_Records!$G$15+IF(Curve_Records!$L$15="",0,NORM.S.DIST(LN(A18/Curve_Records!$L$15)/Curve_Records!$D$15,TRUE))*Curve_Records!$H$15)</x:f>
        <x:v>0.005090978534731181</x:v>
      </x:c>
      <x:c r="F18" s="49"/>
    </x:row>
    <x:row r="19" ht="30" customHeight="1">
      <x:c r="A19" s="24" t="n">
        <x:v>0.7000000000000001</x:v>
      </x:c>
      <x:c r="B19" s="24" t="n">
        <x:f>IF(A19&lt;Curve_Records!$E$6,0,(NORM.S.DIST(LN(A19/Curve_Records!$J$6)/Curve_Records!$D$6,TRUE)-NORM.S.DIST(LN(A19/Curve_Records!$K$6)/Curve_Records!$D$6,TRUE))*Curve_Records!$F$6+(NORM.S.DIST(LN(A19/Curve_Records!$K$6)/Curve_Records!$D$6,TRUE)-IF(Curve_Records!$L$6="",0,NORM.S.DIST(LN(A19/Curve_Records!$L$6)/Curve_Records!$D$6,TRUE)))*Curve_Records!$G$6+IF(Curve_Records!$L$6="",0,NORM.S.DIST(LN(A19/Curve_Records!$L$6)/Curve_Records!$D$6,TRUE))*Curve_Records!$H$6)</x:f>
        <x:v>0.029500191930887577</x:v>
      </x:c>
      <x:c r="C19" s="24" t="n">
        <x:f>IF(A19&lt;Curve_Records!$E$9,0,(NORM.S.DIST(LN(A19/Curve_Records!$J$9)/Curve_Records!$D$9,TRUE)-NORM.S.DIST(LN(A19/Curve_Records!$K$9)/Curve_Records!$D$9,TRUE))*Curve_Records!$F$9+(NORM.S.DIST(LN(A19/Curve_Records!$K$9)/Curve_Records!$D$9,TRUE)-IF(Curve_Records!$L$9="",0,NORM.S.DIST(LN(A19/Curve_Records!$L$9)/Curve_Records!$D$9,TRUE)))*Curve_Records!$G$9+IF(Curve_Records!$L$9="",0,NORM.S.DIST(LN(A19/Curve_Records!$L$9)/Curve_Records!$D$9,TRUE))*Curve_Records!$H$9)</x:f>
        <x:v>0.010770806316762332</x:v>
      </x:c>
      <x:c r="D19" s="24" t="n">
        <x:f>IF(A19&lt;Curve_Records!$E$12,0,(NORM.S.DIST(LN(A19/Curve_Records!$J$12)/Curve_Records!$D$12,TRUE)-NORM.S.DIST(LN(A19/Curve_Records!$K$12)/Curve_Records!$D$12,TRUE))*Curve_Records!$F$12+(NORM.S.DIST(LN(A19/Curve_Records!$K$12)/Curve_Records!$D$12,TRUE)-IF(Curve_Records!$L$12="",0,NORM.S.DIST(LN(A19/Curve_Records!$L$12)/Curve_Records!$D$12,TRUE)))*Curve_Records!$G$12+IF(Curve_Records!$L$12="",0,NORM.S.DIST(LN(A19/Curve_Records!$L$12)/Curve_Records!$D$12,TRUE))*Curve_Records!$H$12)</x:f>
        <x:v>0.018612582801910332</x:v>
      </x:c>
      <x:c r="E19" s="24" t="n">
        <x:f>IF(A19&lt;Curve_Records!$E$15,0,(NORM.S.DIST(LN(A19/Curve_Records!$J$15)/Curve_Records!$D$15,TRUE)-NORM.S.DIST(LN(A19/Curve_Records!$K$15)/Curve_Records!$D$15,TRUE))*Curve_Records!$F$15+(NORM.S.DIST(LN(A19/Curve_Records!$K$15)/Curve_Records!$D$15,TRUE)-IF(Curve_Records!$L$15="",0,NORM.S.DIST(LN(A19/Curve_Records!$L$15)/Curve_Records!$D$15,TRUE)))*Curve_Records!$G$15+IF(Curve_Records!$L$15="",0,NORM.S.DIST(LN(A19/Curve_Records!$L$15)/Curve_Records!$D$15,TRUE))*Curve_Records!$H$15)</x:f>
        <x:v>0.010307962523684738</x:v>
      </x:c>
      <x:c r="F19" s="49"/>
    </x:row>
    <x:row r="20" ht="30" customHeight="1">
      <x:c r="A20" s="25" t="n">
        <x:v>0.75</x:v>
      </x:c>
      <x:c r="B20" s="25" t="n">
        <x:f>IF(A20&lt;Curve_Records!$E$6,0,(NORM.S.DIST(LN(A20/Curve_Records!$J$6)/Curve_Records!$D$6,TRUE)-NORM.S.DIST(LN(A20/Curve_Records!$K$6)/Curve_Records!$D$6,TRUE))*Curve_Records!$F$6+(NORM.S.DIST(LN(A20/Curve_Records!$K$6)/Curve_Records!$D$6,TRUE)-IF(Curve_Records!$L$6="",0,NORM.S.DIST(LN(A20/Curve_Records!$L$6)/Curve_Records!$D$6,TRUE)))*Curve_Records!$G$6+IF(Curve_Records!$L$6="",0,NORM.S.DIST(LN(A20/Curve_Records!$L$6)/Curve_Records!$D$6,TRUE))*Curve_Records!$H$6)</x:f>
        <x:v>0.040814485542912254</x:v>
      </x:c>
      <x:c r="C20" s="25" t="n">
        <x:f>IF(A20&lt;Curve_Records!$E$9,0,(NORM.S.DIST(LN(A20/Curve_Records!$J$9)/Curve_Records!$D$9,TRUE)-NORM.S.DIST(LN(A20/Curve_Records!$K$9)/Curve_Records!$D$9,TRUE))*Curve_Records!$F$9+(NORM.S.DIST(LN(A20/Curve_Records!$K$9)/Curve_Records!$D$9,TRUE)-IF(Curve_Records!$L$9="",0,NORM.S.DIST(LN(A20/Curve_Records!$L$9)/Curve_Records!$D$9,TRUE)))*Curve_Records!$G$9+IF(Curve_Records!$L$9="",0,NORM.S.DIST(LN(A20/Curve_Records!$L$9)/Curve_Records!$D$9,TRUE))*Curve_Records!$H$9)</x:f>
        <x:v>0.018165862057704235</x:v>
      </x:c>
      <x:c r="D20" s="25" t="n">
        <x:f>IF(A20&lt;Curve_Records!$E$12,0,(NORM.S.DIST(LN(A20/Curve_Records!$J$12)/Curve_Records!$D$12,TRUE)-NORM.S.DIST(LN(A20/Curve_Records!$K$12)/Curve_Records!$D$12,TRUE))*Curve_Records!$F$12+(NORM.S.DIST(LN(A20/Curve_Records!$K$12)/Curve_Records!$D$12,TRUE)-IF(Curve_Records!$L$12="",0,NORM.S.DIST(LN(A20/Curve_Records!$L$12)/Curve_Records!$D$12,TRUE)))*Curve_Records!$G$12+IF(Curve_Records!$L$12="",0,NORM.S.DIST(LN(A20/Curve_Records!$L$12)/Curve_Records!$D$12,TRUE))*Curve_Records!$H$12)</x:f>
        <x:v>0.02995351801943045</x:v>
      </x:c>
      <x:c r="E20" s="25" t="n">
        <x:f>IF(A20&lt;Curve_Records!$E$15,0,(NORM.S.DIST(LN(A20/Curve_Records!$J$15)/Curve_Records!$D$15,TRUE)-NORM.S.DIST(LN(A20/Curve_Records!$K$15)/Curve_Records!$D$15,TRUE))*Curve_Records!$F$15+(NORM.S.DIST(LN(A20/Curve_Records!$K$15)/Curve_Records!$D$15,TRUE)-IF(Curve_Records!$L$15="",0,NORM.S.DIST(LN(A20/Curve_Records!$L$15)/Curve_Records!$D$15,TRUE)))*Curve_Records!$G$15+IF(Curve_Records!$L$15="",0,NORM.S.DIST(LN(A20/Curve_Records!$L$15)/Curve_Records!$D$15,TRUE))*Curve_Records!$H$15)</x:f>
        <x:v>0.018879915958874213</x:v>
      </x:c>
      <x:c r="F20" s="49"/>
    </x:row>
    <x:row r="21" ht="30" customHeight="1">
      <x:c r="A21" s="24" t="n">
        <x:v>0.8</x:v>
      </x:c>
      <x:c r="B21" s="24" t="n">
        <x:f>IF(A21&lt;Curve_Records!$E$6,0,(NORM.S.DIST(LN(A21/Curve_Records!$J$6)/Curve_Records!$D$6,TRUE)-NORM.S.DIST(LN(A21/Curve_Records!$K$6)/Curve_Records!$D$6,TRUE))*Curve_Records!$F$6+(NORM.S.DIST(LN(A21/Curve_Records!$K$6)/Curve_Records!$D$6,TRUE)-IF(Curve_Records!$L$6="",0,NORM.S.DIST(LN(A21/Curve_Records!$L$6)/Curve_Records!$D$6,TRUE)))*Curve_Records!$G$6+IF(Curve_Records!$L$6="",0,NORM.S.DIST(LN(A21/Curve_Records!$L$6)/Curve_Records!$D$6,TRUE))*Curve_Records!$H$6)</x:f>
        <x:v>0.05435766023657305</x:v>
      </x:c>
      <x:c r="C21" s="24" t="n">
        <x:f>IF(A21&lt;Curve_Records!$E$9,0,(NORM.S.DIST(LN(A21/Curve_Records!$J$9)/Curve_Records!$D$9,TRUE)-NORM.S.DIST(LN(A21/Curve_Records!$K$9)/Curve_Records!$D$9,TRUE))*Curve_Records!$F$9+(NORM.S.DIST(LN(A21/Curve_Records!$K$9)/Curve_Records!$D$9,TRUE)-IF(Curve_Records!$L$9="",0,NORM.S.DIST(LN(A21/Curve_Records!$L$9)/Curve_Records!$D$9,TRUE)))*Curve_Records!$G$9+IF(Curve_Records!$L$9="",0,NORM.S.DIST(LN(A21/Curve_Records!$L$9)/Curve_Records!$D$9,TRUE))*Curve_Records!$H$9)</x:f>
        <x:v>0.028658070569006468</x:v>
      </x:c>
      <x:c r="D21" s="24" t="n">
        <x:f>IF(A21&lt;Curve_Records!$E$12,0,(NORM.S.DIST(LN(A21/Curve_Records!$J$12)/Curve_Records!$D$12,TRUE)-NORM.S.DIST(LN(A21/Curve_Records!$K$12)/Curve_Records!$D$12,TRUE))*Curve_Records!$F$12+(NORM.S.DIST(LN(A21/Curve_Records!$K$12)/Curve_Records!$D$12,TRUE)-IF(Curve_Records!$L$12="",0,NORM.S.DIST(LN(A21/Curve_Records!$L$12)/Curve_Records!$D$12,TRUE)))*Curve_Records!$G$12+IF(Curve_Records!$L$12="",0,NORM.S.DIST(LN(A21/Curve_Records!$L$12)/Curve_Records!$D$12,TRUE))*Curve_Records!$H$12)</x:f>
        <x:v>0.04543591527831609</x:v>
      </x:c>
      <x:c r="E21" s="24" t="n">
        <x:f>IF(A21&lt;Curve_Records!$E$15,0,(NORM.S.DIST(LN(A21/Curve_Records!$J$15)/Curve_Records!$D$15,TRUE)-NORM.S.DIST(LN(A21/Curve_Records!$K$15)/Curve_Records!$D$15,TRUE))*Curve_Records!$F$15+(NORM.S.DIST(LN(A21/Curve_Records!$K$15)/Curve_Records!$D$15,TRUE)-IF(Curve_Records!$L$15="",0,NORM.S.DIST(LN(A21/Curve_Records!$L$15)/Curve_Records!$D$15,TRUE)))*Curve_Records!$G$15+IF(Curve_Records!$L$15="",0,NORM.S.DIST(LN(A21/Curve_Records!$L$15)/Curve_Records!$D$15,TRUE))*Curve_Records!$H$15)</x:f>
        <x:v>0.03180928729690474</x:v>
      </x:c>
      <x:c r="F21" s="49"/>
    </x:row>
    <x:row r="22" ht="30" customHeight="1">
      <x:c r="A22" s="25" t="n">
        <x:v>0.8500000000000001</x:v>
      </x:c>
      <x:c r="B22" s="25" t="n">
        <x:f>IF(A22&lt;Curve_Records!$E$6,0,(NORM.S.DIST(LN(A22/Curve_Records!$J$6)/Curve_Records!$D$6,TRUE)-NORM.S.DIST(LN(A22/Curve_Records!$K$6)/Curve_Records!$D$6,TRUE))*Curve_Records!$F$6+(NORM.S.DIST(LN(A22/Curve_Records!$K$6)/Curve_Records!$D$6,TRUE)-IF(Curve_Records!$L$6="",0,NORM.S.DIST(LN(A22/Curve_Records!$L$6)/Curve_Records!$D$6,TRUE)))*Curve_Records!$G$6+IF(Curve_Records!$L$6="",0,NORM.S.DIST(LN(A22/Curve_Records!$L$6)/Curve_Records!$D$6,TRUE))*Curve_Records!$H$6)</x:f>
        <x:v>0.07035009724928963</x:v>
      </x:c>
      <x:c r="C22" s="25" t="n">
        <x:f>IF(A22&lt;Curve_Records!$E$9,0,(NORM.S.DIST(LN(A22/Curve_Records!$J$9)/Curve_Records!$D$9,TRUE)-NORM.S.DIST(LN(A22/Curve_Records!$K$9)/Curve_Records!$D$9,TRUE))*Curve_Records!$F$9+(NORM.S.DIST(LN(A22/Curve_Records!$K$9)/Curve_Records!$D$9,TRUE)-IF(Curve_Records!$L$9="",0,NORM.S.DIST(LN(A22/Curve_Records!$L$9)/Curve_Records!$D$9,TRUE)))*Curve_Records!$G$9+IF(Curve_Records!$L$9="",0,NORM.S.DIST(LN(A22/Curve_Records!$L$9)/Curve_Records!$D$9,TRUE))*Curve_Records!$H$9)</x:f>
        <x:v>0.04274292127981817</x:v>
      </x:c>
      <x:c r="D22" s="25" t="n">
        <x:f>IF(A22&lt;Curve_Records!$E$12,0,(NORM.S.DIST(LN(A22/Curve_Records!$J$12)/Curve_Records!$D$12,TRUE)-NORM.S.DIST(LN(A22/Curve_Records!$K$12)/Curve_Records!$D$12,TRUE))*Curve_Records!$F$12+(NORM.S.DIST(LN(A22/Curve_Records!$K$12)/Curve_Records!$D$12,TRUE)-IF(Curve_Records!$L$12="",0,NORM.S.DIST(LN(A22/Curve_Records!$L$12)/Curve_Records!$D$12,TRUE)))*Curve_Records!$G$12+IF(Curve_Records!$L$12="",0,NORM.S.DIST(LN(A22/Curve_Records!$L$12)/Curve_Records!$D$12,TRUE))*Curve_Records!$H$12)</x:f>
        <x:v>0.06561326942186889</x:v>
      </x:c>
      <x:c r="E22" s="25" t="n">
        <x:f>IF(A22&lt;Curve_Records!$E$15,0,(NORM.S.DIST(LN(A22/Curve_Records!$J$15)/Curve_Records!$D$15,TRUE)-NORM.S.DIST(LN(A22/Curve_Records!$K$15)/Curve_Records!$D$15,TRUE))*Curve_Records!$F$15+(NORM.S.DIST(LN(A22/Curve_Records!$K$15)/Curve_Records!$D$15,TRUE)-IF(Curve_Records!$L$15="",0,NORM.S.DIST(LN(A22/Curve_Records!$L$15)/Curve_Records!$D$15,TRUE)))*Curve_Records!$G$15+IF(Curve_Records!$L$15="",0,NORM.S.DIST(LN(A22/Curve_Records!$L$15)/Curve_Records!$D$15,TRUE))*Curve_Records!$H$15)</x:f>
        <x:v>0.049955420391115696</x:v>
      </x:c>
      <x:c r="F22" s="49"/>
    </x:row>
    <x:row r="23" ht="30" customHeight="1">
      <x:c r="A23" s="24" t="n">
        <x:v>0.9</x:v>
      </x:c>
      <x:c r="B23" s="24" t="n">
        <x:f>IF(A23&lt;Curve_Records!$E$6,0,(NORM.S.DIST(LN(A23/Curve_Records!$J$6)/Curve_Records!$D$6,TRUE)-NORM.S.DIST(LN(A23/Curve_Records!$K$6)/Curve_Records!$D$6,TRUE))*Curve_Records!$F$6+(NORM.S.DIST(LN(A23/Curve_Records!$K$6)/Curve_Records!$D$6,TRUE)-IF(Curve_Records!$L$6="",0,NORM.S.DIST(LN(A23/Curve_Records!$L$6)/Curve_Records!$D$6,TRUE)))*Curve_Records!$G$6+IF(Curve_Records!$L$6="",0,NORM.S.DIST(LN(A23/Curve_Records!$L$6)/Curve_Records!$D$6,TRUE))*Curve_Records!$H$6)</x:f>
        <x:v>0.08904544009402739</x:v>
      </x:c>
      <x:c r="C23" s="24" t="n">
        <x:f>IF(A23&lt;Curve_Records!$E$9,0,(NORM.S.DIST(LN(A23/Curve_Records!$J$9)/Curve_Records!$D$9,TRUE)-NORM.S.DIST(LN(A23/Curve_Records!$K$9)/Curve_Records!$D$9,TRUE))*Curve_Records!$F$9+(NORM.S.DIST(LN(A23/Curve_Records!$K$9)/Curve_Records!$D$9,TRUE)-IF(Curve_Records!$L$9="",0,NORM.S.DIST(LN(A23/Curve_Records!$L$9)/Curve_Records!$D$9,TRUE)))*Curve_Records!$G$9+IF(Curve_Records!$L$9="",0,NORM.S.DIST(LN(A23/Curve_Records!$L$9)/Curve_Records!$D$9,TRUE))*Curve_Records!$H$9)</x:f>
        <x:v>0.060782176123683404</x:v>
      </x:c>
      <x:c r="D23" s="24" t="n">
        <x:f>IF(A23&lt;Curve_Records!$E$12,0,(NORM.S.DIST(LN(A23/Curve_Records!$J$12)/Curve_Records!$D$12,TRUE)-NORM.S.DIST(LN(A23/Curve_Records!$K$12)/Curve_Records!$D$12,TRUE))*Curve_Records!$F$12+(NORM.S.DIST(LN(A23/Curve_Records!$K$12)/Curve_Records!$D$12,TRUE)-IF(Curve_Records!$L$12="",0,NORM.S.DIST(LN(A23/Curve_Records!$L$12)/Curve_Records!$D$12,TRUE)))*Curve_Records!$G$12+IF(Curve_Records!$L$12="",0,NORM.S.DIST(LN(A23/Curve_Records!$L$12)/Curve_Records!$D$12,TRUE))*Curve_Records!$H$12)</x:f>
        <x:v>0.09086430043940963</x:v>
      </x:c>
      <x:c r="E23" s="24" t="n">
        <x:f>IF(A23&lt;Curve_Records!$E$15,0,(NORM.S.DIST(LN(A23/Curve_Records!$J$15)/Curve_Records!$D$15,TRUE)-NORM.S.DIST(LN(A23/Curve_Records!$K$15)/Curve_Records!$D$15,TRUE))*Curve_Records!$F$15+(NORM.S.DIST(LN(A23/Curve_Records!$K$15)/Curve_Records!$D$15,TRUE)-IF(Curve_Records!$L$15="",0,NORM.S.DIST(LN(A23/Curve_Records!$L$15)/Curve_Records!$D$15,TRUE)))*Curve_Records!$G$15+IF(Curve_Records!$L$15="",0,NORM.S.DIST(LN(A23/Curve_Records!$L$15)/Curve_Records!$D$15,TRUE))*Curve_Records!$H$15)</x:f>
        <x:v>0.07390981939995696</x:v>
      </x:c>
      <x:c r="F23" s="49"/>
    </x:row>
    <x:row r="24" ht="30" customHeight="1">
      <x:c r="A24" s="25" t="n">
        <x:v>0.9500000000000001</x:v>
      </x:c>
      <x:c r="B24" s="25" t="n">
        <x:f>IF(A24&lt;Curve_Records!$E$6,0,(NORM.S.DIST(LN(A24/Curve_Records!$J$6)/Curve_Records!$D$6,TRUE)-NORM.S.DIST(LN(A24/Curve_Records!$K$6)/Curve_Records!$D$6,TRUE))*Curve_Records!$F$6+(NORM.S.DIST(LN(A24/Curve_Records!$K$6)/Curve_Records!$D$6,TRUE)-IF(Curve_Records!$L$6="",0,NORM.S.DIST(LN(A24/Curve_Records!$L$6)/Curve_Records!$D$6,TRUE)))*Curve_Records!$G$6+IF(Curve_Records!$L$6="",0,NORM.S.DIST(LN(A24/Curve_Records!$L$6)/Curve_Records!$D$6,TRUE))*Curve_Records!$H$6)</x:f>
        <x:v>0.11068102304955166</x:v>
      </x:c>
      <x:c r="C24" s="25" t="n">
        <x:f>IF(A24&lt;Curve_Records!$E$9,0,(NORM.S.DIST(LN(A24/Curve_Records!$J$9)/Curve_Records!$D$9,TRUE)-NORM.S.DIST(LN(A24/Curve_Records!$K$9)/Curve_Records!$D$9,TRUE))*Curve_Records!$F$9+(NORM.S.DIST(LN(A24/Curve_Records!$K$9)/Curve_Records!$D$9,TRUE)-IF(Curve_Records!$L$9="",0,NORM.S.DIST(LN(A24/Curve_Records!$L$9)/Curve_Records!$D$9,TRUE)))*Curve_Records!$G$9+IF(Curve_Records!$L$9="",0,NORM.S.DIST(LN(A24/Curve_Records!$L$9)/Curve_Records!$D$9,TRUE))*Curve_Records!$H$9)</x:f>
        <x:v>0.0829708882689705</x:v>
      </x:c>
      <x:c r="D24" s="25" t="n">
        <x:f>IF(A24&lt;Curve_Records!$E$12,0,(NORM.S.DIST(LN(A24/Curve_Records!$J$12)/Curve_Records!$D$12,TRUE)-NORM.S.DIST(LN(A24/Curve_Records!$K$12)/Curve_Records!$D$12,TRUE))*Curve_Records!$F$12+(NORM.S.DIST(LN(A24/Curve_Records!$K$12)/Curve_Records!$D$12,TRUE)-IF(Curve_Records!$L$12="",0,NORM.S.DIST(LN(A24/Curve_Records!$L$12)/Curve_Records!$D$12,TRUE)))*Curve_Records!$G$12+IF(Curve_Records!$L$12="",0,NORM.S.DIST(LN(A24/Curve_Records!$L$12)/Curve_Records!$D$12,TRUE))*Curve_Records!$H$12)</x:f>
        <x:v>0.12133535332534652</x:v>
      </x:c>
      <x:c r="E24" s="25" t="n">
        <x:f>IF(A24&lt;Curve_Records!$E$15,0,(NORM.S.DIST(LN(A24/Curve_Records!$J$15)/Curve_Records!$D$15,TRUE)-NORM.S.DIST(LN(A24/Curve_Records!$K$15)/Curve_Records!$D$15,TRUE))*Curve_Records!$F$15+(NORM.S.DIST(LN(A24/Curve_Records!$K$15)/Curve_Records!$D$15,TRUE)-IF(Curve_Records!$L$15="",0,NORM.S.DIST(LN(A24/Curve_Records!$L$15)/Curve_Records!$D$15,TRUE)))*Curve_Records!$G$15+IF(Curve_Records!$L$15="",0,NORM.S.DIST(LN(A24/Curve_Records!$L$15)/Curve_Records!$D$15,TRUE))*Curve_Records!$H$15)</x:f>
        <x:v>0.10391335041721106</x:v>
      </x:c>
      <x:c r="F24" s="49"/>
    </x:row>
    <x:row r="25" ht="30" customHeight="1">
      <x:c r="A25" s="24" t="n">
        <x:v>1</x:v>
      </x:c>
      <x:c r="B25" s="24" t="n">
        <x:f>IF(A25&lt;Curve_Records!$E$6,0,(NORM.S.DIST(LN(A25/Curve_Records!$J$6)/Curve_Records!$D$6,TRUE)-NORM.S.DIST(LN(A25/Curve_Records!$K$6)/Curve_Records!$D$6,TRUE))*Curve_Records!$F$6+(NORM.S.DIST(LN(A25/Curve_Records!$K$6)/Curve_Records!$D$6,TRUE)-IF(Curve_Records!$L$6="",0,NORM.S.DIST(LN(A25/Curve_Records!$L$6)/Curve_Records!$D$6,TRUE)))*Curve_Records!$G$6+IF(Curve_Records!$L$6="",0,NORM.S.DIST(LN(A25/Curve_Records!$L$6)/Curve_Records!$D$6,TRUE))*Curve_Records!$H$6)</x:f>
        <x:v>0.13542526918149927</x:v>
      </x:c>
      <x:c r="C25" s="24" t="n">
        <x:f>IF(A25&lt;Curve_Records!$E$9,0,(NORM.S.DIST(LN(A25/Curve_Records!$J$9)/Curve_Records!$D$9,TRUE)-NORM.S.DIST(LN(A25/Curve_Records!$K$9)/Curve_Records!$D$9,TRUE))*Curve_Records!$F$9+(NORM.S.DIST(LN(A25/Curve_Records!$K$9)/Curve_Records!$D$9,TRUE)-IF(Curve_Records!$L$9="",0,NORM.S.DIST(LN(A25/Curve_Records!$L$9)/Curve_Records!$D$9,TRUE)))*Curve_Records!$G$9+IF(Curve_Records!$L$9="",0,NORM.S.DIST(LN(A25/Curve_Records!$L$9)/Curve_Records!$D$9,TRUE))*Curve_Records!$H$9)</x:f>
        <x:v>0.10932205947512846</x:v>
      </x:c>
      <x:c r="D25" s="24" t="n">
        <x:f>IF(A25&lt;Curve_Records!$E$12,0,(NORM.S.DIST(LN(A25/Curve_Records!$J$12)/Curve_Records!$D$12,TRUE)-NORM.S.DIST(LN(A25/Curve_Records!$K$12)/Curve_Records!$D$12,TRUE))*Curve_Records!$F$12+(NORM.S.DIST(LN(A25/Curve_Records!$K$12)/Curve_Records!$D$12,TRUE)-IF(Curve_Records!$L$12="",0,NORM.S.DIST(LN(A25/Curve_Records!$L$12)/Curve_Records!$D$12,TRUE)))*Curve_Records!$G$12+IF(Curve_Records!$L$12="",0,NORM.S.DIST(LN(A25/Curve_Records!$L$12)/Curve_Records!$D$12,TRUE))*Curve_Records!$H$12)</x:f>
        <x:v>0.1569055850888735</x:v>
      </x:c>
      <x:c r="E25" s="24" t="n">
        <x:f>IF(A25&lt;Curve_Records!$E$15,0,(NORM.S.DIST(LN(A25/Curve_Records!$J$15)/Curve_Records!$D$15,TRUE)-NORM.S.DIST(LN(A25/Curve_Records!$K$15)/Curve_Records!$D$15,TRUE))*Curve_Records!$F$15+(NORM.S.DIST(LN(A25/Curve_Records!$K$15)/Curve_Records!$D$15,TRUE)-IF(Curve_Records!$L$15="",0,NORM.S.DIST(LN(A25/Curve_Records!$L$15)/Curve_Records!$D$15,TRUE)))*Curve_Records!$G$15+IF(Curve_Records!$L$15="",0,NORM.S.DIST(LN(A25/Curve_Records!$L$15)/Curve_Records!$D$15,TRUE))*Curve_Records!$H$15)</x:f>
        <x:v>0.1398263585783975</x:v>
      </x:c>
      <x:c r="F25" s="49"/>
    </x:row>
    <x:row r="26" ht="30" customHeight="1">
      <x:c r="A26" s="25" t="n">
        <x:v>1.05</x:v>
      </x:c>
      <x:c r="B26" s="25" t="n">
        <x:f>IF(A26&lt;Curve_Records!$E$6,0,(NORM.S.DIST(LN(A26/Curve_Records!$J$6)/Curve_Records!$D$6,TRUE)-NORM.S.DIST(LN(A26/Curve_Records!$K$6)/Curve_Records!$D$6,TRUE))*Curve_Records!$F$6+(NORM.S.DIST(LN(A26/Curve_Records!$K$6)/Curve_Records!$D$6,TRUE)-IF(Curve_Records!$L$6="",0,NORM.S.DIST(LN(A26/Curve_Records!$L$6)/Curve_Records!$D$6,TRUE)))*Curve_Records!$G$6+IF(Curve_Records!$L$6="",0,NORM.S.DIST(LN(A26/Curve_Records!$L$6)/Curve_Records!$D$6,TRUE))*Curve_Records!$H$6)</x:f>
        <x:v>0.1633356048354831</x:v>
      </x:c>
      <x:c r="C26" s="25" t="n">
        <x:f>IF(A26&lt;Curve_Records!$E$9,0,(NORM.S.DIST(LN(A26/Curve_Records!$J$9)/Curve_Records!$D$9,TRUE)-NORM.S.DIST(LN(A26/Curve_Records!$K$9)/Curve_Records!$D$9,TRUE))*Curve_Records!$F$9+(NORM.S.DIST(LN(A26/Curve_Records!$K$9)/Curve_Records!$D$9,TRUE)-IF(Curve_Records!$L$9="",0,NORM.S.DIST(LN(A26/Curve_Records!$L$9)/Curve_Records!$D$9,TRUE)))*Curve_Records!$G$9+IF(Curve_Records!$L$9="",0,NORM.S.DIST(LN(A26/Curve_Records!$L$9)/Curve_Records!$D$9,TRUE))*Curve_Records!$H$9)</x:f>
        <x:v>0.13966865766339118</x:v>
      </x:c>
      <x:c r="D26" s="25" t="n">
        <x:f>IF(A26&lt;Curve_Records!$E$12,0,(NORM.S.DIST(LN(A26/Curve_Records!$J$12)/Curve_Records!$D$12,TRUE)-NORM.S.DIST(LN(A26/Curve_Records!$K$12)/Curve_Records!$D$12,TRUE))*Curve_Records!$F$12+(NORM.S.DIST(LN(A26/Curve_Records!$K$12)/Curve_Records!$D$12,TRUE)-IF(Curve_Records!$L$12="",0,NORM.S.DIST(LN(A26/Curve_Records!$L$12)/Curve_Records!$D$12,TRUE)))*Curve_Records!$G$12+IF(Curve_Records!$L$12="",0,NORM.S.DIST(LN(A26/Curve_Records!$L$12)/Curve_Records!$D$12,TRUE))*Curve_Records!$H$12)</x:f>
        <x:v>0.19718308891466743</x:v>
      </x:c>
      <x:c r="E26" s="25" t="n">
        <x:f>IF(A26&lt;Curve_Records!$E$15,0,(NORM.S.DIST(LN(A26/Curve_Records!$J$15)/Curve_Records!$D$15,TRUE)-NORM.S.DIST(LN(A26/Curve_Records!$K$15)/Curve_Records!$D$15,TRUE))*Curve_Records!$F$15+(NORM.S.DIST(LN(A26/Curve_Records!$K$15)/Curve_Records!$D$15,TRUE)-IF(Curve_Records!$L$15="",0,NORM.S.DIST(LN(A26/Curve_Records!$L$15)/Curve_Records!$D$15,TRUE)))*Curve_Records!$G$15+IF(Curve_Records!$L$15="",0,NORM.S.DIST(LN(A26/Curve_Records!$L$15)/Curve_Records!$D$15,TRUE))*Curve_Records!$H$15)</x:f>
        <x:v>0.18114985623950794</x:v>
      </x:c>
      <x:c r="F26" s="49"/>
    </x:row>
    <x:row r="27" ht="30" customHeight="1">
      <x:c r="A27" s="24" t="n">
        <x:v>1.1</x:v>
      </x:c>
      <x:c r="B27" s="24" t="n">
        <x:f>IF(A27&lt;Curve_Records!$E$6,0,(NORM.S.DIST(LN(A27/Curve_Records!$J$6)/Curve_Records!$D$6,TRUE)-NORM.S.DIST(LN(A27/Curve_Records!$K$6)/Curve_Records!$D$6,TRUE))*Curve_Records!$F$6+(NORM.S.DIST(LN(A27/Curve_Records!$K$6)/Curve_Records!$D$6,TRUE)-IF(Curve_Records!$L$6="",0,NORM.S.DIST(LN(A27/Curve_Records!$L$6)/Curve_Records!$D$6,TRUE)))*Curve_Records!$G$6+IF(Curve_Records!$L$6="",0,NORM.S.DIST(LN(A27/Curve_Records!$L$6)/Curve_Records!$D$6,TRUE))*Curve_Records!$H$6)</x:f>
        <x:v>0.19433434176446235</x:v>
      </x:c>
      <x:c r="C27" s="24" t="n">
        <x:f>IF(A27&lt;Curve_Records!$E$9,0,(NORM.S.DIST(LN(A27/Curve_Records!$J$9)/Curve_Records!$D$9,TRUE)-NORM.S.DIST(LN(A27/Curve_Records!$K$9)/Curve_Records!$D$9,TRUE))*Curve_Records!$F$9+(NORM.S.DIST(LN(A27/Curve_Records!$K$9)/Curve_Records!$D$9,TRUE)-IF(Curve_Records!$L$9="",0,NORM.S.DIST(LN(A27/Curve_Records!$L$9)/Curve_Records!$D$9,TRUE)))*Curve_Records!$G$9+IF(Curve_Records!$L$9="",0,NORM.S.DIST(LN(A27/Curve_Records!$L$9)/Curve_Records!$D$9,TRUE))*Curve_Records!$H$9)</x:f>
        <x:v>0.17368057645497056</x:v>
      </x:c>
      <x:c r="D27" s="24" t="n">
        <x:f>IF(A27&lt;Curve_Records!$E$12,0,(NORM.S.DIST(LN(A27/Curve_Records!$J$12)/Curve_Records!$D$12,TRUE)-NORM.S.DIST(LN(A27/Curve_Records!$K$12)/Curve_Records!$D$12,TRUE))*Curve_Records!$F$12+(NORM.S.DIST(LN(A27/Curve_Records!$K$12)/Curve_Records!$D$12,TRUE)-IF(Curve_Records!$L$12="",0,NORM.S.DIST(LN(A27/Curve_Records!$L$12)/Curve_Records!$D$12,TRUE)))*Curve_Records!$G$12+IF(Curve_Records!$L$12="",0,NORM.S.DIST(LN(A27/Curve_Records!$L$12)/Curve_Records!$D$12,TRUE))*Curve_Records!$H$12)</x:f>
        <x:v>0.24153239596551257</x:v>
      </x:c>
      <x:c r="E27" s="24" t="n">
        <x:f>IF(A27&lt;Curve_Records!$E$15,0,(NORM.S.DIST(LN(A27/Curve_Records!$J$15)/Curve_Records!$D$15,TRUE)-NORM.S.DIST(LN(A27/Curve_Records!$K$15)/Curve_Records!$D$15,TRUE))*Curve_Records!$F$15+(NORM.S.DIST(LN(A27/Curve_Records!$K$15)/Curve_Records!$D$15,TRUE)-IF(Curve_Records!$L$15="",0,NORM.S.DIST(LN(A27/Curve_Records!$L$15)/Curve_Records!$D$15,TRUE)))*Curve_Records!$G$15+IF(Curve_Records!$L$15="",0,NORM.S.DIST(LN(A27/Curve_Records!$L$15)/Curve_Records!$D$15,TRUE))*Curve_Records!$H$15)</x:f>
        <x:v>0.2270867241592573</x:v>
      </x:c>
      <x:c r="F27" s="49"/>
    </x:row>
    <x:row r="28" ht="30" customHeight="1">
      <x:c r="A28" s="25" t="n">
        <x:v>1.1500000000000001</x:v>
      </x:c>
      <x:c r="B28" s="25" t="n">
        <x:f>IF(A28&lt;Curve_Records!$E$6,0,(NORM.S.DIST(LN(A28/Curve_Records!$J$6)/Curve_Records!$D$6,TRUE)-NORM.S.DIST(LN(A28/Curve_Records!$K$6)/Curve_Records!$D$6,TRUE))*Curve_Records!$F$6+(NORM.S.DIST(LN(A28/Curve_Records!$K$6)/Curve_Records!$D$6,TRUE)-IF(Curve_Records!$L$6="",0,NORM.S.DIST(LN(A28/Curve_Records!$L$6)/Curve_Records!$D$6,TRUE)))*Curve_Records!$G$6+IF(Curve_Records!$L$6="",0,NORM.S.DIST(LN(A28/Curve_Records!$L$6)/Curve_Records!$D$6,TRUE))*Curve_Records!$H$6)</x:f>
        <x:v>0.22820417749901195</x:v>
      </x:c>
      <x:c r="C28" s="25" t="n">
        <x:f>IF(A28&lt;Curve_Records!$E$9,0,(NORM.S.DIST(LN(A28/Curve_Records!$J$9)/Curve_Records!$D$9,TRUE)-NORM.S.DIST(LN(A28/Curve_Records!$K$9)/Curve_Records!$D$9,TRUE))*Curve_Records!$F$9+(NORM.S.DIST(LN(A28/Curve_Records!$K$9)/Curve_Records!$D$9,TRUE)-IF(Curve_Records!$L$9="",0,NORM.S.DIST(LN(A28/Curve_Records!$L$9)/Curve_Records!$D$9,TRUE)))*Curve_Records!$G$9+IF(Curve_Records!$L$9="",0,NORM.S.DIST(LN(A28/Curve_Records!$L$9)/Curve_Records!$D$9,TRUE))*Curve_Records!$H$9)</x:f>
        <x:v>0.21089274337165875</x:v>
      </x:c>
      <x:c r="D28" s="25" t="n">
        <x:f>IF(A28&lt;Curve_Records!$E$12,0,(NORM.S.DIST(LN(A28/Curve_Records!$J$12)/Curve_Records!$D$12,TRUE)-NORM.S.DIST(LN(A28/Curve_Records!$K$12)/Curve_Records!$D$12,TRUE))*Curve_Records!$F$12+(NORM.S.DIST(LN(A28/Curve_Records!$K$12)/Curve_Records!$D$12,TRUE)-IF(Curve_Records!$L$12="",0,NORM.S.DIST(LN(A28/Curve_Records!$L$12)/Curve_Records!$D$12,TRUE)))*Curve_Records!$G$12+IF(Curve_Records!$L$12="",0,NORM.S.DIST(LN(A28/Curve_Records!$L$12)/Curve_Records!$D$12,TRUE))*Curve_Records!$H$12)</x:f>
        <x:v>0.28912712026249526</x:v>
      </x:c>
      <x:c r="E28" s="25" t="n">
        <x:f>IF(A28&lt;Curve_Records!$E$15,0,(NORM.S.DIST(LN(A28/Curve_Records!$J$15)/Curve_Records!$D$15,TRUE)-NORM.S.DIST(LN(A28/Curve_Records!$K$15)/Curve_Records!$D$15,TRUE))*Curve_Records!$F$15+(NORM.S.DIST(LN(A28/Curve_Records!$K$15)/Curve_Records!$D$15,TRUE)-IF(Curve_Records!$L$15="",0,NORM.S.DIST(LN(A28/Curve_Records!$L$15)/Curve_Records!$D$15,TRUE)))*Curve_Records!$G$15+IF(Curve_Records!$L$15="",0,NORM.S.DIST(LN(A28/Curve_Records!$L$15)/Curve_Records!$D$15,TRUE))*Curve_Records!$H$15)</x:f>
        <x:v>0.276627399829479</x:v>
      </x:c>
      <x:c r="F28" s="49"/>
    </x:row>
    <x:row r="29" ht="30" customHeight="1">
      <x:c r="A29" s="24" t="n">
        <x:v>1.2000000000000002</x:v>
      </x:c>
      <x:c r="B29" s="24" t="n">
        <x:f>IF(A29&lt;Curve_Records!$E$6,0,(NORM.S.DIST(LN(A29/Curve_Records!$J$6)/Curve_Records!$D$6,TRUE)-NORM.S.DIST(LN(A29/Curve_Records!$K$6)/Curve_Records!$D$6,TRUE))*Curve_Records!$F$6+(NORM.S.DIST(LN(A29/Curve_Records!$K$6)/Curve_Records!$D$6,TRUE)-IF(Curve_Records!$L$6="",0,NORM.S.DIST(LN(A29/Curve_Records!$L$6)/Curve_Records!$D$6,TRUE)))*Curve_Records!$G$6+IF(Curve_Records!$L$6="",0,NORM.S.DIST(LN(A29/Curve_Records!$L$6)/Curve_Records!$D$6,TRUE))*Curve_Records!$H$6)</x:f>
        <x:v>0.26460077990147923</x:v>
      </x:c>
      <x:c r="C29" s="24" t="n">
        <x:f>IF(A29&lt;Curve_Records!$E$9,0,(NORM.S.DIST(LN(A29/Curve_Records!$J$9)/Curve_Records!$D$9,TRUE)-NORM.S.DIST(LN(A29/Curve_Records!$K$9)/Curve_Records!$D$9,TRUE))*Curve_Records!$F$9+(NORM.S.DIST(LN(A29/Curve_Records!$K$9)/Curve_Records!$D$9,TRUE)-IF(Curve_Records!$L$9="",0,NORM.S.DIST(LN(A29/Curve_Records!$L$9)/Curve_Records!$D$9,TRUE)))*Curve_Records!$G$9+IF(Curve_Records!$L$9="",0,NORM.S.DIST(LN(A29/Curve_Records!$L$9)/Curve_Records!$D$9,TRUE))*Curve_Records!$H$9)</x:f>
        <x:v>0.25074001087640246</x:v>
      </x:c>
      <x:c r="D29" s="24" t="n">
        <x:f>IF(A29&lt;Curve_Records!$E$12,0,(NORM.S.DIST(LN(A29/Curve_Records!$J$12)/Curve_Records!$D$12,TRUE)-NORM.S.DIST(LN(A29/Curve_Records!$K$12)/Curve_Records!$D$12,TRUE))*Curve_Records!$F$12+(NORM.S.DIST(LN(A29/Curve_Records!$K$12)/Curve_Records!$D$12,TRUE)-IF(Curve_Records!$L$12="",0,NORM.S.DIST(LN(A29/Curve_Records!$L$12)/Curve_Records!$D$12,TRUE)))*Curve_Records!$G$12+IF(Curve_Records!$L$12="",0,NORM.S.DIST(LN(A29/Curve_Records!$L$12)/Curve_Records!$D$12,TRUE))*Curve_Records!$H$12)</x:f>
        <x:v>0.3390176727653162</x:v>
      </x:c>
      <x:c r="E29" s="24" t="n">
        <x:f>IF(A29&lt;Curve_Records!$E$15,0,(NORM.S.DIST(LN(A29/Curve_Records!$J$15)/Curve_Records!$D$15,TRUE)-NORM.S.DIST(LN(A29/Curve_Records!$K$15)/Curve_Records!$D$15,TRUE))*Curve_Records!$F$15+(NORM.S.DIST(LN(A29/Curve_Records!$K$15)/Curve_Records!$D$15,TRUE)-IF(Curve_Records!$L$15="",0,NORM.S.DIST(LN(A29/Curve_Records!$L$15)/Curve_Records!$D$15,TRUE)))*Curve_Records!$G$15+IF(Curve_Records!$L$15="",0,NORM.S.DIST(LN(A29/Curve_Records!$L$15)/Curve_Records!$D$15,TRUE))*Curve_Records!$H$15)</x:f>
        <x:v>0.32864429014816926</x:v>
      </x:c>
      <x:c r="F29" s="49"/>
    </x:row>
    <x:row r="30" ht="30" customHeight="1">
      <x:c r="A30" s="25" t="n">
        <x:v>1.25</x:v>
      </x:c>
      <x:c r="B30" s="25" t="n">
        <x:f>IF(A30&lt;Curve_Records!$E$6,0,(NORM.S.DIST(LN(A30/Curve_Records!$J$6)/Curve_Records!$D$6,TRUE)-NORM.S.DIST(LN(A30/Curve_Records!$K$6)/Curve_Records!$D$6,TRUE))*Curve_Records!$F$6+(NORM.S.DIST(LN(A30/Curve_Records!$K$6)/Curve_Records!$D$6,TRUE)-IF(Curve_Records!$L$6="",0,NORM.S.DIST(LN(A30/Curve_Records!$L$6)/Curve_Records!$D$6,TRUE)))*Curve_Records!$G$6+IF(Curve_Records!$L$6="",0,NORM.S.DIST(LN(A30/Curve_Records!$L$6)/Curve_Records!$D$6,TRUE))*Curve_Records!$H$6)</x:f>
        <x:v>0.30307765684699894</x:v>
      </x:c>
      <x:c r="C30" s="25" t="n">
        <x:f>IF(A30&lt;Curve_Records!$E$9,0,(NORM.S.DIST(LN(A30/Curve_Records!$J$9)/Curve_Records!$D$9,TRUE)-NORM.S.DIST(LN(A30/Curve_Records!$K$9)/Curve_Records!$D$9,TRUE))*Curve_Records!$F$9+(NORM.S.DIST(LN(A30/Curve_Records!$K$9)/Curve_Records!$D$9,TRUE)-IF(Curve_Records!$L$9="",0,NORM.S.DIST(LN(A30/Curve_Records!$L$9)/Curve_Records!$D$9,TRUE)))*Curve_Records!$G$9+IF(Curve_Records!$L$9="",0,NORM.S.DIST(LN(A30/Curve_Records!$L$9)/Curve_Records!$D$9,TRUE))*Curve_Records!$H$9)</x:f>
        <x:v>0.2925945876118983</x:v>
      </x:c>
      <x:c r="D30" s="25" t="n">
        <x:f>IF(A30&lt;Curve_Records!$E$12,0,(NORM.S.DIST(LN(A30/Curve_Records!$J$12)/Curve_Records!$D$12,TRUE)-NORM.S.DIST(LN(A30/Curve_Records!$K$12)/Curve_Records!$D$12,TRUE))*Curve_Records!$F$12+(NORM.S.DIST(LN(A30/Curve_Records!$K$12)/Curve_Records!$D$12,TRUE)-IF(Curve_Records!$L$12="",0,NORM.S.DIST(LN(A30/Curve_Records!$L$12)/Curve_Records!$D$12,TRUE)))*Curve_Records!$G$12+IF(Curve_Records!$L$12="",0,NORM.S.DIST(LN(A30/Curve_Records!$L$12)/Curve_Records!$D$12,TRUE))*Curve_Records!$H$12)</x:f>
        <x:v>0.39020320860819635</x:v>
      </x:c>
      <x:c r="E30" s="25" t="n">
        <x:f>IF(A30&lt;Curve_Records!$E$15,0,(NORM.S.DIST(LN(A30/Curve_Records!$J$15)/Curve_Records!$D$15,TRUE)-NORM.S.DIST(LN(A30/Curve_Records!$K$15)/Curve_Records!$D$15,TRUE))*Curve_Records!$F$15+(NORM.S.DIST(LN(A30/Curve_Records!$K$15)/Curve_Records!$D$15,TRUE)-IF(Curve_Records!$L$15="",0,NORM.S.DIST(LN(A30/Curve_Records!$L$15)/Curve_Records!$D$15,TRUE)))*Curve_Records!$G$15+IF(Curve_Records!$L$15="",0,NORM.S.DIST(LN(A30/Curve_Records!$L$15)/Curve_Records!$D$15,TRUE))*Curve_Records!$H$15)</x:f>
        <x:v>0.38198178778893993</x:v>
      </x:c>
      <x:c r="F30" s="49"/>
    </x:row>
    <x:row r="31" ht="30" customHeight="1">
      <x:c r="A31" s="24" t="n">
        <x:v>1.3</x:v>
      </x:c>
      <x:c r="B31" s="24" t="n">
        <x:f>IF(A31&lt;Curve_Records!$E$6,0,(NORM.S.DIST(LN(A31/Curve_Records!$J$6)/Curve_Records!$D$6,TRUE)-NORM.S.DIST(LN(A31/Curve_Records!$K$6)/Curve_Records!$D$6,TRUE))*Curve_Records!$F$6+(NORM.S.DIST(LN(A31/Curve_Records!$K$6)/Curve_Records!$D$6,TRUE)-IF(Curve_Records!$L$6="",0,NORM.S.DIST(LN(A31/Curve_Records!$L$6)/Curve_Records!$D$6,TRUE)))*Curve_Records!$G$6+IF(Curve_Records!$L$6="",0,NORM.S.DIST(LN(A31/Curve_Records!$L$6)/Curve_Records!$D$6,TRUE))*Curve_Records!$H$6)</x:f>
        <x:v>0.34311788091094625</x:v>
      </x:c>
      <x:c r="C31" s="24" t="n">
        <x:f>IF(A31&lt;Curve_Records!$E$9,0,(NORM.S.DIST(LN(A31/Curve_Records!$J$9)/Curve_Records!$D$9,TRUE)-NORM.S.DIST(LN(A31/Curve_Records!$K$9)/Curve_Records!$D$9,TRUE))*Curve_Records!$F$9+(NORM.S.DIST(LN(A31/Curve_Records!$K$9)/Curve_Records!$D$9,TRUE)-IF(Curve_Records!$L$9="",0,NORM.S.DIST(LN(A31/Curve_Records!$L$9)/Curve_Records!$D$9,TRUE)))*Curve_Records!$G$9+IF(Curve_Records!$L$9="",0,NORM.S.DIST(LN(A31/Curve_Records!$L$9)/Curve_Records!$D$9,TRUE))*Curve_Records!$H$9)</x:f>
        <x:v>0.33580238997525225</x:v>
      </x:c>
      <x:c r="D31" s="24" t="n">
        <x:f>IF(A31&lt;Curve_Records!$E$12,0,(NORM.S.DIST(LN(A31/Curve_Records!$J$12)/Curve_Records!$D$12,TRUE)-NORM.S.DIST(LN(A31/Curve_Records!$K$12)/Curve_Records!$D$12,TRUE))*Curve_Records!$F$12+(NORM.S.DIST(LN(A31/Curve_Records!$K$12)/Curve_Records!$D$12,TRUE)-IF(Curve_Records!$L$12="",0,NORM.S.DIST(LN(A31/Curve_Records!$L$12)/Curve_Records!$D$12,TRUE)))*Curve_Records!$G$12+IF(Curve_Records!$L$12="",0,NORM.S.DIST(LN(A31/Curve_Records!$L$12)/Curve_Records!$D$12,TRUE))*Curve_Records!$H$12)</x:f>
        <x:v>0.4416985407254804</x:v>
      </x:c>
      <x:c r="E31" s="24" t="n">
        <x:f>IF(A31&lt;Curve_Records!$E$15,0,(NORM.S.DIST(LN(A31/Curve_Records!$J$15)/Curve_Records!$D$15,TRUE)-NORM.S.DIST(LN(A31/Curve_Records!$K$15)/Curve_Records!$D$15,TRUE))*Curve_Records!$F$15+(NORM.S.DIST(LN(A31/Curve_Records!$K$15)/Curve_Records!$D$15,TRUE)-IF(Curve_Records!$L$15="",0,NORM.S.DIST(LN(A31/Curve_Records!$L$15)/Curve_Records!$D$15,TRUE)))*Curve_Records!$G$15+IF(Curve_Records!$L$15="",0,NORM.S.DIST(LN(A31/Curve_Records!$L$15)/Curve_Records!$D$15,TRUE))*Curve_Records!$H$15)</x:f>
        <x:v>0.4355327980596059</x:v>
      </x:c>
      <x:c r="F31" s="49"/>
    </x:row>
    <x:row r="32" ht="30" customHeight="1">
      <x:c r="A32" s="25" t="n">
        <x:v>1.35</x:v>
      </x:c>
      <x:c r="B32" s="25" t="n">
        <x:f>IF(A32&lt;Curve_Records!$E$6,0,(NORM.S.DIST(LN(A32/Curve_Records!$J$6)/Curve_Records!$D$6,TRUE)-NORM.S.DIST(LN(A32/Curve_Records!$K$6)/Curve_Records!$D$6,TRUE))*Curve_Records!$F$6+(NORM.S.DIST(LN(A32/Curve_Records!$K$6)/Curve_Records!$D$6,TRUE)-IF(Curve_Records!$L$6="",0,NORM.S.DIST(LN(A32/Curve_Records!$L$6)/Curve_Records!$D$6,TRUE)))*Curve_Records!$G$6+IF(Curve_Records!$L$6="",0,NORM.S.DIST(LN(A32/Curve_Records!$L$6)/Curve_Records!$D$6,TRUE))*Curve_Records!$H$6)</x:f>
        <x:v>0.38416772574480185</x:v>
      </x:c>
      <x:c r="C32" s="25" t="n">
        <x:f>IF(A32&lt;Curve_Records!$E$9,0,(NORM.S.DIST(LN(A32/Curve_Records!$J$9)/Curve_Records!$D$9,TRUE)-NORM.S.DIST(LN(A32/Curve_Records!$K$9)/Curve_Records!$D$9,TRUE))*Curve_Records!$F$9+(NORM.S.DIST(LN(A32/Curve_Records!$K$9)/Curve_Records!$D$9,TRUE)-IF(Curve_Records!$L$9="",0,NORM.S.DIST(LN(A32/Curve_Records!$L$9)/Curve_Records!$D$9,TRUE)))*Curve_Records!$G$9+IF(Curve_Records!$L$9="",0,NORM.S.DIST(LN(A32/Curve_Records!$L$9)/Curve_Records!$D$9,TRUE))*Curve_Records!$H$9)</x:f>
        <x:v>0.37971559411671607</x:v>
      </x:c>
      <x:c r="D32" s="25" t="n">
        <x:f>IF(A32&lt;Curve_Records!$E$12,0,(NORM.S.DIST(LN(A32/Curve_Records!$J$12)/Curve_Records!$D$12,TRUE)-NORM.S.DIST(LN(A32/Curve_Records!$K$12)/Curve_Records!$D$12,TRUE))*Curve_Records!$F$12+(NORM.S.DIST(LN(A32/Curve_Records!$K$12)/Curve_Records!$D$12,TRUE)-IF(Curve_Records!$L$12="",0,NORM.S.DIST(LN(A32/Curve_Records!$L$12)/Curve_Records!$D$12,TRUE)))*Curve_Records!$G$12+IF(Curve_Records!$L$12="",0,NORM.S.DIST(LN(A32/Curve_Records!$L$12)/Curve_Records!$D$12,TRUE))*Curve_Records!$H$12)</x:f>
        <x:v>0.49258956798116066</x:v>
      </x:c>
      <x:c r="E32" s="25" t="n">
        <x:f>IF(A32&lt;Curve_Records!$E$15,0,(NORM.S.DIST(LN(A32/Curve_Records!$J$15)/Curve_Records!$D$15,TRUE)-NORM.S.DIST(LN(A32/Curve_Records!$K$15)/Curve_Records!$D$15,TRUE))*Curve_Records!$F$15+(NORM.S.DIST(LN(A32/Curve_Records!$K$15)/Curve_Records!$D$15,TRUE)-IF(Curve_Records!$L$15="",0,NORM.S.DIST(LN(A32/Curve_Records!$L$15)/Curve_Records!$D$15,TRUE)))*Curve_Records!$G$15+IF(Curve_Records!$L$15="",0,NORM.S.DIST(LN(A32/Curve_Records!$L$15)/Curve_Records!$D$15,TRUE))*Curve_Records!$H$15)</x:f>
        <x:v>0.48829688012122324</x:v>
      </x:c>
      <x:c r="F32" s="49"/>
    </x:row>
    <x:row r="33" ht="30" customHeight="1">
      <x:c r="A33" s="24" t="n">
        <x:v>1.4000000000000001</x:v>
      </x:c>
      <x:c r="B33" s="24" t="n">
        <x:f>IF(A33&lt;Curve_Records!$E$6,0,(NORM.S.DIST(LN(A33/Curve_Records!$J$6)/Curve_Records!$D$6,TRUE)-NORM.S.DIST(LN(A33/Curve_Records!$K$6)/Curve_Records!$D$6,TRUE))*Curve_Records!$F$6+(NORM.S.DIST(LN(A33/Curve_Records!$K$6)/Curve_Records!$D$6,TRUE)-IF(Curve_Records!$L$6="",0,NORM.S.DIST(LN(A33/Curve_Records!$L$6)/Curve_Records!$D$6,TRUE)))*Curve_Records!$G$6+IF(Curve_Records!$L$6="",0,NORM.S.DIST(LN(A33/Curve_Records!$L$6)/Curve_Records!$D$6,TRUE))*Curve_Records!$H$6)</x:f>
        <x:v>0.4256683577275333</x:v>
      </x:c>
      <x:c r="C33" s="24" t="n">
        <x:f>IF(A33&lt;Curve_Records!$E$9,0,(NORM.S.DIST(LN(A33/Curve_Records!$J$9)/Curve_Records!$D$9,TRUE)-NORM.S.DIST(LN(A33/Curve_Records!$K$9)/Curve_Records!$D$9,TRUE))*Curve_Records!$F$9+(NORM.S.DIST(LN(A33/Curve_Records!$K$9)/Curve_Records!$D$9,TRUE)-IF(Curve_Records!$L$9="",0,NORM.S.DIST(LN(A33/Curve_Records!$L$9)/Curve_Records!$D$9,TRUE)))*Curve_Records!$G$9+IF(Curve_Records!$L$9="",0,NORM.S.DIST(LN(A33/Curve_Records!$L$9)/Curve_Records!$D$9,TRUE))*Curve_Records!$H$9)</x:f>
        <x:v>0.4237196462997611</x:v>
      </x:c>
      <x:c r="D33" s="24" t="n">
        <x:f>IF(A33&lt;Curve_Records!$E$12,0,(NORM.S.DIST(LN(A33/Curve_Records!$J$12)/Curve_Records!$D$12,TRUE)-NORM.S.DIST(LN(A33/Curve_Records!$K$12)/Curve_Records!$D$12,TRUE))*Curve_Records!$F$12+(NORM.S.DIST(LN(A33/Curve_Records!$K$12)/Curve_Records!$D$12,TRUE)-IF(Curve_Records!$L$12="",0,NORM.S.DIST(LN(A33/Curve_Records!$L$12)/Curve_Records!$D$12,TRUE)))*Curve_Records!$G$12+IF(Curve_Records!$L$12="",0,NORM.S.DIST(LN(A33/Curve_Records!$L$12)/Curve_Records!$D$12,TRUE))*Curve_Records!$H$12)</x:f>
        <x:v>0.5420738496305174</x:v>
      </x:c>
      <x:c r="E33" s="24" t="n">
        <x:f>IF(A33&lt;Curve_Records!$E$15,0,(NORM.S.DIST(LN(A33/Curve_Records!$J$15)/Curve_Records!$D$15,TRUE)-NORM.S.DIST(LN(A33/Curve_Records!$K$15)/Curve_Records!$D$15,TRUE))*Curve_Records!$F$15+(NORM.S.DIST(LN(A33/Curve_Records!$K$15)/Curve_Records!$D$15,TRUE)-IF(Curve_Records!$L$15="",0,NORM.S.DIST(LN(A33/Curve_Records!$L$15)/Curve_Records!$D$15,TRUE)))*Curve_Records!$G$15+IF(Curve_Records!$L$15="",0,NORM.S.DIST(LN(A33/Curve_Records!$L$15)/Curve_Records!$D$15,TRUE))*Curve_Records!$H$15)</x:f>
        <x:v>0.5394186941477394</x:v>
      </x:c>
      <x:c r="F33" s="49"/>
    </x:row>
    <x:row r="34" ht="30" customHeight="1">
      <x:c r="A34" s="25" t="n">
        <x:v>1.4500000000000002</x:v>
      </x:c>
      <x:c r="B34" s="25" t="n">
        <x:f>IF(A34&lt;Curve_Records!$E$6,0,(NORM.S.DIST(LN(A34/Curve_Records!$J$6)/Curve_Records!$D$6,TRUE)-NORM.S.DIST(LN(A34/Curve_Records!$K$6)/Curve_Records!$D$6,TRUE))*Curve_Records!$F$6+(NORM.S.DIST(LN(A34/Curve_Records!$K$6)/Curve_Records!$D$6,TRUE)-IF(Curve_Records!$L$6="",0,NORM.S.DIST(LN(A34/Curve_Records!$L$6)/Curve_Records!$D$6,TRUE)))*Curve_Records!$G$6+IF(Curve_Records!$L$6="",0,NORM.S.DIST(LN(A34/Curve_Records!$L$6)/Curve_Records!$D$6,TRUE))*Curve_Records!$H$6)</x:f>
        <x:v>0.467083004853697</x:v>
      </x:c>
      <x:c r="C34" s="25" t="n">
        <x:f>IF(A34&lt;Curve_Records!$E$9,0,(NORM.S.DIST(LN(A34/Curve_Records!$J$9)/Curve_Records!$D$9,TRUE)-NORM.S.DIST(LN(A34/Curve_Records!$K$9)/Curve_Records!$D$9,TRUE))*Curve_Records!$F$9+(NORM.S.DIST(LN(A34/Curve_Records!$K$9)/Curve_Records!$D$9,TRUE)-IF(Curve_Records!$L$9="",0,NORM.S.DIST(LN(A34/Curve_Records!$L$9)/Curve_Records!$D$9,TRUE)))*Curve_Records!$G$9+IF(Curve_Records!$L$9="",0,NORM.S.DIST(LN(A34/Curve_Records!$L$9)/Curve_Records!$D$9,TRUE))*Curve_Records!$H$9)</x:f>
        <x:v>0.46725389687690444</x:v>
      </x:c>
      <x:c r="D34" s="25" t="n">
        <x:f>IF(A34&lt;Curve_Records!$E$12,0,(NORM.S.DIST(LN(A34/Curve_Records!$J$12)/Curve_Records!$D$12,TRUE)-NORM.S.DIST(LN(A34/Curve_Records!$K$12)/Curve_Records!$D$12,TRUE))*Curve_Records!$F$12+(NORM.S.DIST(LN(A34/Curve_Records!$K$12)/Curve_Records!$D$12,TRUE)-IF(Curve_Records!$L$12="",0,NORM.S.DIST(LN(A34/Curve_Records!$L$12)/Curve_Records!$D$12,TRUE)))*Curve_Records!$G$12+IF(Curve_Records!$L$12="",0,NORM.S.DIST(LN(A34/Curve_Records!$L$12)/Curve_Records!$D$12,TRUE))*Curve_Records!$H$12)</x:f>
        <x:v>0.5894856473700906</x:v>
      </x:c>
      <x:c r="E34" s="25" t="n">
        <x:f>IF(A34&lt;Curve_Records!$E$15,0,(NORM.S.DIST(LN(A34/Curve_Records!$J$15)/Curve_Records!$D$15,TRUE)-NORM.S.DIST(LN(A34/Curve_Records!$K$15)/Curve_Records!$D$15,TRUE))*Curve_Records!$F$15+(NORM.S.DIST(LN(A34/Curve_Records!$K$15)/Curve_Records!$D$15,TRUE)-IF(Curve_Records!$L$15="",0,NORM.S.DIST(LN(A34/Curve_Records!$L$15)/Curve_Records!$D$15,TRUE)))*Curve_Records!$G$15+IF(Curve_Records!$L$15="",0,NORM.S.DIST(LN(A34/Curve_Records!$L$15)/Curve_Records!$D$15,TRUE))*Curve_Records!$H$15)</x:f>
        <x:v>0.5882080630718074</x:v>
      </x:c>
      <x:c r="F34" s="49"/>
    </x:row>
    <x:row r="35" ht="30" customHeight="1">
      <x:c r="A35" s="24" t="n">
        <x:v>1.5</x:v>
      </x:c>
      <x:c r="B35" s="24" t="n">
        <x:f>IF(A35&lt;Curve_Records!$E$6,0,(NORM.S.DIST(LN(A35/Curve_Records!$J$6)/Curve_Records!$D$6,TRUE)-NORM.S.DIST(LN(A35/Curve_Records!$K$6)/Curve_Records!$D$6,TRUE))*Curve_Records!$F$6+(NORM.S.DIST(LN(A35/Curve_Records!$K$6)/Curve_Records!$D$6,TRUE)-IF(Curve_Records!$L$6="",0,NORM.S.DIST(LN(A35/Curve_Records!$L$6)/Curve_Records!$D$6,TRUE)))*Curve_Records!$G$6+IF(Curve_Records!$L$6="",0,NORM.S.DIST(LN(A35/Curve_Records!$L$6)/Curve_Records!$D$6,TRUE))*Curve_Records!$H$6)</x:f>
        <x:v>0.5079182254178265</x:v>
      </x:c>
      <x:c r="C35" s="24" t="n">
        <x:f>IF(A35&lt;Curve_Records!$E$9,0,(NORM.S.DIST(LN(A35/Curve_Records!$J$9)/Curve_Records!$D$9,TRUE)-NORM.S.DIST(LN(A35/Curve_Records!$K$9)/Curve_Records!$D$9,TRUE))*Curve_Records!$F$9+(NORM.S.DIST(LN(A35/Curve_Records!$K$9)/Curve_Records!$D$9,TRUE)-IF(Curve_Records!$L$9="",0,NORM.S.DIST(LN(A35/Curve_Records!$L$9)/Curve_Records!$D$9,TRUE)))*Curve_Records!$G$9+IF(Curve_Records!$L$9="",0,NORM.S.DIST(LN(A35/Curve_Records!$L$9)/Curve_Records!$D$9,TRUE))*Curve_Records!$H$9)</x:f>
        <x:v>0.5098257698142954</x:v>
      </x:c>
      <x:c r="D35" s="24" t="n">
        <x:f>IF(A35&lt;Curve_Records!$E$12,0,(NORM.S.DIST(LN(A35/Curve_Records!$J$12)/Curve_Records!$D$12,TRUE)-NORM.S.DIST(LN(A35/Curve_Records!$K$12)/Curve_Records!$D$12,TRUE))*Curve_Records!$F$12+(NORM.S.DIST(LN(A35/Curve_Records!$K$12)/Curve_Records!$D$12,TRUE)-IF(Curve_Records!$L$12="",0,NORM.S.DIST(LN(A35/Curve_Records!$L$12)/Curve_Records!$D$12,TRUE)))*Curve_Records!$G$12+IF(Curve_Records!$L$12="",0,NORM.S.DIST(LN(A35/Curve_Records!$L$12)/Curve_Records!$D$12,TRUE))*Curve_Records!$H$12)</x:f>
        <x:v>0.6343067246840441</x:v>
      </x:c>
      <x:c r="E35" s="24" t="n">
        <x:f>IF(A35&lt;Curve_Records!$E$15,0,(NORM.S.DIST(LN(A35/Curve_Records!$J$15)/Curve_Records!$D$15,TRUE)-NORM.S.DIST(LN(A35/Curve_Records!$K$15)/Curve_Records!$D$15,TRUE))*Curve_Records!$F$15+(NORM.S.DIST(LN(A35/Curve_Records!$K$15)/Curve_Records!$D$15,TRUE)-IF(Curve_Records!$L$15="",0,NORM.S.DIST(LN(A35/Curve_Records!$L$15)/Curve_Records!$D$15,TRUE)))*Curve_Records!$G$15+IF(Curve_Records!$L$15="",0,NORM.S.DIST(LN(A35/Curve_Records!$L$15)/Curve_Records!$D$15,TRUE))*Curve_Records!$H$15)</x:f>
        <x:v>0.6341445553236073</x:v>
      </x:c>
      <x:c r="F35" s="49"/>
    </x:row>
    <x:row r="36" ht="30" customHeight="1">
      <x:c r="A36" s="25" t="n">
        <x:v>1.55</x:v>
      </x:c>
      <x:c r="B36" s="25" t="n">
        <x:f>IF(A36&lt;Curve_Records!$E$6,0,(NORM.S.DIST(LN(A36/Curve_Records!$J$6)/Curve_Records!$D$6,TRUE)-NORM.S.DIST(LN(A36/Curve_Records!$K$6)/Curve_Records!$D$6,TRUE))*Curve_Records!$F$6+(NORM.S.DIST(LN(A36/Curve_Records!$K$6)/Curve_Records!$D$6,TRUE)-IF(Curve_Records!$L$6="",0,NORM.S.DIST(LN(A36/Curve_Records!$L$6)/Curve_Records!$D$6,TRUE)))*Curve_Records!$G$6+IF(Curve_Records!$L$6="",0,NORM.S.DIST(LN(A36/Curve_Records!$L$6)/Curve_Records!$D$6,TRUE))*Curve_Records!$H$6)</x:f>
        <x:v>0.5477388780834123</x:v>
      </x:c>
      <x:c r="C36" s="25" t="n">
        <x:f>IF(A36&lt;Curve_Records!$E$9,0,(NORM.S.DIST(LN(A36/Curve_Records!$J$9)/Curve_Records!$D$9,TRUE)-NORM.S.DIST(LN(A36/Curve_Records!$K$9)/Curve_Records!$D$9,TRUE))*Curve_Records!$F$9+(NORM.S.DIST(LN(A36/Curve_Records!$K$9)/Curve_Records!$D$9,TRUE)-IF(Curve_Records!$L$9="",0,NORM.S.DIST(LN(A36/Curve_Records!$L$9)/Curve_Records!$D$9,TRUE)))*Curve_Records!$G$9+IF(Curve_Records!$L$9="",0,NORM.S.DIST(LN(A36/Curve_Records!$L$9)/Curve_Records!$D$9,TRUE))*Curve_Records!$H$9)</x:f>
        <x:v>0.5510189276402955</x:v>
      </x:c>
      <x:c r="D36" s="25" t="n">
        <x:f>IF(A36&lt;Curve_Records!$E$12,0,(NORM.S.DIST(LN(A36/Curve_Records!$J$12)/Curve_Records!$D$12,TRUE)-NORM.S.DIST(LN(A36/Curve_Records!$K$12)/Curve_Records!$D$12,TRUE))*Curve_Records!$F$12+(NORM.S.DIST(LN(A36/Curve_Records!$K$12)/Curve_Records!$D$12,TRUE)-IF(Curve_Records!$L$12="",0,NORM.S.DIST(LN(A36/Curve_Records!$L$12)/Curve_Records!$D$12,TRUE)))*Curve_Records!$G$12+IF(Curve_Records!$L$12="",0,NORM.S.DIST(LN(A36/Curve_Records!$L$12)/Curve_Records!$D$12,TRUE))*Curve_Records!$H$12)</x:f>
        <x:v>0.6761653776621599</x:v>
      </x:c>
      <x:c r="E36" s="25" t="n">
        <x:f>IF(A36&lt;Curve_Records!$E$15,0,(NORM.S.DIST(LN(A36/Curve_Records!$J$15)/Curve_Records!$D$15,TRUE)-NORM.S.DIST(LN(A36/Curve_Records!$K$15)/Curve_Records!$D$15,TRUE))*Curve_Records!$F$15+(NORM.S.DIST(LN(A36/Curve_Records!$K$15)/Curve_Records!$D$15,TRUE)-IF(Curve_Records!$L$15="",0,NORM.S.DIST(LN(A36/Curve_Records!$L$15)/Curve_Records!$D$15,TRUE)))*Curve_Records!$G$15+IF(Curve_Records!$L$15="",0,NORM.S.DIST(LN(A36/Curve_Records!$L$15)/Curve_Records!$D$15,TRUE))*Curve_Records!$H$15)</x:f>
        <x:v>0.6768702132631685</x:v>
      </x:c>
      <x:c r="F36" s="49"/>
    </x:row>
    <x:row r="37" ht="30" customHeight="1">
      <x:c r="A37" s="24" t="n">
        <x:v>1.6</x:v>
      </x:c>
      <x:c r="B37" s="24" t="n">
        <x:f>IF(A37&lt;Curve_Records!$E$6,0,(NORM.S.DIST(LN(A37/Curve_Records!$J$6)/Curve_Records!$D$6,TRUE)-NORM.S.DIST(LN(A37/Curve_Records!$K$6)/Curve_Records!$D$6,TRUE))*Curve_Records!$F$6+(NORM.S.DIST(LN(A37/Curve_Records!$K$6)/Curve_Records!$D$6,TRUE)-IF(Curve_Records!$L$6="",0,NORM.S.DIST(LN(A37/Curve_Records!$L$6)/Curve_Records!$D$6,TRUE)))*Curve_Records!$G$6+IF(Curve_Records!$L$6="",0,NORM.S.DIST(LN(A37/Curve_Records!$L$6)/Curve_Records!$D$6,TRUE))*Curve_Records!$H$6)</x:f>
        <x:v>0.5861771023365916</x:v>
      </x:c>
      <x:c r="C37" s="24" t="n">
        <x:f>IF(A37&lt;Curve_Records!$E$9,0,(NORM.S.DIST(LN(A37/Curve_Records!$J$9)/Curve_Records!$D$9,TRUE)-NORM.S.DIST(LN(A37/Curve_Records!$K$9)/Curve_Records!$D$9,TRUE))*Curve_Records!$F$9+(NORM.S.DIST(LN(A37/Curve_Records!$K$9)/Curve_Records!$D$9,TRUE)-IF(Curve_Records!$L$9="",0,NORM.S.DIST(LN(A37/Curve_Records!$L$9)/Curve_Records!$D$9,TRUE)))*Curve_Records!$G$9+IF(Curve_Records!$L$9="",0,NORM.S.DIST(LN(A37/Curve_Records!$L$9)/Curve_Records!$D$9,TRUE))*Curve_Records!$H$9)</x:f>
        <x:v>0.5904962416959094</x:v>
      </x:c>
      <x:c r="D37" s="24" t="n">
        <x:f>IF(A37&lt;Curve_Records!$E$12,0,(NORM.S.DIST(LN(A37/Curve_Records!$J$12)/Curve_Records!$D$12,TRUE)-NORM.S.DIST(LN(A37/Curve_Records!$K$12)/Curve_Records!$D$12,TRUE))*Curve_Records!$F$12+(NORM.S.DIST(LN(A37/Curve_Records!$K$12)/Curve_Records!$D$12,TRUE)-IF(Curve_Records!$L$12="",0,NORM.S.DIST(LN(A37/Curve_Records!$L$12)/Curve_Records!$D$12,TRUE)))*Curve_Records!$G$12+IF(Curve_Records!$L$12="",0,NORM.S.DIST(LN(A37/Curve_Records!$L$12)/Curve_Records!$D$12,TRUE))*Curve_Records!$H$12)</x:f>
        <x:v>0.7148266720730025</x:v>
      </x:c>
      <x:c r="E37" s="24" t="n">
        <x:f>IF(A37&lt;Curve_Records!$E$15,0,(NORM.S.DIST(LN(A37/Curve_Records!$J$15)/Curve_Records!$D$15,TRUE)-NORM.S.DIST(LN(A37/Curve_Records!$K$15)/Curve_Records!$D$15,TRUE))*Curve_Records!$F$15+(NORM.S.DIST(LN(A37/Curve_Records!$K$15)/Curve_Records!$D$15,TRUE)-IF(Curve_Records!$L$15="",0,NORM.S.DIST(LN(A37/Curve_Records!$L$15)/Curve_Records!$D$15,TRUE)))*Curve_Records!$G$15+IF(Curve_Records!$L$15="",0,NORM.S.DIST(LN(A37/Curve_Records!$L$15)/Curve_Records!$D$15,TRUE))*Curve_Records!$H$15)</x:f>
        <x:v>0.7161741135312216</x:v>
      </x:c>
      <x:c r="F37" s="49"/>
    </x:row>
    <x:row r="38" ht="30" customHeight="1">
      <x:c r="A38" s="25" t="n">
        <x:v>1.6500000000000001</x:v>
      </x:c>
      <x:c r="B38" s="25" t="n">
        <x:f>IF(A38&lt;Curve_Records!$E$6,0,(NORM.S.DIST(LN(A38/Curve_Records!$J$6)/Curve_Records!$D$6,TRUE)-NORM.S.DIST(LN(A38/Curve_Records!$K$6)/Curve_Records!$D$6,TRUE))*Curve_Records!$F$6+(NORM.S.DIST(LN(A38/Curve_Records!$K$6)/Curve_Records!$D$6,TRUE)-IF(Curve_Records!$L$6="",0,NORM.S.DIST(LN(A38/Curve_Records!$L$6)/Curve_Records!$D$6,TRUE)))*Curve_Records!$G$6+IF(Curve_Records!$L$6="",0,NORM.S.DIST(LN(A38/Curve_Records!$L$6)/Curve_Records!$D$6,TRUE))*Curve_Records!$H$6)</x:f>
        <x:v>0.6229360641257069</x:v>
      </x:c>
      <x:c r="C38" s="25" t="n">
        <x:f>IF(A38&lt;Curve_Records!$E$9,0,(NORM.S.DIST(LN(A38/Curve_Records!$J$9)/Curve_Records!$D$9,TRUE)-NORM.S.DIST(LN(A38/Curve_Records!$K$9)/Curve_Records!$D$9,TRUE))*Curve_Records!$F$9+(NORM.S.DIST(LN(A38/Curve_Records!$K$9)/Curve_Records!$D$9,TRUE)-IF(Curve_Records!$L$9="",0,NORM.S.DIST(LN(A38/Curve_Records!$L$9)/Curve_Records!$D$9,TRUE)))*Curve_Records!$G$9+IF(Curve_Records!$L$9="",0,NORM.S.DIST(LN(A38/Curve_Records!$L$9)/Curve_Records!$D$9,TRUE))*Curve_Records!$H$9)</x:f>
        <x:v>0.6279985548335432</x:v>
      </x:c>
      <x:c r="D38" s="25" t="n">
        <x:f>IF(A38&lt;Curve_Records!$E$12,0,(NORM.S.DIST(LN(A38/Curve_Records!$J$12)/Curve_Records!$D$12,TRUE)-NORM.S.DIST(LN(A38/Curve_Records!$K$12)/Curve_Records!$D$12,TRUE))*Curve_Records!$F$12+(NORM.S.DIST(LN(A38/Curve_Records!$K$12)/Curve_Records!$D$12,TRUE)-IF(Curve_Records!$L$12="",0,NORM.S.DIST(LN(A38/Curve_Records!$L$12)/Curve_Records!$D$12,TRUE)))*Curve_Records!$G$12+IF(Curve_Records!$L$12="",0,NORM.S.DIST(LN(A38/Curve_Records!$L$12)/Curve_Records!$D$12,TRUE))*Curve_Records!$H$12)</x:f>
        <x:v>0.7501768520896275</x:v>
      </x:c>
      <x:c r="E38" s="25" t="n">
        <x:f>IF(A38&lt;Curve_Records!$E$15,0,(NORM.S.DIST(LN(A38/Curve_Records!$J$15)/Curve_Records!$D$15,TRUE)-NORM.S.DIST(LN(A38/Curve_Records!$K$15)/Curve_Records!$D$15,TRUE))*Curve_Records!$F$15+(NORM.S.DIST(LN(A38/Curve_Records!$K$15)/Curve_Records!$D$15,TRUE)-IF(Curve_Records!$L$15="",0,NORM.S.DIST(LN(A38/Curve_Records!$L$15)/Curve_Records!$D$15,TRUE)))*Curve_Records!$G$15+IF(Curve_Records!$L$15="",0,NORM.S.DIST(LN(A38/Curve_Records!$L$15)/Curve_Records!$D$15,TRUE))*Curve_Records!$H$15)</x:f>
        <x:v>0.7519720825251857</x:v>
      </x:c>
      <x:c r="F38" s="49"/>
    </x:row>
    <x:row r="39" ht="30" customHeight="1">
      <x:c r="A39" s="24" t="n">
        <x:v>1.7000000000000002</x:v>
      </x:c>
      <x:c r="B39" s="24" t="n">
        <x:f>IF(A39&lt;Curve_Records!$E$6,0,(NORM.S.DIST(LN(A39/Curve_Records!$J$6)/Curve_Records!$D$6,TRUE)-NORM.S.DIST(LN(A39/Curve_Records!$K$6)/Curve_Records!$D$6,TRUE))*Curve_Records!$F$6+(NORM.S.DIST(LN(A39/Curve_Records!$K$6)/Curve_Records!$D$6,TRUE)-IF(Curve_Records!$L$6="",0,NORM.S.DIST(LN(A39/Curve_Records!$L$6)/Curve_Records!$D$6,TRUE)))*Curve_Records!$G$6+IF(Curve_Records!$L$6="",0,NORM.S.DIST(LN(A39/Curve_Records!$L$6)/Curve_Records!$D$6,TRUE))*Curve_Records!$H$6)</x:f>
        <x:v>0.6577894476364181</x:v>
      </x:c>
      <x:c r="C39" s="24" t="n">
        <x:f>IF(A39&lt;Curve_Records!$E$9,0,(NORM.S.DIST(LN(A39/Curve_Records!$J$9)/Curve_Records!$D$9,TRUE)-NORM.S.DIST(LN(A39/Curve_Records!$K$9)/Curve_Records!$D$9,TRUE))*Curve_Records!$F$9+(NORM.S.DIST(LN(A39/Curve_Records!$K$9)/Curve_Records!$D$9,TRUE)-IF(Curve_Records!$L$9="",0,NORM.S.DIST(LN(A39/Curve_Records!$L$9)/Curve_Records!$D$9,TRUE)))*Curve_Records!$G$9+IF(Curve_Records!$L$9="",0,NORM.S.DIST(LN(A39/Curve_Records!$L$9)/Curve_Records!$D$9,TRUE))*Curve_Records!$H$9)</x:f>
        <x:v>0.663340265262818</x:v>
      </x:c>
      <x:c r="D39" s="24" t="n">
        <x:f>IF(A39&lt;Curve_Records!$E$12,0,(NORM.S.DIST(LN(A39/Curve_Records!$J$12)/Curve_Records!$D$12,TRUE)-NORM.S.DIST(LN(A39/Curve_Records!$K$12)/Curve_Records!$D$12,TRUE))*Curve_Records!$F$12+(NORM.S.DIST(LN(A39/Curve_Records!$K$12)/Curve_Records!$D$12,TRUE)-IF(Curve_Records!$L$12="",0,NORM.S.DIST(LN(A39/Curve_Records!$L$12)/Curve_Records!$D$12,TRUE)))*Curve_Records!$G$12+IF(Curve_Records!$L$12="",0,NORM.S.DIST(LN(A39/Curve_Records!$L$12)/Curve_Records!$D$12,TRUE))*Curve_Records!$H$12)</x:f>
        <x:v>0.7822045512820859</x:v>
      </x:c>
      <x:c r="E39" s="24" t="n">
        <x:f>IF(A39&lt;Curve_Records!$E$15,0,(NORM.S.DIST(LN(A39/Curve_Records!$J$15)/Curve_Records!$D$15,TRUE)-NORM.S.DIST(LN(A39/Curve_Records!$K$15)/Curve_Records!$D$15,TRUE))*Curve_Records!$F$15+(NORM.S.DIST(LN(A39/Curve_Records!$K$15)/Curve_Records!$D$15,TRUE)-IF(Curve_Records!$L$15="",0,NORM.S.DIST(LN(A39/Curve_Records!$L$15)/Curve_Records!$D$15,TRUE)))*Curve_Records!$G$15+IF(Curve_Records!$L$15="",0,NORM.S.DIST(LN(A39/Curve_Records!$L$15)/Curve_Records!$D$15,TRUE))*Curve_Records!$H$15)</x:f>
        <x:v>0.7842843027603803</x:v>
      </x:c>
      <x:c r="F39" s="49"/>
    </x:row>
    <x:row r="40" ht="30" customHeight="1">
      <x:c r="A40" s="25" t="n">
        <x:v>1.75</x:v>
      </x:c>
      <x:c r="B40" s="25" t="n">
        <x:f>IF(A40&lt;Curve_Records!$E$6,0,(NORM.S.DIST(LN(A40/Curve_Records!$J$6)/Curve_Records!$D$6,TRUE)-NORM.S.DIST(LN(A40/Curve_Records!$K$6)/Curve_Records!$D$6,TRUE))*Curve_Records!$F$6+(NORM.S.DIST(LN(A40/Curve_Records!$K$6)/Curve_Records!$D$6,TRUE)-IF(Curve_Records!$L$6="",0,NORM.S.DIST(LN(A40/Curve_Records!$L$6)/Curve_Records!$D$6,TRUE)))*Curve_Records!$G$6+IF(Curve_Records!$L$6="",0,NORM.S.DIST(LN(A40/Curve_Records!$L$6)/Curve_Records!$D$6,TRUE))*Curve_Records!$H$6)</x:f>
        <x:v>0.6905777344098031</x:v>
      </x:c>
      <x:c r="C40" s="25" t="n">
        <x:f>IF(A40&lt;Curve_Records!$E$9,0,(NORM.S.DIST(LN(A40/Curve_Records!$J$9)/Curve_Records!$D$9,TRUE)-NORM.S.DIST(LN(A40/Curve_Records!$K$9)/Curve_Records!$D$9,TRUE))*Curve_Records!$F$9+(NORM.S.DIST(LN(A40/Curve_Records!$K$9)/Curve_Records!$D$9,TRUE)-IF(Curve_Records!$L$9="",0,NORM.S.DIST(LN(A40/Curve_Records!$L$9)/Curve_Records!$D$9,TRUE)))*Curve_Records!$G$9+IF(Curve_Records!$L$9="",0,NORM.S.DIST(LN(A40/Curve_Records!$L$9)/Curve_Records!$D$9,TRUE))*Curve_Records!$H$9)</x:f>
        <x:v>0.6964027055903423</x:v>
      </x:c>
      <x:c r="D40" s="25" t="n">
        <x:f>IF(A40&lt;Curve_Records!$E$12,0,(NORM.S.DIST(LN(A40/Curve_Records!$J$12)/Curve_Records!$D$12,TRUE)-NORM.S.DIST(LN(A40/Curve_Records!$K$12)/Curve_Records!$D$12,TRUE))*Curve_Records!$F$12+(NORM.S.DIST(LN(A40/Curve_Records!$K$12)/Curve_Records!$D$12,TRUE)-IF(Curve_Records!$L$12="",0,NORM.S.DIST(LN(A40/Curve_Records!$L$12)/Curve_Records!$D$12,TRUE)))*Curve_Records!$G$12+IF(Curve_Records!$L$12="",0,NORM.S.DIST(LN(A40/Curve_Records!$L$12)/Curve_Records!$D$12,TRUE))*Curve_Records!$H$12)</x:f>
        <x:v>0.8109809357221825</x:v>
      </x:c>
      <x:c r="E40" s="25" t="n">
        <x:f>IF(A40&lt;Curve_Records!$E$15,0,(NORM.S.DIST(LN(A40/Curve_Records!$J$15)/Curve_Records!$D$15,TRUE)-NORM.S.DIST(LN(A40/Curve_Records!$K$15)/Curve_Records!$D$15,TRUE))*Curve_Records!$F$15+(NORM.S.DIST(LN(A40/Curve_Records!$K$15)/Curve_Records!$D$15,TRUE)-IF(Curve_Records!$L$15="",0,NORM.S.DIST(LN(A40/Curve_Records!$L$15)/Curve_Records!$D$15,TRUE)))*Curve_Records!$G$15+IF(Curve_Records!$L$15="",0,NORM.S.DIST(LN(A40/Curve_Records!$L$15)/Curve_Records!$D$15,TRUE))*Curve_Records!$H$15)</x:f>
        <x:v>0.813212884889789</x:v>
      </x:c>
      <x:c r="F40" s="49"/>
    </x:row>
    <x:row r="41" ht="30" customHeight="1">
      <x:c r="A41" s="24" t="n">
        <x:v>1.8</x:v>
      </x:c>
      <x:c r="B41" s="24" t="n">
        <x:f>IF(A41&lt;Curve_Records!$E$6,0,(NORM.S.DIST(LN(A41/Curve_Records!$J$6)/Curve_Records!$D$6,TRUE)-NORM.S.DIST(LN(A41/Curve_Records!$K$6)/Curve_Records!$D$6,TRUE))*Curve_Records!$F$6+(NORM.S.DIST(LN(A41/Curve_Records!$K$6)/Curve_Records!$D$6,TRUE)-IF(Curve_Records!$L$6="",0,NORM.S.DIST(LN(A41/Curve_Records!$L$6)/Curve_Records!$D$6,TRUE)))*Curve_Records!$G$6+IF(Curve_Records!$L$6="",0,NORM.S.DIST(LN(A41/Curve_Records!$L$6)/Curve_Records!$D$6,TRUE))*Curve_Records!$H$6)</x:f>
        <x:v>0.7212022583160004</x:v>
      </x:c>
      <x:c r="C41" s="24" t="n">
        <x:f>IF(A41&lt;Curve_Records!$E$9,0,(NORM.S.DIST(LN(A41/Curve_Records!$J$9)/Curve_Records!$D$9,TRUE)-NORM.S.DIST(LN(A41/Curve_Records!$K$9)/Curve_Records!$D$9,TRUE))*Curve_Records!$F$9+(NORM.S.DIST(LN(A41/Curve_Records!$K$9)/Curve_Records!$D$9,TRUE)-IF(Curve_Records!$L$9="",0,NORM.S.DIST(LN(A41/Curve_Records!$L$9)/Curve_Records!$D$9,TRUE)))*Curve_Records!$G$9+IF(Curve_Records!$L$9="",0,NORM.S.DIST(LN(A41/Curve_Records!$L$9)/Curve_Records!$D$9,TRUE))*Curve_Records!$H$9)</x:f>
        <x:v>0.7271261763436251</x:v>
      </x:c>
      <x:c r="D41" s="24" t="n">
        <x:f>IF(A41&lt;Curve_Records!$E$12,0,(NORM.S.DIST(LN(A41/Curve_Records!$J$12)/Curve_Records!$D$12,TRUE)-NORM.S.DIST(LN(A41/Curve_Records!$K$12)/Curve_Records!$D$12,TRUE))*Curve_Records!$F$12+(NORM.S.DIST(LN(A41/Curve_Records!$K$12)/Curve_Records!$D$12,TRUE)-IF(Curve_Records!$L$12="",0,NORM.S.DIST(LN(A41/Curve_Records!$L$12)/Curve_Records!$D$12,TRUE)))*Curve_Records!$G$12+IF(Curve_Records!$L$12="",0,NORM.S.DIST(LN(A41/Curve_Records!$L$12)/Curve_Records!$D$12,TRUE))*Curve_Records!$H$12)</x:f>
        <x:v>0.8366403617493962</x:v>
      </x:c>
      <x:c r="E41" s="24" t="n">
        <x:f>IF(A41&lt;Curve_Records!$E$15,0,(NORM.S.DIST(LN(A41/Curve_Records!$J$15)/Curve_Records!$D$15,TRUE)-NORM.S.DIST(LN(A41/Curve_Records!$K$15)/Curve_Records!$D$15,TRUE))*Curve_Records!$F$15+(NORM.S.DIST(LN(A41/Curve_Records!$K$15)/Curve_Records!$D$15,TRUE)-IF(Curve_Records!$L$15="",0,NORM.S.DIST(LN(A41/Curve_Records!$L$15)/Curve_Records!$D$15,TRUE)))*Curve_Records!$G$15+IF(Curve_Records!$L$15="",0,NORM.S.DIST(LN(A41/Curve_Records!$L$15)/Curve_Records!$D$15,TRUE))*Curve_Records!$H$15)</x:f>
        <x:v>0.8389208460944241</x:v>
      </x:c>
      <x:c r="F41" s="49"/>
    </x:row>
    <x:row r="42" ht="30" customHeight="1">
      <x:c r="A42" s="25" t="n">
        <x:v>1.85</x:v>
      </x:c>
      <x:c r="B42" s="25" t="n">
        <x:f>IF(A42&lt;Curve_Records!$E$6,0,(NORM.S.DIST(LN(A42/Curve_Records!$J$6)/Curve_Records!$D$6,TRUE)-NORM.S.DIST(LN(A42/Curve_Records!$K$6)/Curve_Records!$D$6,TRUE))*Curve_Records!$F$6+(NORM.S.DIST(LN(A42/Curve_Records!$K$6)/Curve_Records!$D$6,TRUE)-IF(Curve_Records!$L$6="",0,NORM.S.DIST(LN(A42/Curve_Records!$L$6)/Curve_Records!$D$6,TRUE)))*Curve_Records!$G$6+IF(Curve_Records!$L$6="",0,NORM.S.DIST(LN(A42/Curve_Records!$L$6)/Curve_Records!$D$6,TRUE))*Curve_Records!$H$6)</x:f>
        <x:v>0.7496179046650453</x:v>
      </x:c>
      <x:c r="C42" s="25" t="n">
        <x:f>IF(A42&lt;Curve_Records!$E$9,0,(NORM.S.DIST(LN(A42/Curve_Records!$J$9)/Curve_Records!$D$9,TRUE)-NORM.S.DIST(LN(A42/Curve_Records!$K$9)/Curve_Records!$D$9,TRUE))*Curve_Records!$F$9+(NORM.S.DIST(LN(A42/Curve_Records!$K$9)/Curve_Records!$D$9,TRUE)-IF(Curve_Records!$L$9="",0,NORM.S.DIST(LN(A42/Curve_Records!$L$9)/Curve_Records!$D$9,TRUE)))*Curve_Records!$G$9+IF(Curve_Records!$L$9="",0,NORM.S.DIST(LN(A42/Curve_Records!$L$9)/Curve_Records!$D$9,TRUE))*Curve_Records!$H$9)</x:f>
        <x:v>0.7555013480529911</x:v>
      </x:c>
      <x:c r="D42" s="25" t="n">
        <x:f>IF(A42&lt;Curve_Records!$E$12,0,(NORM.S.DIST(LN(A42/Curve_Records!$J$12)/Curve_Records!$D$12,TRUE)-NORM.S.DIST(LN(A42/Curve_Records!$K$12)/Curve_Records!$D$12,TRUE))*Curve_Records!$F$12+(NORM.S.DIST(LN(A42/Curve_Records!$K$12)/Curve_Records!$D$12,TRUE)-IF(Curve_Records!$L$12="",0,NORM.S.DIST(LN(A42/Curve_Records!$L$12)/Curve_Records!$D$12,TRUE)))*Curve_Records!$G$12+IF(Curve_Records!$L$12="",0,NORM.S.DIST(LN(A42/Curve_Records!$L$12)/Curve_Records!$D$12,TRUE))*Curve_Records!$H$12)</x:f>
        <x:v>0.8593626155414513</x:v>
      </x:c>
      <x:c r="E42" s="25" t="n">
        <x:f>IF(A42&lt;Curve_Records!$E$15,0,(NORM.S.DIST(LN(A42/Curve_Records!$J$15)/Curve_Records!$D$15,TRUE)-NORM.S.DIST(LN(A42/Curve_Records!$K$15)/Curve_Records!$D$15,TRUE))*Curve_Records!$F$15+(NORM.S.DIST(LN(A42/Curve_Records!$K$15)/Curve_Records!$D$15,TRUE)-IF(Curve_Records!$L$15="",0,NORM.S.DIST(LN(A42/Curve_Records!$L$15)/Curve_Records!$D$15,TRUE)))*Curve_Records!$G$15+IF(Curve_Records!$L$15="",0,NORM.S.DIST(LN(A42/Curve_Records!$L$15)/Curve_Records!$D$15,TRUE))*Curve_Records!$H$15)</x:f>
        <x:v>0.8616133857861691</x:v>
      </x:c>
      <x:c r="F42" s="49"/>
    </x:row>
    <x:row r="43" ht="30" customHeight="1">
      <x:c r="A43" s="24" t="n">
        <x:v>1.9000000000000001</x:v>
      </x:c>
      <x:c r="B43" s="24" t="n">
        <x:f>IF(A43&lt;Curve_Records!$E$6,0,(NORM.S.DIST(LN(A43/Curve_Records!$J$6)/Curve_Records!$D$6,TRUE)-NORM.S.DIST(LN(A43/Curve_Records!$K$6)/Curve_Records!$D$6,TRUE))*Curve_Records!$F$6+(NORM.S.DIST(LN(A43/Curve_Records!$K$6)/Curve_Records!$D$6,TRUE)-IF(Curve_Records!$L$6="",0,NORM.S.DIST(LN(A43/Curve_Records!$L$6)/Curve_Records!$D$6,TRUE)))*Curve_Records!$G$6+IF(Curve_Records!$L$6="",0,NORM.S.DIST(LN(A43/Curve_Records!$L$6)/Curve_Records!$D$6,TRUE))*Curve_Records!$H$6)</x:f>
        <x:v>0.7758251692821732</x:v>
      </x:c>
      <x:c r="C43" s="24" t="n">
        <x:f>IF(A43&lt;Curve_Records!$E$9,0,(NORM.S.DIST(LN(A43/Curve_Records!$J$9)/Curve_Records!$D$9,TRUE)-NORM.S.DIST(LN(A43/Curve_Records!$K$9)/Curve_Records!$D$9,TRUE))*Curve_Records!$F$9+(NORM.S.DIST(LN(A43/Curve_Records!$K$9)/Curve_Records!$D$9,TRUE)-IF(Curve_Records!$L$9="",0,NORM.S.DIST(LN(A43/Curve_Records!$L$9)/Curve_Records!$D$9,TRUE)))*Curve_Records!$G$9+IF(Curve_Records!$L$9="",0,NORM.S.DIST(LN(A43/Curve_Records!$L$9)/Curve_Records!$D$9,TRUE))*Curve_Records!$H$9)</x:f>
        <x:v>0.7815605925239482</x:v>
      </x:c>
      <x:c r="D43" s="24" t="n">
        <x:f>IF(A43&lt;Curve_Records!$E$12,0,(NORM.S.DIST(LN(A43/Curve_Records!$J$12)/Curve_Records!$D$12,TRUE)-NORM.S.DIST(LN(A43/Curve_Records!$K$12)/Curve_Records!$D$12,TRUE))*Curve_Records!$F$12+(NORM.S.DIST(LN(A43/Curve_Records!$K$12)/Curve_Records!$D$12,TRUE)-IF(Curve_Records!$L$12="",0,NORM.S.DIST(LN(A43/Curve_Records!$L$12)/Curve_Records!$D$12,TRUE)))*Curve_Records!$G$12+IF(Curve_Records!$L$12="",0,NORM.S.DIST(LN(A43/Curve_Records!$L$12)/Curve_Records!$D$12,TRUE))*Curve_Records!$H$12)</x:f>
        <x:v>0.879357361643991</x:v>
      </x:c>
      <x:c r="E43" s="24" t="n">
        <x:f>IF(A43&lt;Curve_Records!$E$15,0,(NORM.S.DIST(LN(A43/Curve_Records!$J$15)/Curve_Records!$D$15,TRUE)-NORM.S.DIST(LN(A43/Curve_Records!$K$15)/Curve_Records!$D$15,TRUE))*Curve_Records!$F$15+(NORM.S.DIST(LN(A43/Curve_Records!$K$15)/Curve_Records!$D$15,TRUE)-IF(Curve_Records!$L$15="",0,NORM.S.DIST(LN(A43/Curve_Records!$L$15)/Curve_Records!$D$15,TRUE)))*Curve_Records!$G$15+IF(Curve_Records!$L$15="",0,NORM.S.DIST(LN(A43/Curve_Records!$L$15)/Curve_Records!$D$15,TRUE))*Curve_Records!$H$15)</x:f>
        <x:v>0.8815219088966437</x:v>
      </x:c>
      <x:c r="F43" s="49"/>
    </x:row>
    <x:row r="44" ht="30" customHeight="1">
      <x:c r="A44" s="25" t="n">
        <x:v>1.9500000000000002</x:v>
      </x:c>
      <x:c r="B44" s="25" t="n">
        <x:f>IF(A44&lt;Curve_Records!$E$6,0,(NORM.S.DIST(LN(A44/Curve_Records!$J$6)/Curve_Records!$D$6,TRUE)-NORM.S.DIST(LN(A44/Curve_Records!$K$6)/Curve_Records!$D$6,TRUE))*Curve_Records!$F$6+(NORM.S.DIST(LN(A44/Curve_Records!$K$6)/Curve_Records!$D$6,TRUE)-IF(Curve_Records!$L$6="",0,NORM.S.DIST(LN(A44/Curve_Records!$L$6)/Curve_Records!$D$6,TRUE)))*Curve_Records!$G$6+IF(Curve_Records!$L$6="",0,NORM.S.DIST(LN(A44/Curve_Records!$L$6)/Curve_Records!$D$6,TRUE))*Curve_Records!$H$6)</x:f>
        <x:v>0.7998621338567027</x:v>
      </x:c>
      <x:c r="C44" s="25" t="n">
        <x:f>IF(A44&lt;Curve_Records!$E$9,0,(NORM.S.DIST(LN(A44/Curve_Records!$J$9)/Curve_Records!$D$9,TRUE)-NORM.S.DIST(LN(A44/Curve_Records!$K$9)/Curve_Records!$D$9,TRUE))*Curve_Records!$F$9+(NORM.S.DIST(LN(A44/Curve_Records!$K$9)/Curve_Records!$D$9,TRUE)-IF(Curve_Records!$L$9="",0,NORM.S.DIST(LN(A44/Curve_Records!$L$9)/Curve_Records!$D$9,TRUE)))*Curve_Records!$G$9+IF(Curve_Records!$L$9="",0,NORM.S.DIST(LN(A44/Curve_Records!$L$9)/Curve_Records!$D$9,TRUE))*Curve_Records!$H$9)</x:f>
        <x:v>0.805369657453771</x:v>
      </x:c>
      <x:c r="D44" s="25" t="n">
        <x:f>IF(A44&lt;Curve_Records!$E$12,0,(NORM.S.DIST(LN(A44/Curve_Records!$J$12)/Curve_Records!$D$12,TRUE)-NORM.S.DIST(LN(A44/Curve_Records!$K$12)/Curve_Records!$D$12,TRUE))*Curve_Records!$F$12+(NORM.S.DIST(LN(A44/Curve_Records!$K$12)/Curve_Records!$D$12,TRUE)-IF(Curve_Records!$L$12="",0,NORM.S.DIST(LN(A44/Curve_Records!$L$12)/Curve_Records!$D$12,TRUE)))*Curve_Records!$G$12+IF(Curve_Records!$L$12="",0,NORM.S.DIST(LN(A44/Curve_Records!$L$12)/Curve_Records!$D$12,TRUE))*Curve_Records!$H$12)</x:f>
        <x:v>0.8968510804781689</x:v>
      </x:c>
      <x:c r="E44" s="25" t="n">
        <x:f>IF(A44&lt;Curve_Records!$E$15,0,(NORM.S.DIST(LN(A44/Curve_Records!$J$15)/Curve_Records!$D$15,TRUE)-NORM.S.DIST(LN(A44/Curve_Records!$K$15)/Curve_Records!$D$15,TRUE))*Curve_Records!$F$15+(NORM.S.DIST(LN(A44/Curve_Records!$K$15)/Curve_Records!$D$15,TRUE)-IF(Curve_Records!$L$15="",0,NORM.S.DIST(LN(A44/Curve_Records!$L$15)/Curve_Records!$D$15,TRUE)))*Curve_Records!$G$15+IF(Curve_Records!$L$15="",0,NORM.S.DIST(LN(A44/Curve_Records!$L$15)/Curve_Records!$D$15,TRUE))*Curve_Records!$H$15)</x:f>
        <x:v>0.8988909182491616</x:v>
      </x:c>
      <x:c r="F44" s="49"/>
    </x:row>
    <x:row r="45" ht="30" customHeight="1">
      <x:c r="A45" s="24" t="n">
        <x:v>2</x:v>
      </x:c>
      <x:c r="B45" s="24" t="n">
        <x:f>IF(A45&lt;Curve_Records!$E$6,0,(NORM.S.DIST(LN(A45/Curve_Records!$J$6)/Curve_Records!$D$6,TRUE)-NORM.S.DIST(LN(A45/Curve_Records!$K$6)/Curve_Records!$D$6,TRUE))*Curve_Records!$F$6+(NORM.S.DIST(LN(A45/Curve_Records!$K$6)/Curve_Records!$D$6,TRUE)-IF(Curve_Records!$L$6="",0,NORM.S.DIST(LN(A45/Curve_Records!$L$6)/Curve_Records!$D$6,TRUE)))*Curve_Records!$G$6+IF(Curve_Records!$L$6="",0,NORM.S.DIST(LN(A45/Curve_Records!$L$6)/Curve_Records!$D$6,TRUE))*Curve_Records!$H$6)</x:f>
        <x:v>0.821796763590911</x:v>
      </x:c>
      <x:c r="C45" s="24" t="n">
        <x:f>IF(A45&lt;Curve_Records!$E$9,0,(NORM.S.DIST(LN(A45/Curve_Records!$J$9)/Curve_Records!$D$9,TRUE)-NORM.S.DIST(LN(A45/Curve_Records!$K$9)/Curve_Records!$D$9,TRUE))*Curve_Records!$F$9+(NORM.S.DIST(LN(A45/Curve_Records!$K$9)/Curve_Records!$D$9,TRUE)-IF(Curve_Records!$L$9="",0,NORM.S.DIST(LN(A45/Curve_Records!$L$9)/Curve_Records!$D$9,TRUE)))*Curve_Records!$G$9+IF(Curve_Records!$L$9="",0,NORM.S.DIST(LN(A45/Curve_Records!$L$9)/Curve_Records!$D$9,TRUE))*Curve_Records!$H$9)</x:f>
        <x:v>0.8270199682377997</x:v>
      </x:c>
      <x:c r="D45" s="24" t="n">
        <x:f>IF(A45&lt;Curve_Records!$E$12,0,(NORM.S.DIST(LN(A45/Curve_Records!$J$12)/Curve_Records!$D$12,TRUE)-NORM.S.DIST(LN(A45/Curve_Records!$K$12)/Curve_Records!$D$12,TRUE))*Curve_Records!$F$12+(NORM.S.DIST(LN(A45/Curve_Records!$K$12)/Curve_Records!$D$12,TRUE)-IF(Curve_Records!$L$12="",0,NORM.S.DIST(LN(A45/Curve_Records!$L$12)/Curve_Records!$D$12,TRUE)))*Curve_Records!$G$12+IF(Curve_Records!$L$12="",0,NORM.S.DIST(LN(A45/Curve_Records!$L$12)/Curve_Records!$D$12,TRUE))*Curve_Records!$H$12)</x:f>
        <x:v>0.9120765206271386</x:v>
      </x:c>
      <x:c r="E45" s="24" t="n">
        <x:f>IF(A45&lt;Curve_Records!$E$15,0,(NORM.S.DIST(LN(A45/Curve_Records!$J$15)/Curve_Records!$D$15,TRUE)-NORM.S.DIST(LN(A45/Curve_Records!$K$15)/Curve_Records!$D$15,TRUE))*Curve_Records!$F$15+(NORM.S.DIST(LN(A45/Curve_Records!$K$15)/Curve_Records!$D$15,TRUE)-IF(Curve_Records!$L$15="",0,NORM.S.DIST(LN(A45/Curve_Records!$L$15)/Curve_Records!$D$15,TRUE)))*Curve_Records!$G$15+IF(Curve_Records!$L$15="",0,NORM.S.DIST(LN(A45/Curve_Records!$L$15)/Curve_Records!$D$15,TRUE))*Curve_Records!$H$15)</x:f>
        <x:v>0.9139676702889865</x:v>
      </x:c>
      <x:c r="F45" s="49"/>
    </x:row>
  </x:sheetData>
  <x:mergeCells>
    <x:mergeCell ref="A1:F1"/>
    <x:mergeCell ref="A2:F2"/>
  </x:mergeCells>
  <x:pageMargins left="0.7" right="0.7" top="0.75" bottom="0.75" header="0.3" footer="0.3"/>
  <x:drawing xmlns:r="http://schemas.openxmlformats.org/officeDocument/2006/relationships" r:id="R69a5cec3b09e477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4" hidden="0" customWidth="1"/>
    <x:col min="4" max="4" width="56" hidden="0" customWidth="1"/>
    <x:col min="5" max="5" width="12" hidden="0" customWidth="1"/>
    <x:col min="6" max="6" width="70" hidden="0" customWidth="1"/>
  </x:cols>
  <x:sheetData>
    <x:row r="1" ht="28" customHeight="1">
      <x:c r="A1" s="47" t="str">
        <x:v>Failure states and dependency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32" customHeight="1">
      <x:c r="A2" s="48" t="str">
        <x:v>State costs are same-failure-unit DRs; localized costs are explicit T4 screening assumptions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</x:row>
    <x:row r="4" ht="28" customHeight="1">
      <x:c r="A4" s="52" t="str">
        <x:v>Family</x:v>
      </x:c>
      <x:c r="B4" s="52" t="str">
        <x:v>State</x:v>
      </x:c>
      <x:c r="C4" s="52" t="str">
        <x:v>Cost ratio</x:v>
      </x:c>
      <x:c r="D4" s="52" t="str">
        <x:v>Description</x:v>
      </x:c>
      <x:c r="E4" s="52" t="str">
        <x:v>Tier</x:v>
      </x:c>
      <x:c r="F4" s="52" t="str">
        <x:v>Dependency rule</x:v>
      </x:c>
      <x:c r="G4" s="49"/>
      <x:c r="H4" s="49"/>
      <x:c r="I4" s="49"/>
      <x:c r="J4" s="49"/>
    </x:row>
    <x:row r="5" ht="30" customHeight="1">
      <x:c r="A5" s="15" t="str">
        <x:v>module</x:v>
      </x:c>
      <x:c r="B5" s="15" t="str">
        <x:v>MODULE_DS0_NO_DIRECT_DAMAGE</x:v>
      </x:c>
      <x:c r="C5" s="15" t="n">
        <x:v>0</x:v>
      </x:c>
      <x:c r="D5" s="15" t="str">
        <x:v>No direct module-field repair</x:v>
      </x:c>
      <x:c r="E5" s="15" t="str">
        <x:v>T4</x:v>
      </x:c>
      <x:c r="F5" s="15" t="str">
        <x:v>Preserve unless structure terminal</x:v>
      </x:c>
      <x:c r="G5" s="49"/>
      <x:c r="H5" s="49"/>
      <x:c r="I5" s="49"/>
      <x:c r="J5" s="49"/>
    </x:row>
    <x:row r="6" ht="30" customHeight="1">
      <x:c r="A6" s="16" t="str">
        <x:v>module</x:v>
      </x:c>
      <x:c r="B6" s="16" t="str">
        <x:v>MODULE_DS1_LOCALIZED_REPLACEMENT</x:v>
      </x:c>
      <x:c r="C6" s="16" t="n">
        <x:v>0.1</x:v>
      </x:c>
      <x:c r="D6" s="16" t="str">
        <x:v>Localized modules/frames/clamps</x:v>
      </x:c>
      <x:c r="E6" s="16" t="str">
        <x:v>T4</x:v>
      </x:c>
      <x:c r="F6" s="16" t="str">
        <x:v>May coexist with nonterminal structure; dependence uncalibrated</x:v>
      </x:c>
      <x:c r="G6" s="49"/>
      <x:c r="H6" s="49"/>
      <x:c r="I6" s="49"/>
      <x:c r="J6" s="49"/>
    </x:row>
    <x:row r="7" ht="30" customHeight="1">
      <x:c r="A7" s="15" t="str">
        <x:v>module</x:v>
      </x:c>
      <x:c r="B7" s="15" t="str">
        <x:v>MODULE_DS2_FIELD_REPLACEMENT</x:v>
      </x:c>
      <x:c r="C7" s="15" t="n">
        <x:v>1</x:v>
      </x:c>
      <x:c r="D7" s="15" t="str">
        <x:v>Replace exposed module field</x:v>
      </x:c>
      <x:c r="E7" s="15" t="str">
        <x:v>T4</x:v>
      </x:c>
      <x:c r="F7" s="15" t="str">
        <x:v>Forced when structure is terminal</x:v>
      </x:c>
      <x:c r="G7" s="49"/>
      <x:c r="H7" s="49"/>
      <x:c r="I7" s="49"/>
      <x:c r="J7" s="49"/>
    </x:row>
    <x:row r="8" ht="30" customHeight="1">
      <x:c r="A8" s="16" t="str">
        <x:v>structure</x:v>
      </x:c>
      <x:c r="B8" s="16" t="str">
        <x:v>STRUCT_DS0_NO_DIRECT_DAMAGE</x:v>
      </x:c>
      <x:c r="C8" s="16" t="n">
        <x:v>0</x:v>
      </x:c>
      <x:c r="D8" s="16" t="str">
        <x:v>No structural repair</x:v>
      </x:c>
      <x:c r="E8" s="16" t="str">
        <x:v>T4</x:v>
      </x:c>
      <x:c r="F8" s="16" t="str">
        <x:v>No module cascade</x:v>
      </x:c>
      <x:c r="G8" s="49"/>
      <x:c r="H8" s="49"/>
      <x:c r="I8" s="49"/>
      <x:c r="J8" s="49"/>
    </x:row>
    <x:row r="9" ht="30" customHeight="1">
      <x:c r="A9" s="15" t="str">
        <x:v>structure</x:v>
      </x:c>
      <x:c r="B9" s="15" t="str">
        <x:v>STRUCT_DS1_LOCALIZED_REPAIR</x:v>
      </x:c>
      <x:c r="C9" s="15" t="n">
        <x:v>0.15</x:v>
      </x:c>
      <x:c r="D9" s="15" t="str">
        <x:v>Localized joints/rails/braces/drive-row work</x:v>
      </x:c>
      <x:c r="E9" s="15" t="str">
        <x:v>T4</x:v>
      </x:c>
      <x:c r="F9" s="15" t="str">
        <x:v>No automatic full module replacement</x:v>
      </x:c>
      <x:c r="G9" s="49"/>
      <x:c r="H9" s="49"/>
      <x:c r="I9" s="49"/>
      <x:c r="J9" s="49"/>
    </x:row>
    <x:row r="10" ht="30" customHeight="1">
      <x:c r="A10" s="16" t="str">
        <x:v>structure</x:v>
      </x:c>
      <x:c r="B10" s="16" t="str">
        <x:v>STRUCT_DS2_REPLACE_STRUCTURE_MODULES_SALVAGEABLE</x:v>
      </x:c>
      <x:c r="C10" s="16" t="n">
        <x:v>1</x:v>
      </x:c>
      <x:c r="D10" s="16" t="str">
        <x:v>Replace exposed structure; module hardware assumed salvageable/reinstallable</x:v>
      </x:c>
      <x:c r="E10" s="16" t="str">
        <x:v>T4</x:v>
      </x:c>
      <x:c r="F10" s="16" t="str">
        <x:v>No central module non-salvage cascade</x:v>
      </x:c>
      <x:c r="G10" s="49"/>
      <x:c r="H10" s="49"/>
      <x:c r="I10" s="49"/>
      <x:c r="J10" s="49"/>
    </x:row>
    <x:row r="11" ht="30" customHeight="1">
      <x:c r="A11" s="15" t="str">
        <x:v>structure</x:v>
      </x:c>
      <x:c r="B11" s="15" t="str">
        <x:v>STRUCT_DS3_DESTRUCTIVE_COLLAPSE_MODULES_NONSALVAGEABLE</x:v>
      </x:c>
      <x:c r="C11" s="15" t="n">
        <x:v>1</x:v>
      </x:c>
      <x:c r="D11" s="15" t="str">
        <x:v>Destructive collapse; colocated module hardware assumed nonsalvageable</x:v>
      </x:c>
      <x:c r="E11" s="15" t="str">
        <x:v>T4</x:v>
      </x:c>
      <x:c r="F11" s="15" t="str">
        <x:v>Central T4 rule; also show full/no-salvage bounds</x:v>
      </x:c>
      <x:c r="G11" s="49"/>
      <x:c r="H11" s="49"/>
      <x:c r="I11" s="49"/>
      <x:c r="J11" s="49"/>
    </x:row>
    <x:row r="12">
      <x:c r="A12" s="49"/>
      <x:c r="B12" s="49"/>
      <x:c r="C12" s="49"/>
      <x:c r="D12" s="49"/>
      <x:c r="E12" s="49"/>
      <x:c r="F12" s="49"/>
      <x:c r="G12" s="49"/>
      <x:c r="H12" s="49"/>
      <x:c r="I12" s="49"/>
      <x:c r="J12" s="49"/>
    </x:row>
    <x:row r="13" ht="36" customHeight="1">
      <x:c r="A13" s="55" t="str">
        <x:v>Loss assembly: central T4 uses DS3 destructive-collapse non-salvage; retain full-salvage and no-salvage-on-any-replacement bounds. Replacement support remains outside intrinsic DR.</x:v>
      </x:c>
      <x:c r="B13" s="55"/>
      <x:c r="C13" s="55"/>
      <x:c r="D13" s="55"/>
      <x:c r="E13" s="55"/>
      <x:c r="F13" s="55"/>
      <x:c r="G13" s="55"/>
      <x:c r="H13" s="55"/>
      <x:c r="I13" s="55"/>
      <x:c r="J13" s="55"/>
    </x:row>
  </x:sheetData>
  <x:mergeCells>
    <x:mergeCell ref="A1:J1"/>
    <x:mergeCell ref="A2:J2"/>
    <x:mergeCell ref="A13:J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0" hidden="0" customWidth="1"/>
    <x:col min="3" max="3" width="42" hidden="0" customWidth="1"/>
    <x:col min="4" max="4" width="15" hidden="0" customWidth="1"/>
    <x:col min="5" max="5" width="24" hidden="0" customWidth="1"/>
    <x:col min="6" max="6" width="15" hidden="0" customWidth="1"/>
    <x:col min="7" max="7" width="44" hidden="0" customWidth="1"/>
    <x:col min="8" max="8" width="46" hidden="0" customWidth="1"/>
    <x:col min="9" max="9" width="72" hidden="0" customWidth="1"/>
  </x:cols>
  <x:sheetData>
    <x:row r="1" ht="28" customHeight="1">
      <x:c r="A1" s="47" t="str">
        <x:v>Known-answer and rejection tests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2" ht="32" customHeight="1">
      <x:c r="A2" s="48" t="str">
        <x:v>Expected values are governed fixtures; the Python validator independently evaluates every test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</x:row>
    <x:row r="4" ht="28" customHeight="1">
      <x:c r="A4" s="52" t="str">
        <x:v>Test ID</x:v>
      </x:c>
      <x:c r="B4" s="52" t="str">
        <x:v>Architecture</x:v>
      </x:c>
      <x:c r="C4" s="52" t="str">
        <x:v>Failure unit</x:v>
      </x:c>
      <x:c r="D4" s="52" t="str">
        <x:v>Axis</x:v>
      </x:c>
      <x:c r="E4" s="52" t="str">
        <x:v>Expected central DR</x:v>
      </x:c>
      <x:c r="F4" s="52" t="str">
        <x:v>Status</x:v>
      </x:c>
      <x:c r="G4" s="52" t="str">
        <x:v>Curve</x:v>
      </x:c>
      <x:c r="H4" s="52" t="str">
        <x:v>Source</x:v>
      </x:c>
      <x:c r="I4" s="52" t="str">
        <x:v>Notes</x:v>
      </x:c>
      <x:c r="J4" s="49"/>
      <x:c r="K4" s="49"/>
      <x:c r="L4" s="49"/>
    </x:row>
    <x:row r="5" ht="30" customHeight="1">
      <x:c r="A5" s="15" t="str">
        <x:v>fixed_direct_x1_module</x:v>
      </x:c>
      <x:c r="B5" s="15" t="str">
        <x:v>fixed_tilt_ground_mount_screening_v1</x:v>
      </x:c>
      <x:c r="C5" s="15" t="str">
        <x:v>PV_FIXED_TILT_MODULE_FIELD</x:v>
      </x:c>
      <x:c r="D5" s="42" t="n">
        <x:v>1</x:v>
      </x:c>
      <x:c r="E5" s="42" t="n">
        <x:v>0.13542526918149927</x:v>
      </x:c>
      <x:c r="F5" s="15" t="str">
        <x:v>conditional</x:v>
      </x:c>
      <x:c r="G5" s="15" t="str">
        <x:v>SWS2_SLC_FIXED_MODULE_ORDERED_STATES</x:v>
      </x:c>
      <x:c r="H5" s="15" t="str">
        <x:v>direct equation fixture from the governed proposed artifact</x:v>
      </x:c>
      <x:c r="I5" s="15" t="str">
        <x:v>Tests fixed-tilt direct-pressure routing, the central equation, all scenario bounds, and probability closure.</x:v>
      </x:c>
      <x:c r="J5" s="49"/>
      <x:c r="K5" s="49"/>
      <x:c r="L5" s="49"/>
    </x:row>
    <x:row r="6" ht="30" customHeight="1">
      <x:c r="A6" s="16" t="str">
        <x:v>fixed_direct_x1_structure</x:v>
      </x:c>
      <x:c r="B6" s="16" t="str">
        <x:v>fixed_tilt_ground_mount_screening_v1</x:v>
      </x:c>
      <x:c r="C6" s="16" t="str">
        <x:v>PV_FIXED_TILT_SUPPORT_STRUCTURE</x:v>
      </x:c>
      <x:c r="D6" s="43" t="n">
        <x:v>1</x:v>
      </x:c>
      <x:c r="E6" s="43" t="n">
        <x:v>0.10932205947512846</x:v>
      </x:c>
      <x:c r="F6" s="16" t="str">
        <x:v>conditional</x:v>
      </x:c>
      <x:c r="G6" s="16" t="str">
        <x:v>SWS2_SLC_FIXED_STRUCTURE_ORDERED_STATES</x:v>
      </x:c>
      <x:c r="H6" s="16" t="str">
        <x:v>direct equation fixture from the governed proposed artifact</x:v>
      </x:c>
      <x:c r="I6" s="16" t="str">
        <x:v>Tests the separate fixed-tilt structural value atom; it must not inherit module DR.</x:v>
      </x:c>
      <x:c r="J6" s="49"/>
      <x:c r="K6" s="49"/>
      <x:c r="L6" s="49"/>
    </x:row>
    <x:row r="7" ht="30" customHeight="1">
      <x:c r="A7" s="15" t="str">
        <x:v>fixed_speed_proxy_30_over_40</x:v>
      </x:c>
      <x:c r="B7" s="15" t="str">
        <x:v>fixed_tilt_ground_mount_screening_v1</x:v>
      </x:c>
      <x:c r="C7" s="15" t="str">
        <x:v>PV_FIXED_TILT_MODULE_FIELD</x:v>
      </x:c>
      <x:c r="D7" s="42" t="n">
        <x:v>0.5625</x:v>
      </x:c>
      <x:c r="E7" s="42" t="n">
        <x:v>0.00876644520396121</x:v>
      </x:c>
      <x:c r="F7" s="15" t="str">
        <x:v>conditional</x:v>
      </x:c>
      <x:c r="G7" s="15" t="str">
        <x:v>SWS2_SLC_FIXED_MODULE_ORDERED_STATES</x:v>
      </x:c>
      <x:c r="H7" s="15" t="str">
        <x:v>screening proxy equation in the governed proposed artifact</x:v>
      </x:c>
      <x:c r="I7" s="15" t="str">
        <x:v>Tests the only permitted fixed-tilt speed proxy and preserves the 10 m source lineage.</x:v>
      </x:c>
      <x:c r="J7" s="49"/>
      <x:c r="K7" s="49"/>
      <x:c r="L7" s="49"/>
    </x:row>
    <x:row r="8" ht="30" customHeight="1">
      <x:c r="A8" s="16" t="str">
        <x:v>tracker_qualified_eta_0_75</x:v>
      </x:c>
      <x:c r="B8" s="16" t="str">
        <x:v>single_axis_tracker_qualified_screening_v1</x:v>
      </x:c>
      <x:c r="C8" s="16" t="str">
        <x:v>PV_TRACKER_MODULE_FIELD</x:v>
      </x:c>
      <x:c r="D8" s="43" t="n">
        <x:v>0.75</x:v>
      </x:c>
      <x:c r="E8" s="43" t="n">
        <x:v>0.02995351801943045</x:v>
      </x:c>
      <x:c r="F8" s="16" t="str">
        <x:v>conditional</x:v>
      </x:c>
      <x:c r="G8" s="16" t="str">
        <x:v>SWS2_SLC_TRACKER_MODULE_ORDERED_STATES</x:v>
      </x:c>
      <x:c r="H8" s="16" t="str">
        <x:v>qualified tracker-axis equation; 0.75 operational flag anchored by FM DS 7-106</x:v>
      </x:c>
      <x:c r="I8" s="16" t="str">
        <x:v>The 0.75 flag is not a damage threshold and does not choose a favorable curve.</x:v>
      </x:c>
      <x:c r="J8" s="49"/>
      <x:c r="K8" s="49"/>
      <x:c r="L8" s="49"/>
    </x:row>
    <x:row r="9" ht="30" customHeight="1">
      <x:c r="A9" s="15" t="str">
        <x:v>tracker_qualified_eta_1_structure</x:v>
      </x:c>
      <x:c r="B9" s="15" t="str">
        <x:v>single_axis_tracker_qualified_screening_v1</x:v>
      </x:c>
      <x:c r="C9" s="15" t="str">
        <x:v>PV_TRACKER_SBOS_ASSEMBLY</x:v>
      </x:c>
      <x:c r="D9" s="42" t="n">
        <x:v>1</x:v>
      </x:c>
      <x:c r="E9" s="42" t="n">
        <x:v>0.13982635857839754</x:v>
      </x:c>
      <x:c r="F9" s="15" t="str">
        <x:v>conditional</x:v>
      </x:c>
      <x:c r="G9" s="15" t="str">
        <x:v>SWS2_SLC_TRACKER_SBOS_ORDERED_STATES</x:v>
      </x:c>
      <x:c r="H9" s="15" t="str">
        <x:v>direct equation fixture from the governed proposed artifact</x:v>
      </x:c>
      <x:c r="I9" s="15" t="str">
        <x:v>A 2P tracker is supported only through its exact named aeroelastic Ucrit; 2P receives no generic modifier.</x:v>
      </x:c>
      <x:c r="J9" s="49"/>
      <x:c r="K9" s="49"/>
      <x:c r="L9" s="49"/>
    </x:row>
    <x:row r="10" ht="30" customHeight="1">
      <x:c r="A10" s="16" t="str">
        <x:v>foundation_is_withheld</x:v>
      </x:c>
      <x:c r="B10" s="16" t="str">
        <x:v>fixed_tilt_ground_mount_screening_v1</x:v>
      </x:c>
      <x:c r="C10" s="16" t="str">
        <x:v>PV_FOUNDATION</x:v>
      </x:c>
      <x:c r="D10" s="43" t="str">
        <x:v>withheld</x:v>
      </x:c>
      <x:c r="E10" s="43" t="str">
        <x:v>null</x:v>
      </x:c>
      <x:c r="F10" s="16" t="str">
        <x:v>withheld</x:v>
      </x:c>
      <x:c r="G10" s="16" t="str">
        <x:v>null</x:v>
      </x:c>
      <x:c r="H10" s="16" t="str">
        <x:v>failure-unit coverage and capability declaration</x:v>
      </x:c>
      <x:c r="I10" s="16" t="str">
        <x:v>Withheld is null, never zero and never inherited from structure.</x:v>
      </x:c>
      <x:c r="J10" s="49"/>
      <x:c r="K10" s="49"/>
      <x:c r="L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</x:row>
    <x:row r="12" ht="28" customHeight="1">
      <x:c r="A12" s="50" t="str">
        <x:v>Rejection test</x:v>
      </x:c>
      <x:c r="B12" s="50" t="str">
        <x:v>Expected code</x:v>
      </x:c>
      <x:c r="C12" s="50" t="str">
        <x:v>Source</x:v>
      </x:c>
      <x:c r="D12" s="50" t="str">
        <x:v>Notes</x:v>
      </x:c>
      <x:c r="E12" s="49"/>
      <x:c r="F12" s="49"/>
      <x:c r="G12" s="49"/>
      <x:c r="H12" s="49"/>
      <x:c r="I12" s="49"/>
      <x:c r="J12" s="49"/>
      <x:c r="K12" s="49"/>
      <x:c r="L12" s="49"/>
    </x:row>
    <x:row r="13" ht="30" customHeight="1">
      <x:c r="A13" s="15" t="str">
        <x:v>reject_missing_pathway</x:v>
      </x:c>
      <x:c r="B13" s="15" t="str">
        <x:v>PATHWAY_ID_REQUIRED</x:v>
      </x:c>
      <x:c r="C13" s="15" t="str">
        <x:v>pathway contract</x:v>
      </x:c>
      <x:c r="D13" s="15" t="str">
        <x:v>Pathway has no default.</x:v>
      </x:c>
      <x:c r="E13" s="49"/>
      <x:c r="F13" s="49"/>
      <x:c r="G13" s="49"/>
      <x:c r="H13" s="49"/>
      <x:c r="I13" s="49"/>
      <x:c r="J13" s="49"/>
      <x:c r="K13" s="49"/>
      <x:c r="L13" s="49"/>
    </x:row>
    <x:row r="14" ht="30" customHeight="1">
      <x:c r="A14" s="16" t="str">
        <x:v>reject_hurricane_pathway</x:v>
      </x:c>
      <x:c r="B14" s="16" t="str">
        <x:v>PATHWAY_ID_UNKNOWN</x:v>
      </x:c>
      <x:c r="C14" s="16" t="str">
        <x:v>neighboring-wind boundary</x:v>
      </x:c>
      <x:c r="D14" s="16" t="str">
        <x:v>Hurricane/TC wind cannot inherit the convective curve.</x:v>
      </x:c>
      <x:c r="E14" s="49"/>
      <x:c r="F14" s="49"/>
      <x:c r="G14" s="49"/>
      <x:c r="H14" s="49"/>
      <x:c r="I14" s="49"/>
      <x:c r="J14" s="49"/>
      <x:c r="K14" s="49"/>
      <x:c r="L14" s="49"/>
    </x:row>
    <x:row r="15" ht="30" customHeight="1">
      <x:c r="A15" s="15" t="str">
        <x:v>reject_missing_architecture</x:v>
      </x:c>
      <x:c r="B15" s="15" t="str">
        <x:v>ARRAY_ARCHITECTURE_REQUIRED</x:v>
      </x:c>
      <x:c r="C15" s="15" t="str">
        <x:v>asset architecture contract</x:v>
      </x:c>
      <x:c r="D15" s="15" t="str">
        <x:v>Fixed tilt and tracker cannot share an implicit default.</x:v>
      </x:c>
      <x:c r="E15" s="49"/>
      <x:c r="F15" s="49"/>
      <x:c r="G15" s="49"/>
      <x:c r="H15" s="49"/>
      <x:c r="I15" s="49"/>
      <x:c r="J15" s="49"/>
      <x:c r="K15" s="49"/>
      <x:c r="L15" s="49"/>
    </x:row>
    <x:row r="16" ht="30" customHeight="1">
      <x:c r="A16" s="16" t="str">
        <x:v>reject_rooftop</x:v>
      </x:c>
      <x:c r="B16" s="16" t="str">
        <x:v>ARRAY_ARCHITECTURE_UNSUPPORTED</x:v>
      </x:c>
      <x:c r="C16" s="16" t="str">
        <x:v>asset scope</x:v>
      </x:c>
      <x:c r="D16" s="16" t="str">
        <x:v>Rooftop building interaction requires a different curve.</x:v>
      </x:c>
      <x:c r="E16" s="49"/>
      <x:c r="F16" s="49"/>
      <x:c r="G16" s="49"/>
      <x:c r="H16" s="49"/>
      <x:c r="I16" s="49"/>
      <x:c r="J16" s="49"/>
      <x:c r="K16" s="49"/>
      <x:c r="L16" s="49"/>
    </x:row>
    <x:row r="17" ht="30" customHeight="1">
      <x:c r="A17" s="15" t="str">
        <x:v>reject_unbridged_10m_fixed</x:v>
      </x:c>
      <x:c r="B17" s="15" t="str">
        <x:v>PRESSURE_INDEX_REQUIRED</x:v>
      </x:c>
      <x:c r="C17" s="15" t="str">
        <x:v>convective height/profile boundary</x:v>
      </x:c>
      <x:c r="D17" s="15" t="str">
        <x:v>A 10 m gust is never the fixed-tilt axis.</x:v>
      </x:c>
      <x:c r="E17" s="49"/>
      <x:c r="F17" s="49"/>
      <x:c r="G17" s="49"/>
      <x:c r="H17" s="49"/>
      <x:c r="I17" s="49"/>
      <x:c r="J17" s="49"/>
      <x:c r="K17" s="49"/>
      <x:c r="L17" s="49"/>
    </x:row>
    <x:row r="18" ht="30" customHeight="1">
      <x:c r="A18" s="16" t="str">
        <x:v>reject_fixed_proxy_without_profile_bridge</x:v>
      </x:c>
      <x:c r="B18" s="16" t="str">
        <x:v>CONVECTIVE_PROFILE_BRIDGE_REQUIRED</x:v>
      </x:c>
      <x:c r="C18" s="16" t="str">
        <x:v>convective height/profile boundary</x:v>
      </x:c>
      <x:c r="D18" s="16" t="str">
        <x:v>The speed proxy requires a named non-synoptic bridge.</x:v>
      </x:c>
      <x:c r="E18" s="49"/>
      <x:c r="F18" s="49"/>
      <x:c r="G18" s="49"/>
      <x:c r="H18" s="49"/>
      <x:c r="I18" s="49"/>
      <x:c r="J18" s="49"/>
      <x:c r="K18" s="49"/>
      <x:c r="L18" s="49"/>
    </x:row>
    <x:row r="19" ht="30" customHeight="1">
      <x:c r="A19" s="15" t="str">
        <x:v>reject_fixed_direct_without_demand_bridge</x:v>
      </x:c>
      <x:c r="B19" s="15" t="str">
        <x:v>AERODYNAMIC_DEMAND_BRIDGE_REQUIRED</x:v>
      </x:c>
      <x:c r="C19" s="15" t="str">
        <x:v>fixed-tilt demand bridge contract</x:v>
      </x:c>
      <x:c r="D19" s="15" t="str">
        <x:v>Even a delivered pressure index must identify its qualified bridge.</x:v>
      </x:c>
      <x:c r="E19" s="49"/>
      <x:c r="F19" s="49"/>
      <x:c r="G19" s="49"/>
      <x:c r="H19" s="49"/>
      <x:c r="I19" s="49"/>
      <x:c r="J19" s="49"/>
      <x:c r="K19" s="49"/>
      <x:c r="L19" s="49"/>
    </x:row>
    <x:row r="20" ht="30" customHeight="1">
      <x:c r="A20" s="16" t="str">
        <x:v>reject_tracker_without_ucrit</x:v>
      </x:c>
      <x:c r="B20" s="16" t="str">
        <x:v>AERODYNAMIC_DEMAND_BRIDGE_REQUIRED</x:v>
      </x:c>
      <x:c r="C20" s="16" t="str">
        <x:v>tracker axis contract</x:v>
      </x:c>
      <x:c r="D20" s="16" t="str">
        <x:v>There is no universal tracker critical speed.</x:v>
      </x:c>
      <x:c r="E20" s="49"/>
      <x:c r="F20" s="49"/>
      <x:c r="G20" s="49"/>
      <x:c r="H20" s="49"/>
      <x:c r="I20" s="49"/>
      <x:c r="J20" s="49"/>
      <x:c r="K20" s="49"/>
      <x:c r="L20" s="49"/>
    </x:row>
    <x:row r="21" ht="30" customHeight="1">
      <x:c r="A21" s="15" t="str">
        <x:v>reject_tracker_without_1p_2p_identity</x:v>
      </x:c>
      <x:c r="B21" s="15" t="str">
        <x:v>ARRAY_ARCHITECTURE_UNSUPPORTED</x:v>
      </x:c>
      <x:c r="C21" s="15" t="str">
        <x:v>tracker selector contract</x:v>
      </x:c>
      <x:c r="D21" s="15" t="str">
        <x:v>1P/2P identity is mandatory even though Ucrit carries its numeric effect.</x:v>
      </x:c>
      <x:c r="E21" s="49"/>
      <x:c r="F21" s="49"/>
      <x:c r="G21" s="49"/>
      <x:c r="H21" s="49"/>
      <x:c r="I21" s="49"/>
      <x:c r="J21" s="49"/>
      <x:c r="K21" s="49"/>
      <x:c r="L21" s="49"/>
    </x:row>
    <x:row r="22" ht="30" customHeight="1">
      <x:c r="A22" s="16" t="str">
        <x:v>reject_fixed_unit_on_tracker</x:v>
      </x:c>
      <x:c r="B22" s="16" t="str">
        <x:v>FAILURE_UNIT_NOT_APPLICABLE_TO_ARCHITECTURE</x:v>
      </x:c>
      <x:c r="C22" s="16" t="str">
        <x:v>selector routing contract</x:v>
      </x:c>
      <x:c r="D22" s="16" t="str">
        <x:v>Cross-architecture numerical fallback is prohibited.</x:v>
      </x:c>
      <x:c r="E22" s="49"/>
      <x:c r="F22" s="49"/>
      <x:c r="G22" s="49"/>
      <x:c r="H22" s="49"/>
      <x:c r="I22" s="49"/>
      <x:c r="J22" s="49"/>
      <x:c r="K22" s="49"/>
      <x:c r="L22" s="49"/>
    </x:row>
    <x:row r="23" ht="30" customHeight="1">
      <x:c r="A23" s="15" t="str">
        <x:v>reject_axis_above_two</x:v>
      </x:c>
      <x:c r="B23" s="15" t="str">
        <x:v>AXIS_OUTSIDE_VALID_RANGE</x:v>
      </x:c>
      <x:c r="C23" s="15" t="str">
        <x:v>bounded extrapolation policy</x:v>
      </x:c>
      <x:c r="D23" s="15" t="str">
        <x:v>The screening model is withheld outside its declared range.</x:v>
      </x:c>
      <x:c r="E23" s="49"/>
      <x:c r="F23" s="49"/>
      <x:c r="G23" s="49"/>
      <x:c r="H23" s="49"/>
      <x:c r="I23" s="49"/>
      <x:c r="J23" s="49"/>
      <x:c r="K23" s="49"/>
      <x:c r="L23" s="49"/>
    </x:row>
    <x:row r="24" ht="30" customHeight="1">
      <x:c r="A24" s="16" t="str">
        <x:v>reject_bad_array_zone</x:v>
      </x:c>
      <x:c r="B24" s="16" t="str">
        <x:v>CONDITIONER_VALUE_UNSUPPORTED</x:v>
      </x:c>
      <x:c r="C24" s="16" t="str">
        <x:v>conditioner contract</x:v>
      </x:c>
      <x:c r="D24" s="16" t="str">
        <x:v>The whole site cannot silently stand in for an array zone.</x:v>
      </x:c>
      <x:c r="E24" s="49"/>
      <x:c r="F24" s="49"/>
      <x:c r="G24" s="49"/>
      <x:c r="H24" s="49"/>
      <x:c r="I24" s="49"/>
      <x:c r="J24" s="49"/>
      <x:c r="K24" s="49"/>
      <x:c r="L24" s="49"/>
    </x:row>
    <x:row r="25" ht="30" customHeight="1">
      <x:c r="A25" s="15" t="str">
        <x:v>reject_tracker_stow_state_on_fixed_tilt</x:v>
      </x:c>
      <x:c r="B25" s="15" t="str">
        <x:v>CONDITIONER_VALUE_UNSUPPORTED</x:v>
      </x:c>
      <x:c r="C25" s="15" t="str">
        <x:v>selector/conditioner routing contract</x:v>
      </x:c>
      <x:c r="D25" s="15" t="str">
        <x:v>Fixed tilt must materialize tracker-only state as not_applicable, never as a stow condition.</x:v>
      </x:c>
      <x:c r="E25" s="49"/>
      <x:c r="F25" s="49"/>
      <x:c r="G25" s="49"/>
      <x:c r="H25" s="49"/>
      <x:c r="I25" s="49"/>
      <x:c r="J25" s="49"/>
      <x:c r="K25" s="49"/>
      <x:c r="L25" s="49"/>
    </x:row>
    <x:row r="26" ht="30" customHeight="1">
      <x:c r="A26" s="16" t="str">
        <x:v>reject_tracker_qualification_angle_mismatch</x:v>
      </x:c>
      <x:c r="B26" s="16" t="str">
        <x:v>TRACKER_QUALIFICATION_BASIS_MISMATCH</x:v>
      </x:c>
      <x:c r="C26" s="16" t="str">
        <x:v>exact-system tracker qualification contract</x:v>
      </x:c>
      <x:c r="D26" s="16" t="str">
        <x:v>The event attained angle must match the Ucrit qualification basis before DR or the FM action flag is emitted.</x:v>
      </x:c>
      <x:c r="E26" s="49"/>
      <x:c r="F26" s="49"/>
      <x:c r="G26" s="49"/>
      <x:c r="H26" s="49"/>
      <x:c r="I26" s="49"/>
      <x:c r="J26" s="49"/>
      <x:c r="K26" s="49"/>
      <x:c r="L26" s="49"/>
    </x:row>
    <x:row r="27" ht="30" customHeight="1">
      <x:c r="A27" s="15" t="str">
        <x:v>reject_negative_transient_rise_time</x:v>
      </x:c>
      <x:c r="B27" s="15" t="str">
        <x:v>CONDITIONER_VALUE_UNSUPPORTED</x:v>
      </x:c>
      <x:c r="C27" s="15" t="str">
        <x:v>typed conditioner contract</x:v>
      </x:c>
      <x:c r="D27" s="15" t="str">
        <x:v>A duration descriptor must be nonnegative or explicitly unknown.</x:v>
      </x:c>
      <x:c r="E27" s="49"/>
      <x:c r="F27" s="49"/>
      <x:c r="G27" s="49"/>
      <x:c r="H27" s="49"/>
      <x:c r="I27" s="49"/>
      <x:c r="J27" s="49"/>
      <x:c r="K27" s="49"/>
      <x:c r="L27" s="49"/>
    </x:row>
    <x:row r="28" ht="30" customHeight="1">
      <x:c r="A28" s="16" t="str">
        <x:v>reject_command_only_tracker_position</x:v>
      </x:c>
      <x:c r="B28" s="16" t="str">
        <x:v>TRACKER_QUALIFICATION_BASIS_MISMATCH</x:v>
      </x:c>
      <x:c r="C28" s="16" t="str">
        <x:v>attained-state qualification contract</x:v>
      </x:c>
      <x:c r="D28" s="16" t="str">
        <x:v>A command log does not prove the physical tracker position and cannot earn a favorable Ucrit basis.</x:v>
      </x:c>
      <x:c r="E28" s="49"/>
      <x:c r="F28" s="49"/>
      <x:c r="G28" s="49"/>
      <x:c r="H28" s="49"/>
      <x:c r="I28" s="49"/>
      <x:c r="J28" s="49"/>
      <x:c r="K28" s="49"/>
      <x:c r="L28" s="49"/>
    </x:row>
    <x:row r="29">
      <x:c r="A29" s="49"/>
      <x:c r="B29" s="49"/>
      <x:c r="C29" s="49"/>
      <x:c r="D29" s="49"/>
      <x:c r="E29" s="49"/>
      <x:c r="F29" s="49"/>
      <x:c r="G29" s="49"/>
      <x:c r="H29" s="49"/>
      <x:c r="I29" s="49"/>
      <x:c r="J29" s="49"/>
      <x:c r="K29" s="49"/>
      <x:c r="L29" s="49"/>
    </x:row>
    <x:row r="30" ht="28" customHeight="1">
      <x:c r="A30" s="56" t="str">
        <x:v>Pin test</x:v>
      </x:c>
      <x:c r="B30" s="56" t="str">
        <x:v>Expected</x:v>
      </x:c>
      <x:c r="C30" s="56" t="str">
        <x:v>Notes</x:v>
      </x:c>
      <x:c r="D30" s="49"/>
      <x:c r="E30" s="49"/>
      <x:c r="F30" s="49"/>
      <x:c r="G30" s="49"/>
      <x:c r="H30" s="49"/>
      <x:c r="I30" s="49"/>
      <x:c r="J30" s="49"/>
      <x:c r="K30" s="49"/>
      <x:c r="L30" s="49"/>
    </x:row>
    <x:row r="31" ht="30" customHeight="1">
      <x:c r="A31" s="15" t="str">
        <x:v>pin_exact_computed_sha</x:v>
      </x:c>
      <x:c r="B31" s="15" t="str">
        <x:v>pass</x:v>
      </x:c>
      <x:c r="C31" s="15" t="str">
        <x:v>The validator substitutes the exact current artifact byte SHA.</x:v>
      </x:c>
      <x:c r="D31" s="49"/>
      <x:c r="E31" s="49"/>
      <x:c r="F31" s="49"/>
      <x:c r="G31" s="49"/>
      <x:c r="H31" s="49"/>
      <x:c r="I31" s="49"/>
      <x:c r="J31" s="49"/>
      <x:c r="K31" s="49"/>
      <x:c r="L31" s="49"/>
    </x:row>
    <x:row r="32" ht="30" customHeight="1">
      <x:c r="A32" s="16" t="str">
        <x:v>pin_missing_docs</x:v>
      </x:c>
      <x:c r="B32" s="16" t="str">
        <x:v>ARTIFACT_PIN_INCOMPLETE</x:v>
      </x:c>
      <x:c r="C32" s="16" t="str">
        <x:v>Partial pins reject.</x:v>
      </x:c>
      <x:c r="D32" s="49"/>
      <x:c r="E32" s="49"/>
      <x:c r="F32" s="49"/>
      <x:c r="G32" s="49"/>
      <x:c r="H32" s="49"/>
      <x:c r="I32" s="49"/>
      <x:c r="J32" s="49"/>
      <x:c r="K32" s="49"/>
      <x:c r="L32" s="49"/>
    </x:row>
    <x:row r="33" ht="30" customHeight="1">
      <x:c r="A33" s="15" t="str">
        <x:v>pin_wrong_sha</x:v>
      </x:c>
      <x:c r="B33" s="15" t="str">
        <x:v>ARTIFACT_PIN_MISMATCH</x:v>
      </x:c>
      <x:c r="C33" s="15" t="str">
        <x:v>A different byte artifact rejects.</x:v>
      </x:c>
      <x:c r="D33" s="49"/>
      <x:c r="E33" s="49"/>
      <x:c r="F33" s="49"/>
      <x:c r="G33" s="49"/>
      <x:c r="H33" s="49"/>
      <x:c r="I33" s="49"/>
      <x:c r="J33" s="49"/>
      <x:c r="K33" s="49"/>
      <x:c r="L33" s="49"/>
    </x:row>
    <x:row r="34" ht="30" customHeight="1">
      <x:c r="A34" s="16" t="str">
        <x:v>pin_wrong_model</x:v>
      </x:c>
      <x:c r="B34" s="16" t="str">
        <x:v>ARTIFACT_PIN_MISMATCH</x:v>
      </x:c>
      <x:c r="C34" s="16" t="str">
        <x:v>Model/docs/schema/SHA identity is atomic.</x:v>
      </x:c>
      <x:c r="D34" s="49"/>
      <x:c r="E34" s="49"/>
      <x:c r="F34" s="49"/>
      <x:c r="G34" s="49"/>
      <x:c r="H34" s="49"/>
      <x:c r="I34" s="49"/>
      <x:c r="J34" s="49"/>
      <x:c r="K34" s="49"/>
      <x:c r="L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</x:row>
    <x:row r="36" ht="28" customHeight="1">
      <x:c r="A36" s="57" t="str">
        <x:v>Loss rejection test</x:v>
      </x:c>
      <x:c r="B36" s="57" t="str">
        <x:v>Expected code</x:v>
      </x:c>
      <x:c r="C36" s="57" t="str">
        <x:v>Notes</x:v>
      </x:c>
      <x:c r="D36" s="49"/>
      <x:c r="E36" s="49"/>
      <x:c r="F36" s="49"/>
      <x:c r="G36" s="49"/>
      <x:c r="H36" s="49"/>
      <x:c r="I36" s="49"/>
      <x:c r="J36" s="49"/>
      <x:c r="K36" s="49"/>
      <x:c r="L36" s="49"/>
    </x:row>
    <x:row r="37" ht="30" customHeight="1">
      <x:c r="A37" s="15" t="str">
        <x:v>loss_reject_missing_currency</x:v>
      </x:c>
      <x:c r="B37" s="15" t="str">
        <x:v>EXPLICIT_VALUE_AND_EXPOSURE_REQUIRED</x:v>
      </x:c>
      <x:c r="C37" s="15" t="str">
        <x:v>Currency is part of the atomic value basis.</x:v>
      </x:c>
      <x:c r="D37" s="49"/>
      <x:c r="E37" s="49"/>
      <x:c r="F37" s="49"/>
      <x:c r="G37" s="49"/>
      <x:c r="H37" s="49"/>
      <x:c r="I37" s="49"/>
      <x:c r="J37" s="49"/>
      <x:c r="K37" s="49"/>
      <x:c r="L37" s="49"/>
    </x:row>
    <x:row r="38" ht="30" customHeight="1">
      <x:c r="A38" s="16" t="str">
        <x:v>loss_reject_per_kw_without_capacity</x:v>
      </x:c>
      <x:c r="B38" s="16" t="str">
        <x:v>EXPLICIT_VALUE_AND_EXPOSURE_REQUIRED</x:v>
      </x:c>
      <x:c r="C38" s="16" t="str">
        <x:v>Per-kWdc values cannot become currency loss without capacity.</x:v>
      </x:c>
      <x:c r="D38" s="49"/>
      <x:c r="E38" s="49"/>
      <x:c r="F38" s="49"/>
      <x:c r="G38" s="49"/>
      <x:c r="H38" s="49"/>
      <x:c r="I38" s="49"/>
      <x:c r="J38" s="49"/>
      <x:c r="K38" s="49"/>
      <x:c r="L38" s="49"/>
    </x:row>
    <x:row r="39" ht="30" customHeight="1">
      <x:c r="A39" s="15" t="str">
        <x:v>loss_reject_missing_parent_event</x:v>
      </x:c>
      <x:c r="B39" s="15" t="str">
        <x:v>EXPLICIT_VALUE_AND_EXPOSURE_REQUIRED</x:v>
      </x:c>
      <x:c r="C39" s="15" t="str">
        <x:v>Parent convective identity is required for event-family deduplication.</x:v>
      </x:c>
      <x:c r="D39" s="49"/>
      <x:c r="E39" s="49"/>
      <x:c r="F39" s="49"/>
      <x:c r="G39" s="49"/>
      <x:c r="H39" s="49"/>
      <x:c r="I39" s="49"/>
      <x:c r="J39" s="49"/>
      <x:c r="K39" s="49"/>
      <x:c r="L39" s="49"/>
    </x:row>
    <x:row r="40" ht="30" customHeight="1">
      <x:c r="A40" s="16" t="str">
        <x:v>loss_reject_noncolocated_common_fraction</x:v>
      </x:c>
      <x:c r="B40" s="16" t="str">
        <x:v>EXPLICIT_VALUE_AND_EXPOSURE_REQUIRED</x:v>
      </x:c>
      <x:c r="C40" s="16" t="str">
        <x:v>Different module/structure footprints require separate exposure objects outside the common-zone helper.</x:v>
      </x:c>
      <x:c r="D40" s="49"/>
      <x:c r="E40" s="49"/>
      <x:c r="F40" s="49"/>
      <x:c r="G40" s="49"/>
      <x:c r="H40" s="49"/>
      <x:c r="I40" s="49"/>
      <x:c r="J40" s="49"/>
      <x:c r="K40" s="49"/>
      <x:c r="L40" s="49"/>
    </x:row>
  </x:sheetData>
  <x:mergeCells>
    <x:mergeCell ref="A1:L1"/>
    <x:mergeCell ref="A2:L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52" hidden="0" customWidth="1"/>
    <x:col min="12" max="12" width="52" hidden="0" customWidth="1"/>
    <x:col min="13" max="13" width="22" hidden="0" customWidth="1"/>
    <x:col min="14" max="14" width="60" hidden="0" customWidth="1"/>
  </x:cols>
  <x:sheetData>
    <x:row r="1" ht="28" customHeight="1">
      <x:c r="A1" s="47" t="str">
        <x:v>Value crosswalk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</x:row>
    <x:row r="2" ht="32" customHeight="1">
      <x:c r="A2" s="48" t="str">
        <x:v>Primary Q1-2025 rows plus tracker/fixed sensitivities; no implicit default profile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</x:row>
    <x:row r="4" ht="28" customHeight="1">
      <x:c r="A4" s="52" t="str">
        <x:v>value_source_id</x:v>
      </x:c>
      <x:c r="B4" s="52" t="str">
        <x:v>source_location</x:v>
      </x:c>
      <x:c r="C4" s="52" t="str">
        <x:v>row_or_bucket_id</x:v>
      </x:c>
      <x:c r="D4" s="52" t="str">
        <x:v>row_or_bucket_label</x:v>
      </x:c>
      <x:c r="E4" s="52" t="str">
        <x:v>value</x:v>
      </x:c>
      <x:c r="F4" s="52" t="str">
        <x:v>unit</x:v>
      </x:c>
      <x:c r="G4" s="52" t="str">
        <x:v>financial_class</x:v>
      </x:c>
      <x:c r="H4" s="52" t="str">
        <x:v>failure_unit_id</x:v>
      </x:c>
      <x:c r="I4" s="52" t="str">
        <x:v>role_in_loss</x:v>
      </x:c>
      <x:c r="J4" s="52" t="str">
        <x:v>include_in_direct_denominator</x:v>
      </x:c>
      <x:c r="K4" s="52" t="str">
        <x:v>allocation_rule</x:v>
      </x:c>
      <x:c r="L4" s="52" t="str">
        <x:v>double_count_guardrail</x:v>
      </x:c>
      <x:c r="M4" s="52" t="str">
        <x:v>status</x:v>
      </x:c>
      <x:c r="N4" s="52" t="str">
        <x:v>notes</x:v>
      </x:c>
    </x:row>
    <x:row r="5" ht="58" customHeight="1">
      <x:c r="A5" s="15" t="str">
        <x:v>NLR_Q1_2025_UPV_PV_ONLY_2024_USD</x:v>
      </x:c>
      <x:c r="B5" s="15" t="str">
        <x:v>docs/method/value_basis/solar_wind_value_breakdown.xlsx::Solar_Map!2</x:v>
      </x:c>
      <x:c r="C5" s="15" t="str">
        <x:v>SOLAR_VALUE_002_MODULE</x:v>
      </x:c>
      <x:c r="D5" s="15" t="str">
        <x:v>Module hardware + manufacturing allocation</x:v>
      </x:c>
      <x:c r="E5" s="15" t="str">
        <x:v>291.21485143992487</x:v>
      </x:c>
      <x:c r="F5" s="15" t="str">
        <x:v>2024_USD_per_kWdc</x:v>
      </x:c>
      <x:c r="G5" s="15" t="str">
        <x:v>direct_hardware</x:v>
      </x:c>
      <x:c r="H5" s="15" t="str">
        <x:v>PV_FIXED_TILT_MODULE_FIELD|PV_TRACKER_MODULE_FIELD</x:v>
      </x:c>
      <x:c r="I5" s="15" t="str">
        <x:v>direct_vulnerable_value</x:v>
      </x:c>
      <x:c r="J5" s="15" t="str">
        <x:v>true</x:v>
      </x:c>
      <x:c r="K5" s="15" t="str">
        <x:v>Use only for the active selected architecture and explicit site exposure; site/BOM value overrides.</x:v>
      </x:c>
      <x:c r="L5" s="15" t="str">
        <x:v>Never charge both fixed and tracker records or charge module replacement again after the terminal-structure cascade.</x:v>
      </x:c>
      <x:c r="M5" s="15" t="str">
        <x:v>mapped_reference_only</x:v>
      </x:c>
      <x:c r="N5" s="15" t="str">
        <x:v>The benchmark is a reference value, not an implicit site default or curve cap.</x:v>
      </x:c>
    </x:row>
    <x:row r="6" ht="58" customHeight="1">
      <x:c r="A6" s="16" t="str">
        <x:v>NLR_Q1_2025_UPV_PV_ONLY_2024_USD</x:v>
      </x:c>
      <x:c r="B6" s="16" t="str">
        <x:v>docs/method/value_basis/solar_wind_value_breakdown.xlsx::Solar_Map!3</x:v>
      </x:c>
      <x:c r="C6" s="16" t="str">
        <x:v>SOLAR_VALUE_003_MOUNTING</x:v>
      </x:c>
      <x:c r="D6" s="16" t="str">
        <x:v>Tracker/racking hardware</x:v>
      </x:c>
      <x:c r="E6" s="16" t="str">
        <x:v>109.98972602739727</x:v>
      </x:c>
      <x:c r="F6" s="16" t="str">
        <x:v>2024_USD_per_kWdc</x:v>
      </x:c>
      <x:c r="G6" s="16" t="str">
        <x:v>direct_hardware</x:v>
      </x:c>
      <x:c r="H6" s="16" t="str">
        <x:v>PV_FIXED_TILT_SUPPORT_STRUCTURE|PV_TRACKER_SBOS_ASSEMBLY</x:v>
      </x:c>
      <x:c r="I6" s="16" t="str">
        <x:v>direct_vulnerable_value</x:v>
      </x:c>
      <x:c r="J6" s="16" t="str">
        <x:v>true</x:v>
      </x:c>
      <x:c r="K6" s="16" t="str">
        <x:v>Use only for the active selected architecture when the site BOM supports transfer; fixed tilt otherwise requires an explicit site value.</x:v>
      </x:c>
      <x:c r="L6" s="16" t="str">
        <x:v>Do not split torque tube, drive, rails, piles and foundations beyond source support or sum tracker and racking curves.</x:v>
      </x:c>
      <x:c r="M6" s="16" t="str">
        <x:v>mapped_reference_only</x:v>
      </x:c>
      <x:c r="N6" s="16" t="str">
        <x:v>Architecture-generic repository row; tracker/fixed composition transfer remains limited.</x:v>
      </x:c>
    </x:row>
    <x:row r="7" ht="58" customHeight="1">
      <x:c r="A7" s="15" t="str">
        <x:v>NLR_Q1_2025_UPV_PV_ONLY_2024_USD</x:v>
      </x:c>
      <x:c r="B7" s="15" t="str">
        <x:v>docs/method/value_basis/solar_wind_value_breakdown.xlsx::Solar_Map!4</x:v>
      </x:c>
      <x:c r="C7" s="15" t="str">
        <x:v>SOLAR_VALUE_004_FOUNDATION</x:v>
      </x:c>
      <x:c r="D7" s="15" t="str">
        <x:v>Driven piers + inverter pad</x:v>
      </x:c>
      <x:c r="E7" s="15" t="str">
        <x:v>31.12448715327472</x:v>
      </x:c>
      <x:c r="F7" s="15" t="str">
        <x:v>2024_USD_per_kWdc</x:v>
      </x:c>
      <x:c r="G7" s="15" t="str">
        <x:v>direct_hardware</x:v>
      </x:c>
      <x:c r="H7" s="15" t="str">
        <x:v>PV_FOUNDATION</x:v>
      </x:c>
      <x:c r="I7" s="15" t="str">
        <x:v>withheld</x:v>
      </x:c>
      <x:c r="J7" s="15" t="str">
        <x:v>false</x:v>
      </x:c>
      <x:c r="K7" s="15" t="str">
        <x:v>Retain for reconciliation; require architecture/geotechnical split and separate fragility before loss.</x:v>
      </x:c>
      <x:c r="L7" s="15" t="str">
        <x:v>Never inherit active support-structure DR or exposure.</x:v>
      </x:c>
      <x:c r="M7" s="15" t="str">
        <x:v>withheld</x:v>
      </x:c>
      <x:c r="N7" s="15" t="str">
        <x:v>Mixed foundation bucket.</x:v>
      </x:c>
    </x:row>
    <x:row r="8" ht="58" customHeight="1">
      <x:c r="A8" s="16" t="str">
        <x:v>NLR_Q1_2025_UPV_PV_ONLY_2024_USD</x:v>
      </x:c>
      <x:c r="B8" s="16" t="str">
        <x:v>docs/method/value_basis/solar_wind_value_breakdown.xlsx::Solar_Map!5</x:v>
      </x:c>
      <x:c r="C8" s="16" t="str">
        <x:v>SOLAR_VALUE_005_INVERTER</x:v>
      </x:c>
      <x:c r="D8" s="16" t="str">
        <x:v>Central inverter hardware</x:v>
      </x:c>
      <x:c r="E8" s="16" t="str">
        <x:v>32.306366410372384</x:v>
      </x:c>
      <x:c r="F8" s="16" t="str">
        <x:v>2024_USD_per_kWdc</x:v>
      </x:c>
      <x:c r="G8" s="16" t="str">
        <x:v>direct_hardware</x:v>
      </x:c>
      <x:c r="H8" s="16" t="str">
        <x:v>PV_POWER_CONVERSION_AND_ELECTRICAL</x:v>
      </x:c>
      <x:c r="I8" s="16" t="str">
        <x:v>withheld</x:v>
      </x:c>
      <x:c r="J8" s="16" t="str">
        <x:v>false</x:v>
      </x:c>
      <x:c r="K8" s="16" t="str">
        <x:v>Separate point-asset exposure and direct mechanism required.</x:v>
      </x:c>
      <x:c r="L8" s="16" t="str">
        <x:v>Do not apply array pressure DR or array exposed fraction.</x:v>
      </x:c>
      <x:c r="M8" s="16" t="str">
        <x:v>withheld</x:v>
      </x:c>
      <x:c r="N8" s="16" t="str">
        <x:v>Direct wind pressure is not a supported inverter fragility.</x:v>
      </x:c>
    </x:row>
    <x:row r="9" ht="58" customHeight="1">
      <x:c r="A9" s="15" t="str">
        <x:v>NLR_Q1_2025_UPV_PV_ONLY_2024_USD</x:v>
      </x:c>
      <x:c r="B9" s="15" t="str">
        <x:v>docs/method/value_basis/solar_wind_value_breakdown.xlsx::Solar_Map!6</x:v>
      </x:c>
      <x:c r="C9" s="15" t="str">
        <x:v>SOLAR_VALUE_006_COMBINER</x:v>
      </x:c>
      <x:c r="D9" s="15" t="str">
        <x:v>Combiner boxes</x:v>
      </x:c>
      <x:c r="E9" s="15" t="str">
        <x:v>6.82625</x:v>
      </x:c>
      <x:c r="F9" s="15" t="str">
        <x:v>2024_USD_per_kWdc</x:v>
      </x:c>
      <x:c r="G9" s="15" t="str">
        <x:v>direct_hardware</x:v>
      </x:c>
      <x:c r="H9" s="15" t="str">
        <x:v>PV_POWER_CONVERSION_AND_ELECTRICAL</x:v>
      </x:c>
      <x:c r="I9" s="15" t="str">
        <x:v>withheld</x:v>
      </x:c>
      <x:c r="J9" s="15" t="str">
        <x:v>false</x:v>
      </x:c>
      <x:c r="K9" s="15" t="str">
        <x:v>Split enclosure, location, debris and ingress pathways before modeling.</x:v>
      </x:c>
      <x:c r="L9" s="15" t="str">
        <x:v>Do not pool with inverter, cable or module response.</x:v>
      </x:c>
      <x:c r="M9" s="15" t="str">
        <x:v>withheld</x:v>
      </x:c>
      <x:c r="N9" s="15" t="str">
        <x:v>No direct aerodynamic curve.</x:v>
      </x:c>
    </x:row>
    <x:row r="10" ht="58" customHeight="1">
      <x:c r="A10" s="16" t="str">
        <x:v>NLR_Q1_2025_UPV_PV_ONLY_2024_USD</x:v>
      </x:c>
      <x:c r="B10" s="16" t="str">
        <x:v>docs/method/value_basis/solar_wind_value_breakdown.xlsx::Solar_Map!7</x:v>
      </x:c>
      <x:c r="C10" s="16" t="str">
        <x:v>SOLAR_VALUE_007_CABLE</x:v>
      </x:c>
      <x:c r="D10" s="16" t="str">
        <x:v>AC and DC conductors and project electrical line</x:v>
      </x:c>
      <x:c r="E10" s="16" t="str">
        <x:v>69.3201119402985</x:v>
      </x:c>
      <x:c r="F10" s="16" t="str">
        <x:v>2024_USD_per_kWdc</x:v>
      </x:c>
      <x:c r="G10" s="16" t="str">
        <x:v>direct_hardware</x:v>
      </x:c>
      <x:c r="H10" s="16" t="str">
        <x:v>PV_POWER_CONVERSION_AND_ELECTRICAL</x:v>
      </x:c>
      <x:c r="I10" s="16" t="str">
        <x:v>withheld</x:v>
      </x:c>
      <x:c r="J10" s="16" t="str">
        <x:v>false</x:v>
      </x:c>
      <x:c r="K10" s="16" t="str">
        <x:v>Split exposed, buried, conduit, termination and line segments.</x:v>
      </x:c>
      <x:c r="L10" s="16" t="str">
        <x:v>Do not reuse array zone exposure.</x:v>
      </x:c>
      <x:c r="M10" s="16" t="str">
        <x:v>withheld</x:v>
      </x:c>
      <x:c r="N10" s="16" t="str">
        <x:v>Mixed line-asset value.</x:v>
      </x:c>
    </x:row>
    <x:row r="11" ht="58" customHeight="1">
      <x:c r="A11" s="15" t="str">
        <x:v>NLR_Q1_2025_UPV_PV_ONLY_2024_USD</x:v>
      </x:c>
      <x:c r="B11" s="15" t="str">
        <x:v>docs/method/value_basis/solar_wind_value_breakdown.xlsx::Solar_Map!8</x:v>
      </x:c>
      <x:c r="C11" s="15" t="str">
        <x:v>SOLAR_VALUE_008_MV</x:v>
      </x:c>
      <x:c r="D11" s="15" t="str">
        <x:v>Transformer, switches, breakers and substation</x:v>
      </x:c>
      <x:c r="E11" s="15" t="str">
        <x:v>106.50466417910448</x:v>
      </x:c>
      <x:c r="F11" s="15" t="str">
        <x:v>2024_USD_per_kWdc</x:v>
      </x:c>
      <x:c r="G11" s="15" t="str">
        <x:v>direct_hardware</x:v>
      </x:c>
      <x:c r="H11" s="15" t="str">
        <x:v>PV_POWER_CONVERSION_AND_ELECTRICAL</x:v>
      </x:c>
      <x:c r="I11" s="15" t="str">
        <x:v>withheld</x:v>
      </x:c>
      <x:c r="J11" s="15" t="str">
        <x:v>false</x:v>
      </x:c>
      <x:c r="K11" s="15" t="str">
        <x:v>Split point assets and mechanisms.</x:v>
      </x:c>
      <x:c r="L11" s="15" t="str">
        <x:v>Do not apply module or structure DR.</x:v>
      </x:c>
      <x:c r="M11" s="15" t="str">
        <x:v>withheld</x:v>
      </x:c>
      <x:c r="N11" s="15" t="str">
        <x:v>No direct convective fragility.</x:v>
      </x:c>
    </x:row>
    <x:row r="12" ht="58" customHeight="1">
      <x:c r="A12" s="16" t="str">
        <x:v>NLR_Q1_2025_UPV_PV_ONLY_2024_USD</x:v>
      </x:c>
      <x:c r="B12" s="16" t="str">
        <x:v>docs/method/value_basis/solar_wind_value_breakdown.xlsx::Solar_Map!9</x:v>
      </x:c>
      <x:c r="C12" s="16" t="str">
        <x:v>SOLAR_VALUE_009_GROUNDING</x:v>
      </x:c>
      <x:c r="D12" s="16" t="str">
        <x:v>Grounding and lightning protection</x:v>
      </x:c>
      <x:c r="E12" s="16" t="str">
        <x:v>8.385</x:v>
      </x:c>
      <x:c r="F12" s="16" t="str">
        <x:v>2024_USD_per_kWdc</x:v>
      </x:c>
      <x:c r="G12" s="16" t="str">
        <x:v>direct_hardware</x:v>
      </x:c>
      <x:c r="H12" s="16" t="str">
        <x:v>PV_POWER_CONVERSION_AND_ELECTRICAL</x:v>
      </x:c>
      <x:c r="I12" s="16" t="str">
        <x:v>withheld</x:v>
      </x:c>
      <x:c r="J12" s="16" t="str">
        <x:v>false</x:v>
      </x:c>
      <x:c r="K12" s="16" t="str">
        <x:v>Retain for reconciliation; lightning is a separate pathway.</x:v>
      </x:c>
      <x:c r="L12" s="16" t="str">
        <x:v>No wind-pressure inheritance.</x:v>
      </x:c>
      <x:c r="M12" s="16" t="str">
        <x:v>withheld</x:v>
      </x:c>
      <x:c r="N12" s="16" t="str">
        <x:v>Mixed grounding/lightning row.</x:v>
      </x:c>
    </x:row>
    <x:row r="13" ht="58" customHeight="1">
      <x:c r="A13" s="15" t="str">
        <x:v>NLR_Q1_2025_UPV_PV_ONLY_2024_USD</x:v>
      </x:c>
      <x:c r="B13" s="15" t="str">
        <x:v>docs/method/value_basis/solar_wind_value_breakdown.xlsx::Solar_Map!10</x:v>
      </x:c>
      <x:c r="C13" s="15" t="str">
        <x:v>SOLAR_VALUE_010_SCADA</x:v>
      </x:c>
      <x:c r="D13" s="15" t="str">
        <x:v>System monitor</x:v>
      </x:c>
      <x:c r="E13" s="15" t="str">
        <x:v>1.31</x:v>
      </x:c>
      <x:c r="F13" s="15" t="str">
        <x:v>2024_USD_per_kWdc</x:v>
      </x:c>
      <x:c r="G13" s="15" t="str">
        <x:v>direct_hardware</x:v>
      </x:c>
      <x:c r="H13" s="15" t="str">
        <x:v>PV_SCADA_COMMUNICATIONS</x:v>
      </x:c>
      <x:c r="I13" s="15" t="str">
        <x:v>withheld</x:v>
      </x:c>
      <x:c r="J13" s="15" t="str">
        <x:v>false</x:v>
      </x:c>
      <x:c r="K13" s="15" t="str">
        <x:v>Location and exposure split required.</x:v>
      </x:c>
      <x:c r="L13" s="15" t="str">
        <x:v>Tracker control state may condition demand but is not a duplicate SCADA loss by default.</x:v>
      </x:c>
      <x:c r="M13" s="15" t="str">
        <x:v>withheld</x:v>
      </x:c>
      <x:c r="N13" s="15" t="str">
        <x:v>No direct aerodynamic curve.</x:v>
      </x:c>
    </x:row>
    <x:row r="14" ht="58" customHeight="1">
      <x:c r="A14" s="16" t="str">
        <x:v>NLR_Q1_2025_UPV_PV_ONLY_2024_USD</x:v>
      </x:c>
      <x:c r="B14" s="16" t="str">
        <x:v>docs/method/value_basis/solar_wind_value_breakdown.xlsx::Solar_Map!11</x:v>
      </x:c>
      <x:c r="C14" s="16" t="str">
        <x:v>SOLAR_VALUE_011_NETWORK</x:v>
      </x:c>
      <x:c r="D14" s="16" t="str">
        <x:v>Grid network upgrade</x:v>
      </x:c>
      <x:c r="E14" s="16" t="str">
        <x:v>0.0</x:v>
      </x:c>
      <x:c r="F14" s="16" t="str">
        <x:v>2024_USD_per_kWdc</x:v>
      </x:c>
      <x:c r="G14" s="16" t="str">
        <x:v>excluded_nonphysical</x:v>
      </x:c>
      <x:c r="H14" s="16" t="str">
        <x:v>OUTSIDE_PHYSICAL_CELL</x:v>
      </x:c>
      <x:c r="I14" s="16" t="str">
        <x:v>excluded</x:v>
      </x:c>
      <x:c r="J14" s="16" t="str">
        <x:v>false</x:v>
      </x:c>
      <x:c r="K14" s="16" t="str">
        <x:v>Exclude.</x:v>
      </x:c>
      <x:c r="L14" s="16" t="str">
        <x:v>Never reintroduce through physical loss.</x:v>
      </x:c>
      <x:c r="M14" s="16" t="str">
        <x:v>excluded</x:v>
      </x:c>
      <x:c r="N14" s="16" t="str">
        <x:v>Zero reference row.</x:v>
      </x:c>
    </x:row>
    <x:row r="15" ht="58" customHeight="1">
      <x:c r="A15" s="15" t="str">
        <x:v>NLR_Q1_2025_UPV_PV_ONLY_2024_USD</x:v>
      </x:c>
      <x:c r="B15" s="15" t="str">
        <x:v>docs/method/value_basis/solar_wind_value_breakdown.xlsx::Solar_Map!12</x:v>
      </x:c>
      <x:c r="C15" s="15" t="str">
        <x:v>SOLAR_VALUE_012_SBOS_LABOR</x:v>
      </x:c>
      <x:c r="D15" s="15" t="str">
        <x:v>Mounting field labor</x:v>
      </x:c>
      <x:c r="E15" s="15" t="str">
        <x:v>43.273972602739725</x:v>
      </x:c>
      <x:c r="F15" s="15" t="str">
        <x:v>2024_USD_per_kWdc</x:v>
      </x:c>
      <x:c r="G15" s="15" t="str">
        <x:v>replacement_support_cost</x:v>
      </x:c>
      <x:c r="H15" s="15" t="str">
        <x:v>PV_REPLACEMENT_SUPPORT</x:v>
      </x:c>
      <x:c r="I15" s="15" t="str">
        <x:v>support_once</x:v>
      </x:c>
      <x:c r="J15" s="15" t="str">
        <x:v>false</x:v>
      </x:c>
      <x:c r="K15" s="15" t="str">
        <x:v>Allocate once after direct module/structure state and terminal cascade using a qualified reinstatement rule.</x:v>
      </x:c>
      <x:c r="L15" s="15" t="str">
        <x:v>No intrinsic DR and no duplication inside both failure-unit denominators.</x:v>
      </x:c>
      <x:c r="M15" s="15" t="str">
        <x:v>mapped_support_rule_open</x:v>
      </x:c>
      <x:c r="N15" s="15" t="str">
        <x:v>Not all greenfield labor necessarily recurs.</x:v>
      </x:c>
    </x:row>
    <x:row r="16" ht="58" customHeight="1">
      <x:c r="A16" s="16" t="str">
        <x:v>NLR_Q1_2025_UPV_PV_ONLY_2024_USD</x:v>
      </x:c>
      <x:c r="B16" s="16" t="str">
        <x:v>docs/method/value_basis/solar_wind_value_breakdown.xlsx::Solar_Map!13</x:v>
      </x:c>
      <x:c r="C16" s="16" t="str">
        <x:v>SOLAR_VALUE_013_EBOS_LABOR</x:v>
      </x:c>
      <x:c r="D16" s="16" t="str">
        <x:v>Electrical field labor</x:v>
      </x:c>
      <x:c r="E16" s="16" t="str">
        <x:v>39.447761194029844</x:v>
      </x:c>
      <x:c r="F16" s="16" t="str">
        <x:v>2024_USD_per_kWdc</x:v>
      </x:c>
      <x:c r="G16" s="16" t="str">
        <x:v>replacement_support_cost</x:v>
      </x:c>
      <x:c r="H16" s="16" t="str">
        <x:v>PV_REPLACEMENT_SUPPORT</x:v>
      </x:c>
      <x:c r="I16" s="16" t="str">
        <x:v>support_once</x:v>
      </x:c>
      <x:c r="J16" s="16" t="str">
        <x:v>false</x:v>
      </x:c>
      <x:c r="K16" s="16" t="str">
        <x:v>Allocate only when separately supported electrical work occurs.</x:v>
      </x:c>
      <x:c r="L16" s="16" t="str">
        <x:v>Do not scale by array DR by default.</x:v>
      </x:c>
      <x:c r="M16" s="16" t="str">
        <x:v>mapped_support_rule_open</x:v>
      </x:c>
      <x:c r="N16" s="16" t="str">
        <x:v>No independent curve.</x:v>
      </x:c>
    </x:row>
    <x:row r="17" ht="58" customHeight="1">
      <x:c r="A17" s="15" t="str">
        <x:v>NLR_Q1_2025_UPV_PV_ONLY_2024_USD</x:v>
      </x:c>
      <x:c r="B17" s="15" t="str">
        <x:v>docs/method/value_basis/solar_wind_value_breakdown.xlsx::Solar_Map!14</x:v>
      </x:c>
      <x:c r="C17" s="15" t="str">
        <x:v>SOLAR_VALUE_014_CIVIL</x:v>
      </x:c>
      <x:c r="D17" s="15" t="str">
        <x:v>Grading, fencing, roads and buildings</x:v>
      </x:c>
      <x:c r="E17" s="15" t="str">
        <x:v>31.223744292237445</x:v>
      </x:c>
      <x:c r="F17" s="15" t="str">
        <x:v>2024_USD_per_kWdc</x:v>
      </x:c>
      <x:c r="G17" s="15" t="str">
        <x:v>mixed_civil_replacement_bucket</x:v>
      </x:c>
      <x:c r="H17" s="15" t="str">
        <x:v>PV_CIVIL_INFRA</x:v>
      </x:c>
      <x:c r="I17" s="15" t="str">
        <x:v>withheld</x:v>
      </x:c>
      <x:c r="J17" s="15" t="str">
        <x:v>false</x:v>
      </x:c>
      <x:c r="K17" s="15" t="str">
        <x:v>Split line, area and point assets before exposure/damage.</x:v>
      </x:c>
      <x:c r="L17" s="15" t="str">
        <x:v>Do not reuse array zone exposure or structure DR.</x:v>
      </x:c>
      <x:c r="M17" s="15" t="str">
        <x:v>withheld</x:v>
      </x:c>
      <x:c r="N17" s="15" t="str">
        <x:v>Mixed civil bucket.</x:v>
      </x:c>
    </x:row>
    <x:row r="18" ht="58" customHeight="1">
      <x:c r="A18" s="16" t="str">
        <x:v>NLR_Q1_2025_UPV_PV_ONLY_2024_USD</x:v>
      </x:c>
      <x:c r="B18" s="16" t="str">
        <x:v>docs/method/value_basis/solar_wind_value_breakdown.xlsx::Solar_Map!15</x:v>
      </x:c>
      <x:c r="C18" s="16" t="str">
        <x:v>SOLAR_VALUE_015_GENERAL_SUPPORT</x:v>
      </x:c>
      <x:c r="D18" s="16" t="str">
        <x:v>Site management, equipment rental and inspection</x:v>
      </x:c>
      <x:c r="E18" s="16" t="str">
        <x:v>106.86876712328767</x:v>
      </x:c>
      <x:c r="F18" s="16" t="str">
        <x:v>2024_USD_per_kWdc</x:v>
      </x:c>
      <x:c r="G18" s="16" t="str">
        <x:v>replacement_support_cost</x:v>
      </x:c>
      <x:c r="H18" s="16" t="str">
        <x:v>PV_REPLACEMENT_SUPPORT</x:v>
      </x:c>
      <x:c r="I18" s="16" t="str">
        <x:v>support_once</x:v>
      </x:c>
      <x:c r="J18" s="16" t="str">
        <x:v>false</x:v>
      </x:c>
      <x:c r="K18" s="16" t="str">
        <x:v>Allocate once at claim/repair scope; site rule required.</x:v>
      </x:c>
      <x:c r="L18" s="16" t="str">
        <x:v>Do not multiply independently by module and structure DR.</x:v>
      </x:c>
      <x:c r="M18" s="16" t="str">
        <x:v>mapped_support_rule_open</x:v>
      </x:c>
      <x:c r="N18" s="16" t="str">
        <x:v>No independent curve.</x:v>
      </x:c>
    </x:row>
    <x:row r="19" ht="58" customHeight="1">
      <x:c r="A19" s="15" t="str">
        <x:v>NLR_Q1_2025_UPV_PV_ONLY_2024_USD</x:v>
      </x:c>
      <x:c r="B19" s="15" t="str">
        <x:v>docs/method/value_basis/solar_wind_value_breakdown.xlsx::Solar_Map!16-17</x:v>
      </x:c>
      <x:c r="C19" s="15" t="str">
        <x:v>SOLAR_VALUE_016_017_EXCLUDED</x:v>
      </x:c>
      <x:c r="D19" s="15" t="str">
        <x:v>Officework and other soft/nonphysical value</x:v>
      </x:c>
      <x:c r="E19" s="15" t="str">
        <x:v>242.20429763733296</x:v>
      </x:c>
      <x:c r="F19" s="15" t="str">
        <x:v>2024_USD_per_kWdc</x:v>
      </x:c>
      <x:c r="G19" s="15" t="str">
        <x:v>excluded_soft_sunk_nonphysical</x:v>
      </x:c>
      <x:c r="H19" s="15" t="str">
        <x:v>OUTSIDE_PHYSICAL_CELL</x:v>
      </x:c>
      <x:c r="I19" s="15" t="str">
        <x:v>excluded</x:v>
      </x:c>
      <x:c r="J19" s="15" t="str">
        <x:v>false</x:v>
      </x:c>
      <x:c r="K19" s="15" t="str">
        <x:v>Exclude from physical denominator unless an explicit insured-value contract says otherwise.</x:v>
      </x:c>
      <x:c r="L19" s="15" t="str">
        <x:v>Never turn installed-TIV share into an intrinsic DR cap.</x:v>
      </x:c>
      <x:c r="M19" s="15" t="str">
        <x:v>excluded</x:v>
      </x:c>
      <x:c r="N19" s="15" t="str">
        <x:v>Installed 1120 minus physical 877.7957023626668.</x:v>
      </x:c>
    </x:row>
    <x:row r="20" ht="58" customHeight="1">
      <x:c r="A20" s="16" t="str">
        <x:v>NLR_Q1_2025_UPV_PV_ONLY_2024_USD</x:v>
      </x:c>
      <x:c r="B20" s="16" t="str">
        <x:v>docs/method/value_basis/solar_wind_value_breakdown.xlsx::Solar_Map summary</x:v>
      </x:c>
      <x:c r="C20" s="16" t="str">
        <x:v>SOLAR_VALUE_SUMMARY_DIRECT</x:v>
      </x:c>
      <x:c r="D20" s="16" t="str">
        <x:v>Direct hardware subtotal</x:v>
      </x:c>
      <x:c r="E20" s="16" t="str">
        <x:v>656.9814571503722</x:v>
      </x:c>
      <x:c r="F20" s="16" t="str">
        <x:v>2024_USD_per_kWdc</x:v>
      </x:c>
      <x:c r="G20" s="16" t="str">
        <x:v>reconciliation</x:v>
      </x:c>
      <x:c r="H20" s="16" t="str">
        <x:v>ALL_DIRECT_FAILURE_UNITS</x:v>
      </x:c>
      <x:c r="I20" s="16" t="str">
        <x:v>reference_only</x:v>
      </x:c>
      <x:c r="J20" s="16" t="str">
        <x:v>false</x:v>
      </x:c>
      <x:c r="K20" s="16" t="str">
        <x:v>Reconcile rows 2–10; never pool under one curve.</x:v>
      </x:c>
      <x:c r="L20" s="16" t="str">
        <x:v>Array-only output covers module and mounting rows, not this subtotal.</x:v>
      </x:c>
      <x:c r="M20" s="16" t="str">
        <x:v>reconciled</x:v>
      </x:c>
      <x:c r="N20" s="16" t="str">
        <x:v>Reference only.</x:v>
      </x:c>
    </x:row>
    <x:row r="21" ht="58" customHeight="1">
      <x:c r="A21" s="15" t="str">
        <x:v>NLR_Q1_2025_UPV_PV_ONLY_2024_USD</x:v>
      </x:c>
      <x:c r="B21" s="15" t="str">
        <x:v>docs/method/value_basis/solar_wind_value_breakdown.xlsx::Solar_Map summary</x:v>
      </x:c>
      <x:c r="C21" s="15" t="str">
        <x:v>SOLAR_VALUE_SUMMARY_PHYSICAL</x:v>
      </x:c>
      <x:c r="D21" s="15" t="str">
        <x:v>Physical replaceable reference basis</x:v>
      </x:c>
      <x:c r="E21" s="15" t="str">
        <x:v>877.7957023626668</x:v>
      </x:c>
      <x:c r="F21" s="15" t="str">
        <x:v>2024_USD_per_kWdc</x:v>
      </x:c>
      <x:c r="G21" s="15" t="str">
        <x:v>reconciliation</x:v>
      </x:c>
      <x:c r="H21" s="15" t="str">
        <x:v>ALL_PHYSICAL_FAILURE_UNITS_AND_SUPPORT</x:v>
      </x:c>
      <x:c r="I21" s="15" t="str">
        <x:v>reference_only</x:v>
      </x:c>
      <x:c r="J21" s="15" t="str">
        <x:v>false</x:v>
      </x:c>
      <x:c r="K21" s="15" t="str">
        <x:v>Physical reference equals direct hardware plus replacement/civil/support rows.</x:v>
      </x:c>
      <x:c r="L21" s="15" t="str">
        <x:v>Withheld rows are unknown, not zero; do not report array DR as full-physical DR.</x:v>
      </x:c>
      <x:c r="M21" s="15" t="str">
        <x:v>reconciled</x:v>
      </x:c>
      <x:c r="N21" s="15" t="str">
        <x:v>Installed equals physical plus 242.20429763733296.</x:v>
      </x:c>
    </x:row>
    <x:row r="22" ht="58" customHeight="1">
      <x:c r="A22" s="16" t="str">
        <x:v>NLR_Q1_2025_UPV_PV_ONLY_2024_USD</x:v>
      </x:c>
      <x:c r="B22" s="16" t="str">
        <x:v>docs/method/value_basis/solar_wind_value_breakdown.xlsx::Solar_Map summary</x:v>
      </x:c>
      <x:c r="C22" s="16" t="str">
        <x:v>SOLAR_VALUE_SUMMARY_INSTALLED</x:v>
      </x:c>
      <x:c r="D22" s="16" t="str">
        <x:v>Installed CAPEX reference basis</x:v>
      </x:c>
      <x:c r="E22" s="16" t="str">
        <x:v>1120.0</x:v>
      </x:c>
      <x:c r="F22" s="16" t="str">
        <x:v>2024_USD_per_kWdc</x:v>
      </x:c>
      <x:c r="G22" s="16" t="str">
        <x:v>installed_reference</x:v>
      </x:c>
      <x:c r="H22" s="16" t="str">
        <x:v>OUTSIDE_INTRINSIC_CURVE</x:v>
      </x:c>
      <x:c r="I22" s="16" t="str">
        <x:v>reference_only</x:v>
      </x:c>
      <x:c r="J22" s="16" t="str">
        <x:v>false</x:v>
      </x:c>
      <x:c r="K22" s="16" t="str">
        <x:v>Reporting conversion only with explicit numerator label.</x:v>
      </x:c>
      <x:c r="L22" s="16" t="str">
        <x:v>Not an intrinsic curve denominator or cap.</x:v>
      </x:c>
      <x:c r="M22" s="16" t="str">
        <x:v>reconciled</x:v>
      </x:c>
      <x:c r="N22" s="16" t="str">
        <x:v>Array module+mounting reference is 0.35821837273868046 of installed.</x:v>
      </x:c>
    </x:row>
    <x:row r="23" ht="58" customHeight="1">
      <x:c r="A23" s="15" t="str">
        <x:v>NREL_Q1_2024_MMP_TRACKER_2023_USD</x:v>
      </x:c>
      <x:c r="B23" s="15" t="str">
        <x:v>DOE PV cost benchmark Figure 1</x:v>
      </x:c>
      <x:c r="C23" s="15" t="str">
        <x:v>TRACKER_SENS_MODULE</x:v>
      </x:c>
      <x:c r="D23" s="15" t="str">
        <x:v>One-axis-tracker module MMP</x:v>
      </x:c>
      <x:c r="E23" s="15" t="str">
        <x:v>336.0</x:v>
      </x:c>
      <x:c r="F23" s="15" t="str">
        <x:v>2023_USD_per_kWdc</x:v>
      </x:c>
      <x:c r="G23" s="15" t="str">
        <x:v>sensitivity_direct_hardware</x:v>
      </x:c>
      <x:c r="H23" s="15" t="str">
        <x:v>PV_TRACKER_MODULE_FIELD</x:v>
      </x:c>
      <x:c r="I23" s="15" t="str">
        <x:v>sensitivity_only</x:v>
      </x:c>
      <x:c r="J23" s="15" t="str">
        <x:v>false</x:v>
      </x:c>
      <x:c r="K23" s="15" t="str">
        <x:v>Use only as a source-native tracker sensitivity with the same vintage profile.</x:v>
      </x:c>
      <x:c r="L23" s="15" t="str">
        <x:v>Never blend with 2024 USD primary rows.</x:v>
      </x:c>
      <x:c r="M23" s="15" t="str">
        <x:v>sensitivity_only</x:v>
      </x:c>
      <x:c r="N23" s="15" t="str">
        <x:v>Tracker benchmark.</x:v>
      </x:c>
    </x:row>
    <x:row r="24" ht="58" customHeight="1">
      <x:c r="A24" s="16" t="str">
        <x:v>NREL_Q1_2024_MMP_TRACKER_2023_USD</x:v>
      </x:c>
      <x:c r="B24" s="16" t="str">
        <x:v>DOE PV cost benchmark Figure 1</x:v>
      </x:c>
      <x:c r="C24" s="16" t="str">
        <x:v>TRACKER_SENS_SBOS</x:v>
      </x:c>
      <x:c r="D24" s="16" t="str">
        <x:v>One-axis-tracker structural BOS MMP</x:v>
      </x:c>
      <x:c r="E24" s="16" t="str">
        <x:v>140.0</x:v>
      </x:c>
      <x:c r="F24" s="16" t="str">
        <x:v>2023_USD_per_kWdc</x:v>
      </x:c>
      <x:c r="G24" s="16" t="str">
        <x:v>sensitivity_direct_hardware</x:v>
      </x:c>
      <x:c r="H24" s="16" t="str">
        <x:v>PV_TRACKER_SBOS_ASSEMBLY</x:v>
      </x:c>
      <x:c r="I24" s="16" t="str">
        <x:v>boundary_mismatched_sensitivity_only</x:v>
      </x:c>
      <x:c r="J24" s="16" t="str">
        <x:v>false</x:v>
      </x:c>
      <x:c r="K24" s="16" t="str">
        <x:v>The source combines tracker/racking/pile/foundation content; do not use 140 as the above-ground SBOS curve denominator unless foundation content is reconciled by a governed BOM.</x:v>
      </x:c>
      <x:c r="L24" s="16" t="str">
        <x:v>Do not split torque tube, drive, racking, piles and foundation beyond source support or compare its loss directly to the foundation-excluding primary record.</x:v>
      </x:c>
      <x:c r="M24" s="16" t="str">
        <x:v>sensitivity_boundary_mismatch</x:v>
      </x:c>
      <x:c r="N24" s="16" t="str">
        <x:v>Tracker benchmark; useful only for whole-SBOS sensitivity until the boundary is reconciled.</x:v>
      </x:c>
    </x:row>
    <x:row r="25" ht="58" customHeight="1">
      <x:c r="A25" s="15" t="str">
        <x:v>NREL_Q1_2024_MMP_TRACKER_2023_USD</x:v>
      </x:c>
      <x:c r="B25" s="15" t="str">
        <x:v>DOE PV cost benchmark Figure 1</x:v>
      </x:c>
      <x:c r="C25" s="15" t="str">
        <x:v>TRACKER_SENS_INSTALLED</x:v>
      </x:c>
      <x:c r="D25" s="15" t="str">
        <x:v>One-axis-tracker installed MMP</x:v>
      </x:c>
      <x:c r="E25" s="15" t="str">
        <x:v>1119.0</x:v>
      </x:c>
      <x:c r="F25" s="15" t="str">
        <x:v>2023_USD_per_kWdc</x:v>
      </x:c>
      <x:c r="G25" s="15" t="str">
        <x:v>installed_reference</x:v>
      </x:c>
      <x:c r="H25" s="15" t="str">
        <x:v>OUTSIDE_INTRINSIC_CURVE</x:v>
      </x:c>
      <x:c r="I25" s="15" t="str">
        <x:v>sensitivity_only</x:v>
      </x:c>
      <x:c r="J25" s="15" t="str">
        <x:v>false</x:v>
      </x:c>
      <x:c r="K25" s="15" t="str">
        <x:v>Reconcile 336+33+140+186+229+62+133.</x:v>
      </x:c>
      <x:c r="L25" s="15" t="str">
        <x:v>Not a DR denominator.</x:v>
      </x:c>
      <x:c r="M25" s="15" t="str">
        <x:v>sensitivity_only</x:v>
      </x:c>
      <x:c r="N25" s="15" t="str">
        <x:v>Fieldwork 229 must remain separate from direct hardware.</x:v>
      </x:c>
    </x:row>
    <x:row r="26" ht="58" customHeight="1">
      <x:c r="A26" s="16" t="str">
        <x:v>NREL_Q1_2021_COST_BENCHMARK</x:v>
      </x:c>
      <x:c r="B26" s="16" t="str">
        <x:v>NREL Q1-2021 benchmark PDF p. 27</x:v>
      </x:c>
      <x:c r="C26" s="16" t="str">
        <x:v>FIXED_TILT_STRUCTURE_RANGE</x:v>
      </x:c>
      <x:c r="D26" s="16" t="str">
        <x:v>Structural components, fixed tilt or one-axis tracker</x:v>
      </x:c>
      <x:c r="E26" s="16" t="str">
        <x:v>90.0-120.0</x:v>
      </x:c>
      <x:c r="F26" s="16" t="str">
        <x:v>2020_USD_per_kWdc</x:v>
      </x:c>
      <x:c r="G26" s="16" t="str">
        <x:v>screening_value_range</x:v>
      </x:c>
      <x:c r="H26" s="16" t="str">
        <x:v>PV_FIXED_TILT_SUPPORT_STRUCTURE</x:v>
      </x:c>
      <x:c r="I26" s="16" t="str">
        <x:v>reference_range_only</x:v>
      </x:c>
      <x:c r="J26" s="16" t="str">
        <x:v>false</x:v>
      </x:c>
      <x:c r="K26" s="16" t="str">
        <x:v>Require explicit site value; use range only for sensitivity.</x:v>
      </x:c>
      <x:c r="L26" s="16" t="str">
        <x:v>Do not assign a point value or assume the endpoints separately identify fixed tilt and tracker.</x:v>
      </x:c>
      <x:c r="M26" s="16" t="str">
        <x:v>withheld_as_default</x:v>
      </x:c>
      <x:c r="N26" s="16" t="str">
        <x:v>Older and architecture-combined range.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22" hidden="0" customWidth="1"/>
    <x:col min="5" max="5" width="58" hidden="0" customWidth="1"/>
    <x:col min="6" max="6" width="58" hidden="0" customWidth="1"/>
    <x:col min="7" max="7" width="58" hidden="0" customWidth="1"/>
    <x:col min="8" max="8" width="58" hidden="0" customWidth="1"/>
    <x:col min="9" max="9" width="58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8" customHeight="1">
      <x:c r="A1" s="47" t="str">
        <x:v>Source register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2" ht="32" customHeight="1">
      <x:c r="A2" s="48" t="str">
        <x:v>Every source has an exact endpoint, permitted inference and prohibited transfer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</x:row>
    <x:row r="4" ht="28" customHeight="1">
      <x:c r="A4" s="52" t="str">
        <x:v>source_id</x:v>
      </x:c>
      <x:c r="B4" s="52" t="str">
        <x:v>full_citation</x:v>
      </x:c>
      <x:c r="C4" s="52" t="str">
        <x:v>source_class</x:v>
      </x:c>
      <x:c r="D4" s="52" t="str">
        <x:v>accessed_on</x:v>
      </x:c>
      <x:c r="E4" s="52" t="str">
        <x:v>primary_url</x:v>
      </x:c>
      <x:c r="F4" s="52" t="str">
        <x:v>exact_locator</x:v>
      </x:c>
      <x:c r="G4" s="52" t="str">
        <x:v>native_axis_or_endpoint</x:v>
      </x:c>
      <x:c r="H4" s="52" t="str">
        <x:v>direct_support</x:v>
      </x:c>
      <x:c r="I4" s="52" t="str">
        <x:v>prohibited_support</x:v>
      </x:c>
      <x:c r="J4" s="52" t="str">
        <x:v>evidence_role</x:v>
      </x:c>
      <x:c r="K4" s="52" t="str">
        <x:v>tier</x:v>
      </x:c>
      <x:c r="L4" s="52" t="str">
        <x:v>status</x:v>
      </x:c>
    </x:row>
    <x:row r="5" ht="70" customHeight="1">
      <x:c r="A5" s="15" t="str">
        <x:v>PV_TRACKER_DOWNBURST_2025</x:v>
      </x:c>
      <x:c r="B5" s="15" t="str">
        <x:v>Álvarez et al. Downburst-Induced Loads on a Six-Row Array of Ground-Mounted Solar Trackers. Proceedings of the 10th International Conference on Advances in Experimental Structural Engineering, 2025.</x:v>
      </x:c>
      <x:c r="C5" s="15" t="str">
        <x:v>peer-reviewed conference experiment</x:v>
      </x:c>
      <x:c r="D5" s="15" t="str">
        <x:v>2026-07-12</x:v>
      </x:c>
      <x:c r="E5" s="15" t="str">
        <x:v>https://doi.org/10.1007/978-3-031-98893-6_6</x:v>
      </x:c>
      <x:c r="F5" s="15" t="str">
        <x:v>pp. 54–63; §§2–6; especially pp. 57–62</x:v>
      </x:c>
      <x:c r="G5" s="15" t="str">
        <x:v>1:20 six-row rigid tracker model; 576 pressure taps; eight vertical-jet downburst repeats; pressure-time histories</x:v>
      </x:c>
      <x:c r="H5" s="15" t="str">
        <x:v>Transient ramp/plateau/decay, primary-vortex surge, row and tilt dependence, downburst knowledge gap</x:v>
      </x:c>
      <x:c r="I5" s="15" t="str">
        <x:v>Critical speed, component capacity, failure probability, damage state, economic DR, full-scale threshold</x:v>
      </x:c>
      <x:c r="J5" s="15" t="str">
        <x:v>hazard mechanism / axis / conditioner</x:v>
      </x:c>
      <x:c r="K5" s="15" t="str">
        <x:v>T2_public_lab_standard_or_physics</x:v>
      </x:c>
      <x:c r="L5" s="15" t="str">
        <x:v>RETAINED_WITH_TRANSFER_LIMIT</x:v>
      </x:c>
    </x:row>
    <x:row r="6" ht="70" customHeight="1">
      <x:c r="A6" s="16" t="str">
        <x:v>IEA_PVPS_EXTREME_WEATHER_2025</x:v>
      </x:c>
      <x:c r="B6" s="16" t="str">
        <x:v>IEA PVPS Task 13. Operational and Economic Impacts of Extreme Weather on PV Power Plants. T13-33:2025.</x:v>
      </x:c>
      <x:c r="C6" s="16" t="str">
        <x:v>international laboratory synthesis</x:v>
      </x:c>
      <x:c r="D6" s="16" t="str">
        <x:v>2026-07-12</x:v>
      </x:c>
      <x:c r="E6" s="16" t="str">
        <x:v>https://iea-pvps.org/wp-content/uploads/2025/12/IEA-PVPS-T13-33-2025-REPORT-Extreme-Weather-Impacts.pdf</x:v>
      </x:c>
      <x:c r="F6" s="16" t="str">
        <x:v>§3.2.2 pp. 24–25; §§3.4–3.6 pp. 25–28</x:v>
      </x:c>
      <x:c r="G6" s="16" t="str">
        <x:v>reported straight-line wind cases around 22–28 m/s; Oakey and Lamar tracker narratives</x:v>
      </x:c>
      <x:c r="H6" s="16" t="str">
        <x:v>Observed below-design damage is possible; 1P/2P, stow, perimeter and anemometer state are load-bearing</x:v>
      </x:c>
      <x:c r="I6" s="16" t="str">
        <x:v>Population fragility, normalized DR, exact value denominator, literal threshold or fitted median; Lamar citation is uncertain</x:v>
      </x:c>
      <x:c r="J6" s="16" t="str">
        <x:v>field anchor / asset taxonomy</x:v>
      </x:c>
      <x:c r="K6" s="16" t="str">
        <x:v>T3_engineering_proxy_or_adjacent_empirical</x:v>
      </x:c>
      <x:c r="L6" s="16" t="str">
        <x:v>RETAINED_AS_SCREENING_CONSTRAINT</x:v>
      </x:c>
    </x:row>
    <x:row r="7" ht="70" customHeight="1">
      <x:c r="A7" s="15" t="str">
        <x:v>VALENTIN_TRACKER_FAILURE_2022</x:v>
      </x:c>
      <x:c r="B7" s="15" t="str">
        <x:v>Valentín et al. Failure Investigation of a Solar Tracker Due to Wind-Induced Torsional Galloping. Engineering Failure Analysis 135, 106137 (2022).</x:v>
      </x:c>
      <x:c r="C7" s="15" t="str">
        <x:v>peer-reviewed forensic case</x:v>
      </x:c>
      <x:c r="D7" s="15" t="str">
        <x:v>2026-07-12</x:v>
      </x:c>
      <x:c r="E7" s="15" t="str">
        <x:v>https://doi.org/10.1016/j.engfailanal.2022.106137</x:v>
      </x:c>
      <x:c r="F7" s="15" t="str">
        <x:v>§§3.2–3.3, 4.3 and 6</x:v>
      </x:c>
      <x:c r="G7" s="15" t="str">
        <x:v>one exposed flat tracker failed; nearby station about 16.7 m/s; rotation, module, shaft and pillar damage</x:v>
      </x:c>
      <x:c r="H7" s="15" t="str">
        <x:v>Tracker cascade sequence and importance of angle/exposure</x:v>
      </x:c>
      <x:c r="I7" s="15" t="str">
        <x:v>Convective attribution, local threshold, population probability, economic DR</x:v>
      </x:c>
      <x:c r="J7" s="15" t="str">
        <x:v>mechanism / vulnerable-architecture bound</x:v>
      </x:c>
      <x:c r="K7" s="15" t="str">
        <x:v>T3_engineering_proxy_or_adjacent_empirical</x:v>
      </x:c>
      <x:c r="L7" s="15" t="str">
        <x:v>RETAINED_WITH_TRANSFER_LIMIT</x:v>
      </x:c>
    </x:row>
    <x:row r="8" ht="70" customHeight="1">
      <x:c r="A8" s="16" t="str">
        <x:v>CPP_TRACKER_INSTABILITY_2015</x:v>
      </x:c>
      <x:c r="B8" s="16" t="str">
        <x:v>Rohr, Bourke and Banks. Torsional Instability of Single-Axis Solar Tracking Systems. 2015.</x:v>
      </x:c>
      <x:c r="C8" s="16" t="str">
        <x:v>engineering wind-tunnel / CFD paper</x:v>
      </x:c>
      <x:c r="D8" s="16" t="str">
        <x:v>2026-07-12</x:v>
      </x:c>
      <x:c r="E8" s="16" t="str">
        <x:v>https://www.cppwind.com/wp-content/uploads/2020/12/Torsional-Instability-of-Single-Axis-Solar-Tracking-Systems-Rohr-Bourke-Banks-2015.pdf</x:v>
      </x:c>
      <x:c r="F8" s="16" t="str">
        <x:v>pp. 1–7; especially pp. 5–7</x:v>
      </x:c>
      <x:c r="G8" s="16" t="str">
        <x:v>sectional critical velocity and tracker twist under ABL flow</x:v>
      </x:c>
      <x:c r="H8" s="16" t="str">
        <x:v>System-specific critical-speed and angle-conditioned tracker axis</x:v>
      </x:c>
      <x:c r="I8" s="16" t="str">
        <x:v>Universal 40 m/s threshold, downburst response, DR or loss</x:v>
      </x:c>
      <x:c r="J8" s="16" t="str">
        <x:v>tracker axis / mechanism</x:v>
      </x:c>
      <x:c r="K8" s="16" t="str">
        <x:v>T2_public_lab_standard_or_physics</x:v>
      </x:c>
      <x:c r="L8" s="16" t="str">
        <x:v>RETAINED_WITH_TRANSFER_LIMIT</x:v>
      </x:c>
    </x:row>
    <x:row r="9" ht="70" customHeight="1">
      <x:c r="A9" s="15" t="str">
        <x:v>TRACKER_LAYOUT_AEROELASTIC_2025</x:v>
      </x:c>
      <x:c r="B9" s="15" t="str">
        <x:v>Frontini et al. Key Parameters Influencing Wind-Induced Aeroelastic Responses of Single-Axis Solar Trackers in Photovoltaic Plants. Solar Energy 2025, 113232.</x:v>
      </x:c>
      <x:c r="C9" s="15" t="str">
        <x:v>peer-reviewed wind-tunnel and FEM study</x:v>
      </x:c>
      <x:c r="D9" s="15" t="str">
        <x:v>2026-07-12</x:v>
      </x:c>
      <x:c r="E9" s="15" t="str">
        <x:v>https://doi.org/10.1016/j.solener.2024.113232</x:v>
      </x:c>
      <x:c r="F9" s="15" t="str">
        <x:v>abstract; stability map Fig. 7; stress envelopes Fig. 12</x:v>
      </x:c>
      <x:c r="G9" s="15" t="str">
        <x:v>critical response by tracker position, pitch, direction and ground-coverage ratio</x:v>
      </x:c>
      <x:c r="H9" s="15" t="str">
        <x:v>Required row, pitch, direction and layout fields</x:v>
      </x:c>
      <x:c r="I9" s="15" t="str">
        <x:v>Transfer of tested critical speeds to another tracker or to downburst loading</x:v>
      </x:c>
      <x:c r="J9" s="15" t="str">
        <x:v>tracker selectors / conditioners</x:v>
      </x:c>
      <x:c r="K9" s="15" t="str">
        <x:v>T2_public_lab_standard_or_physics</x:v>
      </x:c>
      <x:c r="L9" s="15" t="str">
        <x:v>RETAINED_WITH_TRANSFER_LIMIT</x:v>
      </x:c>
    </x:row>
    <x:row r="10" ht="70" customHeight="1">
      <x:c r="A10" s="16" t="str">
        <x:v>PV_TRACKER_AEROELASTIC_2024</x:v>
      </x:c>
      <x:c r="B10" s="16" t="str">
        <x:v>Rodríguez-Casado et al. Experimental Benchmark for the 3D Wind Tunnel Testing of Torsional Aeroelastic Instabilities in Single-Axis Solar Trackers. JWEIA 2024, 105838.</x:v>
      </x:c>
      <x:c r="C10" s="16" t="str">
        <x:v>peer-reviewed aeroelastic benchmark</x:v>
      </x:c>
      <x:c r="D10" s="16" t="str">
        <x:v>2026-07-12</x:v>
      </x:c>
      <x:c r="E10" s="16" t="str">
        <x:v>https://doi.org/10.1016/j.jweia.2024.105838</x:v>
      </x:c>
      <x:c r="F10" s="16" t="str">
        <x:v>abstract and §§1–3</x:v>
      </x:c>
      <x:c r="G10" s="16" t="str">
        <x:v>3D aeroelastic critical velocity by design and tilt in two tunnels</x:v>
      </x:c>
      <x:c r="H10" s="16" t="str">
        <x:v>Exact-system named Ucrit normalization and qualification identity</x:v>
      </x:c>
      <x:c r="I10" s="16" t="str">
        <x:v>Generic production-tracker fragility or damage probability</x:v>
      </x:c>
      <x:c r="J10" s="16" t="str">
        <x:v>tracker axis / qualification</x:v>
      </x:c>
      <x:c r="K10" s="16" t="str">
        <x:v>T2_public_lab_standard_or_physics</x:v>
      </x:c>
      <x:c r="L10" s="16" t="str">
        <x:v>RETAINED_WITH_TRANSFER_LIMIT</x:v>
      </x:c>
    </x:row>
    <x:row r="11" ht="70" customHeight="1">
      <x:c r="A11" s="15" t="str">
        <x:v>TRACKER_FIELD_MODAL_2024</x:v>
      </x:c>
      <x:c r="B11" s="15" t="str">
        <x:v>Koekemoer et al. Field Measurements of Wind Load Effects in a Photovoltaic Single-Axis Tracker Mounting Rail. JWEIA 2024, 105876.</x:v>
      </x:c>
      <x:c r="C11" s="15" t="str">
        <x:v>peer-reviewed full-scale field measurements</x:v>
      </x:c>
      <x:c r="D11" s="15" t="str">
        <x:v>2026-07-12</x:v>
      </x:c>
      <x:c r="E11" s="15" t="str">
        <x:v>https://doi.org/10.1016/j.jweia.2024.105876</x:v>
      </x:c>
      <x:c r="F11" s="15" t="str">
        <x:v>abstract; 109-day campaign</x:v>
      </x:c>
      <x:c r="G11" s="15" t="str">
        <x:v>1P tracker torsional and bending modal response by direction and pile position</x:v>
      </x:c>
      <x:c r="H11" s="15" t="str">
        <x:v>1P/2P and modal/layout differentiation</x:v>
      </x:c>
      <x:c r="I11" s="15" t="str">
        <x:v>No-damage threshold or destructive convective response</x:v>
      </x:c>
      <x:c r="J11" s="15" t="str">
        <x:v>tracker mechanism / future calibration</x:v>
      </x:c>
      <x:c r="K11" s="15" t="str">
        <x:v>T2_public_lab_standard_or_physics</x:v>
      </x:c>
      <x:c r="L11" s="15" t="str">
        <x:v>RETAINED_WITH_TRANSFER_LIMIT</x:v>
      </x:c>
    </x:row>
    <x:row r="12" ht="70" customHeight="1">
      <x:c r="A12" s="16" t="str">
        <x:v>FIXED_TILT_WIND_DESIGN_2020</x:v>
      </x:c>
      <x:c r="B12" s="16" t="str">
        <x:v>Browne et al. A Wind Load Design Method for Ground-Mounted Multi-Row Solar Arrays Based on a Compilation of Wind Tunnel Experiments. JWEIA 2020, 104294.</x:v>
      </x:c>
      <x:c r="C12" s="16" t="str">
        <x:v>peer-reviewed ABL wind-tunnel synthesis</x:v>
      </x:c>
      <x:c r="D12" s="16" t="str">
        <x:v>2026-07-12</x:v>
      </x:c>
      <x:c r="E12" s="16" t="str">
        <x:v>https://doi.org/10.1016/j.jweia.2020.104294</x:v>
      </x:c>
      <x:c r="F12" s="16" t="str">
        <x:v>abstract and §§1–5</x:v>
      </x:c>
      <x:c r="G12" s="16" t="str">
        <x:v>fixed-tilt static/dynamic pressure coefficients and perimeter/field zones</x:v>
      </x:c>
      <x:c r="H12" s="16" t="str">
        <x:v>Separate fixed-tilt load bridge and array zoning</x:v>
      </x:c>
      <x:c r="I12" s="16" t="str">
        <x:v>Downburst coefficients, tracker aeroelasticity, failure probability or DR</x:v>
      </x:c>
      <x:c r="J12" s="16" t="str">
        <x:v>fixed-tilt axis / zone design</x:v>
      </x:c>
      <x:c r="K12" s="16" t="str">
        <x:v>T2_public_lab_standard_or_physics</x:v>
      </x:c>
      <x:c r="L12" s="16" t="str">
        <x:v>RETAINED_WITH_TRANSFER_LIMIT</x:v>
      </x:c>
    </x:row>
    <x:row r="13" ht="70" customHeight="1">
      <x:c r="A13" s="15" t="str">
        <x:v>SOLAR_JOINT_CYCLIC_2025</x:v>
      </x:c>
      <x:c r="B13" s="15" t="str">
        <x:v>Du et al. Cyclic Demands on Solar Structural Joints under Wind Loading. Journal of Structural Engineering, 2025.</x:v>
      </x:c>
      <x:c r="C13" s="15" t="str">
        <x:v>peer-reviewed CFD/FEA/hazard study</x:v>
      </x:c>
      <x:c r="D13" s="15" t="str">
        <x:v>2026-07-12</x:v>
      </x:c>
      <x:c r="E13" s="15" t="str">
        <x:v>https://doi.org/10.1061/JSENDH.STENG-14435</x:v>
      </x:c>
      <x:c r="F13" s="15" t="str">
        <x:v>abstract and conclusions</x:v>
      </x:c>
      <x:c r="G13" s="15" t="str">
        <x:v>lifetime clamp/joint cyclic demand</x:v>
      </x:c>
      <x:c r="H13" s="15" t="str">
        <x:v>Joint coverage and acute-versus-fatigue boundary</x:v>
      </x:c>
      <x:c r="I13" s="15" t="str">
        <x:v>Single-occurrence convective DR or lifetime-to-peak conversion</x:v>
      </x:c>
      <x:c r="J13" s="15" t="str">
        <x:v>failure-unit design / boundary</x:v>
      </x:c>
      <x:c r="K13" s="15" t="str">
        <x:v>T2_public_lab_standard_or_physics</x:v>
      </x:c>
      <x:c r="L13" s="15" t="str">
        <x:v>RETAINED_WITH_TRANSFER_LIMIT</x:v>
      </x:c>
    </x:row>
    <x:row r="14" ht="70" customHeight="1">
      <x:c r="A14" s="16" t="str">
        <x:v>SOLAR_CRITICAL_JOINTS_2025</x:v>
      </x:c>
      <x:c r="B14" s="16" t="str">
        <x:v>Robinson. Maturing Rational Design Methodologies and Industry Consensus Engineering Standards: Critical Fastened Joints – Solar PV Industry. LBNL, 2025.</x:v>
      </x:c>
      <x:c r="C14" s="16" t="str">
        <x:v>public-laboratory engineering report</x:v>
      </x:c>
      <x:c r="D14" s="16" t="str">
        <x:v>2026-07-12</x:v>
      </x:c>
      <x:c r="E14" s="16" t="str">
        <x:v>https://doi.org/10.20357/B7VG76</x:v>
      </x:c>
      <x:c r="F14" s="16" t="str">
        <x:v>abstract and report</x:v>
      </x:c>
      <x:c r="G14" s="16" t="str">
        <x:v>joint failure, racking deflection/twist and load feedback</x:v>
      </x:c>
      <x:c r="H14" s="16" t="str">
        <x:v>Attachment/joint condition and cascade logic</x:v>
      </x:c>
      <x:c r="I14" s="16" t="str">
        <x:v>Wind-to-failure population or cost fraction</x:v>
      </x:c>
      <x:c r="J14" s="16" t="str">
        <x:v>failure mechanism / condition</x:v>
      </x:c>
      <x:c r="K14" s="16" t="str">
        <x:v>T2_public_lab_standard_or_physics</x:v>
      </x:c>
      <x:c r="L14" s="16" t="str">
        <x:v>RETAINED_WITH_TRANSFER_LIMIT</x:v>
      </x:c>
    </x:row>
    <x:row r="15" ht="70" customHeight="1">
      <x:c r="A15" s="15" t="str">
        <x:v>DOE_PV_OWNER_GUIDE_2021</x:v>
      </x:c>
      <x:c r="B15" s="15" t="str">
        <x:v>U.S. DOE/FEMP and GSA. PV System Owner’s Guide to Identifying, Assessing, and Addressing Weather Vulnerabilities, Risks, and Impacts. 2021.</x:v>
      </x:c>
      <x:c r="C15" s="15" t="str">
        <x:v>official field-audit guidance</x:v>
      </x:c>
      <x:c r="D15" s="15" t="str">
        <x:v>2026-07-12</x:v>
      </x:c>
      <x:c r="E15" s="15" t="str">
        <x:v>https://www.energy.gov/sites/default/files/2021-09/pv-system-owners-guide-to-weather-vulnerabilities.pdf</x:v>
      </x:c>
      <x:c r="F15" s="15" t="str">
        <x:v>§5; PDF pp. 43–50 for clamps/racking; derecho context pp. 56–58</x:v>
      </x:c>
      <x:c r="G15" s="15" t="str">
        <x:v>field-audit vulnerabilities and observed module, clamp, fastener, racking, wiring and enclosure mechanisms</x:v>
      </x:c>
      <x:c r="H15" s="15" t="str">
        <x:v>Failure-unit coverage, dependency, audit and conditioner fields</x:v>
      </x:c>
      <x:c r="I15" s="15" t="str">
        <x:v>Numerical utility-scale convective fragility, parameter median, dispersion or loss cap</x:v>
      </x:c>
      <x:c r="J15" s="15" t="str">
        <x:v>mechanism / failure-unit / conditioner</x:v>
      </x:c>
      <x:c r="K15" s="15" t="str">
        <x:v>T2_public_lab_standard_or_physics</x:v>
      </x:c>
      <x:c r="L15" s="15" t="str">
        <x:v>RETAINED_QUALITATIVE</x:v>
      </x:c>
    </x:row>
    <x:row r="16" ht="70" customHeight="1">
      <x:c r="A16" s="16" t="str">
        <x:v>NREL_WEATHER_IMPACTS_2021</x:v>
      </x:c>
      <x:c r="B16" s="16" t="str">
        <x:v>Walker et al. Weather Impacts on Solar PV Operations: Summary of the 2021 PV Reliability Workshop. LBNL/NREL/Sandia, 2021.</x:v>
      </x:c>
      <x:c r="C16" s="16" t="str">
        <x:v>public-laboratory workshop synthesis</x:v>
      </x:c>
      <x:c r="D16" s="16" t="str">
        <x:v>2026-07-12</x:v>
      </x:c>
      <x:c r="E16" s="16" t="str">
        <x:v>https://escholarship.org/content/qt5t8569hf/qt5t8569hf_noSplash_f0e76891c1cd44233507d7c5afbad87a.pdf</x:v>
      </x:c>
      <x:c r="F16" s="16" t="str">
        <x:v>pp. 23–25, 30–32, 39–42 and 56–58</x:v>
      </x:c>
      <x:c r="G16" s="16" t="str">
        <x:v>field cases, clamp/fastener failure, module/rack dynamics, thunderstorm/downburst context</x:v>
      </x:c>
      <x:c r="H16" s="16" t="str">
        <x:v>Mechanism, dependency, below-design failure possibility and open evidence seams</x:v>
      </x:c>
      <x:c r="I16" s="16" t="str">
        <x:v>Curve calibration, universal threshold or repair-cost ratio</x:v>
      </x:c>
      <x:c r="J16" s="16" t="str">
        <x:v>mechanism / evidence-gap synthesis</x:v>
      </x:c>
      <x:c r="K16" s="16" t="str">
        <x:v>T2_public_lab_standard_or_physics</x:v>
      </x:c>
      <x:c r="L16" s="16" t="str">
        <x:v>RETAINED_WITH_TRANSFER_LIMIT</x:v>
      </x:c>
    </x:row>
    <x:row r="17" ht="70" customHeight="1">
      <x:c r="A17" s="15" t="str">
        <x:v>FM_DS_7_106_2026</x:v>
      </x:c>
      <x:c r="B17" s="15" t="str">
        <x:v>FM. Data Sheet 7-106: Ground-Mounted Solar Photovoltaic Power. April 2026.</x:v>
      </x:c>
      <x:c r="C17" s="15" t="str">
        <x:v>insurer engineering standard</x:v>
      </x:c>
      <x:c r="D17" s="15" t="str">
        <x:v>2026-07-12</x:v>
      </x:c>
      <x:c r="E17" s="15" t="str">
        <x:v>https://www.fm.com/-/media/project/publicwebsites/fmglobal/documentum-new/data-sheet-individual/07-hazards/fmds07106.pdf</x:v>
      </x:c>
      <x:c r="F17" s="15" t="str">
        <x:v>§§2.1.2.3–2.1.2.4 pp. 3–4; §3.1 pp. 10–11</x:v>
      </x:c>
      <x:c r="G17" s="15" t="str">
        <x:v>static/dynamic/aeroelastic review; multiple anemometers; stow trigger 25% below tested instability speed</x:v>
      </x:c>
      <x:c r="H17" s="15" t="str">
        <x:v>Ucrit qualification, monitoring and 0.75 action flag</x:v>
      </x:c>
      <x:c r="I17" s="15" t="str">
        <x:v>0.75 as damage threshold, hard zero or fragility ordinate</x:v>
      </x:c>
      <x:c r="J17" s="15" t="str">
        <x:v>tracker operational gate</x:v>
      </x:c>
      <x:c r="K17" s="15" t="str">
        <x:v>T2_public_lab_standard_or_physics</x:v>
      </x:c>
      <x:c r="L17" s="15" t="str">
        <x:v>RETAINED_AS_GATE_NOT_CURVE</x:v>
      </x:c>
    </x:row>
    <x:row r="18" ht="70" customHeight="1">
      <x:c r="A18" s="16" t="str">
        <x:v>ASTM_E1830_2025</x:v>
      </x:c>
      <x:c r="B18" s="16" t="str">
        <x:v>ASTM E1830-15(2025). Standard Test Methods for Determining Mechanical Integrity of Photovoltaic Modules.</x:v>
      </x:c>
      <x:c r="C18" s="16" t="str">
        <x:v>consensus test standard</x:v>
      </x:c>
      <x:c r="D18" s="16" t="str">
        <x:v>2026-07-12</x:v>
      </x:c>
      <x:c r="E18" s="16" t="str">
        <x:v>https://store.astm.org/e1830-15r25.html</x:v>
      </x:c>
      <x:c r="F18" s="16" t="str">
        <x:v>scope §§1.1–1.4; significance §4</x:v>
      </x:c>
      <x:c r="G18" s="16" t="str">
        <x:v>2400 Pa static, 1440 Pa cyclic, twist test; no pass/fail level</x:v>
      </x:c>
      <x:c r="H18" s="16" t="str">
        <x:v>Module qualification metadata and physical/electrical endpoints</x:v>
      </x:c>
      <x:c r="I18" s="16" t="str">
        <x:v>Universal wind speed, failure probability or economic DR</x:v>
      </x:c>
      <x:c r="J18" s="16" t="str">
        <x:v>module test / selector</x:v>
      </x:c>
      <x:c r="K18" s="16" t="str">
        <x:v>T2_public_lab_standard_or_physics</x:v>
      </x:c>
      <x:c r="L18" s="16" t="str">
        <x:v>RETAINED_WITH_TRANSFER_LIMIT</x:v>
      </x:c>
    </x:row>
    <x:row r="19" ht="70" customHeight="1">
      <x:c r="A19" s="15" t="str">
        <x:v>IEC_62782_2016</x:v>
      </x:c>
      <x:c r="B19" s="15" t="str">
        <x:v>IEC TS 62782:2016. Photovoltaic modules — Cyclic (dynamic) mechanical load testing.</x:v>
      </x:c>
      <x:c r="C19" s="15" t="str">
        <x:v>international test standard</x:v>
      </x:c>
      <x:c r="D19" s="15" t="str">
        <x:v>2026-07-12</x:v>
      </x:c>
      <x:c r="E19" s="15" t="str">
        <x:v>https://webstore.iec.ch/en/publication/24310</x:v>
      </x:c>
      <x:c r="F19" s="15" t="str">
        <x:v>scope</x:v>
      </x:c>
      <x:c r="G19" s="15" t="str">
        <x:v>alternating uniform module load test</x:v>
      </x:c>
      <x:c r="H19" s="15" t="str">
        <x:v>Module-test provenance and fatigue susceptibility</x:v>
      </x:c>
      <x:c r="I19" s="15" t="str">
        <x:v>Transient downburst, plant fragility or DR</x:v>
      </x:c>
      <x:c r="J19" s="15" t="str">
        <x:v>module test / selector</x:v>
      </x:c>
      <x:c r="K19" s="15" t="str">
        <x:v>T2_public_lab_standard_or_physics</x:v>
      </x:c>
      <x:c r="L19" s="15" t="str">
        <x:v>RETAINED_WITH_TRANSFER_LIMIT</x:v>
      </x:c>
    </x:row>
    <x:row r="20" ht="70" customHeight="1">
      <x:c r="A20" s="16" t="str">
        <x:v>IEC_62817</x:v>
      </x:c>
      <x:c r="B20" s="16" t="str">
        <x:v>IEC 62817:2014+A1:2017. Photovoltaic systems — Design qualification of solar trackers.</x:v>
      </x:c>
      <x:c r="C20" s="16" t="str">
        <x:v>international qualification standard</x:v>
      </x:c>
      <x:c r="D20" s="16" t="str">
        <x:v>2026-07-12</x:v>
      </x:c>
      <x:c r="E20" s="16" t="str">
        <x:v>https://webstore.iec.ch/en/publication/61127</x:v>
      </x:c>
      <x:c r="F20" s="16" t="str">
        <x:v>scope and qualification sequence</x:v>
      </x:c>
      <x:c r="G20" s="16" t="str">
        <x:v>tracker design qualification</x:v>
      </x:c>
      <x:c r="H20" s="16" t="str">
        <x:v>Exact tracker architecture/qualification identity and testing context</x:v>
      </x:c>
      <x:c r="I20" s="16" t="str">
        <x:v>Site-specific structure/foundation certification, Ucrit for an unnamed tracker, or fragility</x:v>
      </x:c>
      <x:c r="J20" s="16" t="str">
        <x:v>tracker selector / qualification</x:v>
      </x:c>
      <x:c r="K20" s="16" t="str">
        <x:v>T2_public_lab_standard_or_physics</x:v>
      </x:c>
      <x:c r="L20" s="16" t="str">
        <x:v>RETAINED_WITH_TRANSFER_LIMIT</x:v>
      </x:c>
    </x:row>
    <x:row r="21" ht="70" customHeight="1">
      <x:c r="A21" s="15" t="str">
        <x:v>ASCE_7_22</x:v>
      </x:c>
      <x:c r="B21" s="15" t="str">
        <x:v>ASCE/SEI 7-22. Minimum Design Loads and Associated Criteria for Buildings and Other Structures.</x:v>
      </x:c>
      <x:c r="C21" s="15" t="str">
        <x:v>consensus design standard</x:v>
      </x:c>
      <x:c r="D21" s="15" t="str">
        <x:v>2026-07-12</x:v>
      </x:c>
      <x:c r="E21" s="15" t="str">
        <x:v>https://www.asce.org/publications-and-news/codes-and-standards/asce-sei-7-22</x:v>
      </x:c>
      <x:c r="F21" s="15" t="str">
        <x:v>Ch. 29 §29.4.5; Ch. 31 §31.4.5; Ch. 26 symbols</x:v>
      </x:c>
      <x:c r="G21" s="15" t="str">
        <x:v>fixed-tilt ground-mount wind design; 3-second gust at 10 m Exposure C source definition</x:v>
      </x:c>
      <x:c r="H21" s="15" t="str">
        <x:v>Design normalization and fixed-tilt scope</x:v>
      </x:c>
      <x:c r="I21" s="15" t="str">
        <x:v>Failure capacity, D50, tracker aeroelastic response or downburst profile</x:v>
      </x:c>
      <x:c r="J21" s="15" t="str">
        <x:v>design anchor / axis lineage</x:v>
      </x:c>
      <x:c r="K21" s="15" t="str">
        <x:v>T2_public_lab_standard_or_physics</x:v>
      </x:c>
      <x:c r="L21" s="15" t="str">
        <x:v>RETAINED_WITH_TRANSFER_LIMIT</x:v>
      </x:c>
    </x:row>
    <x:row r="22" ht="70" customHeight="1">
      <x:c r="A22" s="16" t="str">
        <x:v>ASCE_49_21</x:v>
      </x:c>
      <x:c r="B22" s="16" t="str">
        <x:v>ASCE/SEI 49-21. Wind Tunnel Testing for Buildings and Other Structures.</x:v>
      </x:c>
      <x:c r="C22" s="16" t="str">
        <x:v>consensus wind-tunnel standard</x:v>
      </x:c>
      <x:c r="D22" s="16" t="str">
        <x:v>2026-07-12</x:v>
      </x:c>
      <x:c r="E22" s="16" t="str">
        <x:v>https://www.asce.org/communities/institutes-and-technical-groups/structural-engineering-institute/committees/sei-board-of-governors/sei-technical-community-executive-committee/asce-49---wind-tunnel-testing</x:v>
      </x:c>
      <x:c r="F22" s="16" t="str">
        <x:v>§2.3.2 nonsynoptic winds</x:v>
      </x:c>
      <x:c r="G22" s="16" t="str">
        <x:v>wind-tunnel requirements including downbursts and other nonsynoptic winds</x:v>
      </x:c>
      <x:c r="H22" s="16" t="str">
        <x:v>Named downburst/non-synoptic and tracker qualification bridge</x:v>
      </x:c>
      <x:c r="I22" s="16" t="str">
        <x:v>PV fragility or damage parameters</x:v>
      </x:c>
      <x:c r="J22" s="16" t="str">
        <x:v>test-method anchor</x:v>
      </x:c>
      <x:c r="K22" s="16" t="str">
        <x:v>T2_public_lab_standard_or_physics</x:v>
      </x:c>
      <x:c r="L22" s="16" t="str">
        <x:v>RETAINED_WITH_TRANSFER_LIMIT</x:v>
      </x:c>
    </x:row>
    <x:row r="23" ht="70" customHeight="1">
      <x:c r="A23" s="15" t="str">
        <x:v>NIST_THUNDERSTORM_PROFILES_2011</x:v>
      </x:c>
      <x:c r="B23" s="15" t="str">
        <x:v>Lombardo et al. Thunderstorm Characteristics of Importance to Wind Engineering Part II: Profiles, Gust Factors and Other Observations. JWEIA 2011.</x:v>
      </x:c>
      <x:c r="C23" s="15" t="str">
        <x:v>peer-reviewed primary field analysis</x:v>
      </x:c>
      <x:c r="D23" s="15" t="str">
        <x:v>2026-07-12</x:v>
      </x:c>
      <x:c r="E23" s="15" t="str">
        <x:v>https://www.nist.gov/publications/thunderstorm-characteristics-importance-wind-engineering-part-ii-profiles-gust-factors</x:v>
      </x:c>
      <x:c r="F23" s="15" t="str">
        <x:v>abstract and paper; ramp-up/profile/gust-factor sections</x:v>
      </x:c>
      <x:c r="G23" s="15" t="str">
        <x:v>nonstationary ramp-up, vertical components, profile and gust-factor variability</x:v>
      </x:c>
      <x:c r="H23" s="15" t="str">
        <x:v>Reject silent stationary-ABL equivalence and ordinary default profile conversion</x:v>
      </x:c>
      <x:c r="I23" s="15" t="str">
        <x:v>Solar failure threshold or DR</x:v>
      </x:c>
      <x:c r="J23" s="15" t="str">
        <x:v>hazard-axis boundary</x:v>
      </x:c>
      <x:c r="K23" s="15" t="str">
        <x:v>T2_public_lab_standard_or_physics</x:v>
      </x:c>
      <x:c r="L23" s="15" t="str">
        <x:v>RETAINED</x:v>
      </x:c>
    </x:row>
    <x:row r="24" ht="70" customHeight="1">
      <x:c r="A24" s="16" t="str">
        <x:v>FULL_SCALE_DOWNBURST_2018</x:v>
      </x:c>
      <x:c r="B24" s="16" t="str">
        <x:v>Gunter and Schroeder. Investigation of a Downburst Loading Event on a Full-Scale Low-Rise Building. JWEIA 2018.</x:v>
      </x:c>
      <x:c r="C24" s="16" t="str">
        <x:v>peer-reviewed full-scale event study</x:v>
      </x:c>
      <x:c r="D24" s="16" t="str">
        <x:v>2026-07-12</x:v>
      </x:c>
      <x:c r="E24" s="16" t="str">
        <x:v>https://doi.org/10.1016/j.jweia.2018.09.020</x:v>
      </x:c>
      <x:c r="F24" s="16" t="str">
        <x:v>highlights and results</x:v>
      </x:c>
      <x:c r="G24" s="16" t="str">
        <x:v>about 30 s ramp; peak near 4 m; direction change up to about 30° over 50 m</x:v>
      </x:c>
      <x:c r="H24" s="16" t="str">
        <x:v>Rise time, direction change and non-power-law bridge requirement</x:v>
      </x:c>
      <x:c r="I24" s="16" t="str">
        <x:v>PV fragility or structural transfer coefficients</x:v>
      </x:c>
      <x:c r="J24" s="16" t="str">
        <x:v>hazard-axis boundary</x:v>
      </x:c>
      <x:c r="K24" s="16" t="str">
        <x:v>T2_public_lab_standard_or_physics</x:v>
      </x:c>
      <x:c r="L24" s="16" t="str">
        <x:v>RETAINED_WITH_ASSET_TRANSFER_LIMIT</x:v>
      </x:c>
    </x:row>
    <x:row r="25" ht="70" customHeight="1">
      <x:c r="A25" s="15" t="str">
        <x:v>DERECHO_MULTISCALE_2025</x:v>
      </x:c>
      <x:c r="B25" s="15" t="str">
        <x:v>Wagner et al. Detecting and Interpreting Wind Damage at Multiple Scales in the 10 August 2020 Derecho Using UAS, Satellite, and Radar. Weather and Forecasting, 2025.</x:v>
      </x:c>
      <x:c r="C25" s="15" t="str">
        <x:v>peer-reviewed event reconstruction</x:v>
      </x:c>
      <x:c r="D25" s="15" t="str">
        <x:v>2026-07-12</x:v>
      </x:c>
      <x:c r="E25" s="15" t="str">
        <x:v>https://doi.org/10.1175/WAF-D-24-0198.1</x:v>
      </x:c>
      <x:c r="F25" s="15" t="str">
        <x:v>abstract; pp. 1–2 and 12–14</x:v>
      </x:c>
      <x:c r="G25" s="15" t="str">
        <x:v>MCS flow, downburst clusters, mesovortices, tornadoes and roughly 10 m damage variability</x:v>
      </x:c>
      <x:c r="H25" s="15" t="str">
        <x:v>Derecho label requires local mechanism partition and parent event identity</x:v>
      </x:c>
      <x:c r="I25" s="15" t="str">
        <x:v>One derecho-wide demand or PV parameter</x:v>
      </x:c>
      <x:c r="J25" s="15" t="str">
        <x:v>event partition / boundary</x:v>
      </x:c>
      <x:c r="K25" s="15" t="str">
        <x:v>T2_public_lab_standard_or_physics</x:v>
      </x:c>
      <x:c r="L25" s="15" t="str">
        <x:v>RETAINED</x:v>
      </x:c>
    </x:row>
    <x:row r="26" ht="70" customHeight="1">
      <x:c r="A26" s="16" t="str">
        <x:v>NWS_DOWNBURST_TAXONOMY</x:v>
      </x:c>
      <x:c r="B26" s="16" t="str">
        <x:v>U.S. National Weather Service. Downbursts; NWS Glossary; NSSL Thunderstorm FAQ.</x:v>
      </x:c>
      <x:c r="C26" s="16" t="str">
        <x:v>official meteorological definitions</x:v>
      </x:c>
      <x:c r="D26" s="16" t="str">
        <x:v>2026-07-12</x:v>
      </x:c>
      <x:c r="E26" s="16" t="str">
        <x:v>https://www.weather.gov/spotterguide/downbursts</x:v>
      </x:c>
      <x:c r="F26" s="16" t="str">
        <x:v>definitions</x:v>
      </x:c>
      <x:c r="G26" s="16" t="str">
        <x:v>downburst, microburst, macroburst, gust front and derecho taxonomy</x:v>
      </x:c>
      <x:c r="H26" s="16" t="str">
        <x:v>Pathway scope vocabulary</x:v>
      </x:c>
      <x:c r="I26" s="16" t="str">
        <x:v>58 mph warning threshold as PV damage onset</x:v>
      </x:c>
      <x:c r="J26" s="16" t="str">
        <x:v>hazard scope</x:v>
      </x:c>
      <x:c r="K26" s="16" t="str">
        <x:v>T2_public_lab_standard_or_physics</x:v>
      </x:c>
      <x:c r="L26" s="16" t="str">
        <x:v>RETAINED</x:v>
      </x:c>
    </x:row>
    <x:row r="27" ht="70" customHeight="1">
      <x:c r="A27" s="15" t="str">
        <x:v>DOE_FEMP_STORM_HARDENING_2020</x:v>
      </x:c>
      <x:c r="B27" s="15" t="str">
        <x:v>Elsworth and Van Geet. Solar Photovoltaics in Severe Weather: Cost Considerations for Storm Hardening PV Systems for Resilience. NREL/TP-7A40-75804, 2020.</x:v>
      </x:c>
      <x:c r="C27" s="15" t="str">
        <x:v>public-laboratory cost report</x:v>
      </x:c>
      <x:c r="D27" s="15" t="str">
        <x:v>2026-07-12</x:v>
      </x:c>
      <x:c r="E27" s="15" t="str">
        <x:v>https://docs.nrel.gov/docs/fy20osti/75804.pdf</x:v>
      </x:c>
      <x:c r="F27" s="15" t="str">
        <x:v>Table 1 pp. 2–3; scope pp. 3–4</x:v>
      </x:c>
      <x:c r="G27" s="15" t="str">
        <x:v>incremental preventive costs for fasteners, through-bolts, modules, rails, piers and racking</x:v>
      </x:c>
      <x:c r="H27" s="15" t="str">
        <x:v>Selector economics and plausibility only</x:v>
      </x:c>
      <x:c r="I27" s="15" t="str">
        <x:v>Repair cost, damage-state ratio, tracker value or fragility</x:v>
      </x:c>
      <x:c r="J27" s="15" t="str">
        <x:v>hardening context / rejected cost transfer</x:v>
      </x:c>
      <x:c r="K27" s="15" t="str">
        <x:v>T2_public_lab_standard_or_physics</x:v>
      </x:c>
      <x:c r="L27" s="15" t="str">
        <x:v>RETAINED_WITH_TRANSFER_LIMIT</x:v>
      </x:c>
    </x:row>
    <x:row r="28" ht="70" customHeight="1">
      <x:c r="A28" s="16" t="str">
        <x:v>NREL_Q1_2021_COST_BENCHMARK</x:v>
      </x:c>
      <x:c r="B28" s="16" t="str">
        <x:v>Ramasamy et al. U.S. Solar Photovoltaic System and Energy Storage Cost Benchmarks: Q1 2021. NREL/TP-7A40-80694.</x:v>
      </x:c>
      <x:c r="C28" s="16" t="str">
        <x:v>public-laboratory cost benchmark</x:v>
      </x:c>
      <x:c r="D28" s="16" t="str">
        <x:v>2026-07-12</x:v>
      </x:c>
      <x:c r="E28" s="16" t="str">
        <x:v>https://www.govinfo.gov/content/pkg/GOVPUB-E9-PURL-gpo184395/pdf/GOVPUB-E9-PURL-gpo184395.pdf</x:v>
      </x:c>
      <x:c r="F28" s="16" t="str">
        <x:v>PDF p. 27 utility-scale modeling inputs</x:v>
      </x:c>
      <x:c r="G28" s="16" t="str">
        <x:v>structural components 0.09–0.12 2020 USD/Wdc for fixed tilt or one-axis tracking</x:v>
      </x:c>
      <x:c r="H28" s="16" t="str">
        <x:v>Fixed-tilt screening value bracket</x:v>
      </x:c>
      <x:c r="I28" s="16" t="str">
        <x:v>Architecture-specific point value, fragility or current-dollar replacement cost</x:v>
      </x:c>
      <x:c r="J28" s="16" t="str">
        <x:v>fixed-tilt value sensitivity</x:v>
      </x:c>
      <x:c r="K28" s="16" t="str">
        <x:v>T2_public_lab_standard_or_physics</x:v>
      </x:c>
      <x:c r="L28" s="16" t="str">
        <x:v>RETAINED_AS_RANGE_ONLY</x:v>
      </x:c>
    </x:row>
    <x:row r="29" ht="70" customHeight="1">
      <x:c r="A29" s="15" t="str">
        <x:v>NREL_Q1_2024_MMP_TRACKER</x:v>
      </x:c>
      <x:c r="B29" s="15" t="str">
        <x:v>DOE/NREL PV System Cost Model Q1 2024 market price benchmark for a 100 MWdc one-axis-tracker plant.</x:v>
      </x:c>
      <x:c r="C29" s="15" t="str">
        <x:v>public-laboratory cost benchmark</x:v>
      </x:c>
      <x:c r="D29" s="15" t="str">
        <x:v>2026-07-12</x:v>
      </x:c>
      <x:c r="E29" s="15" t="str">
        <x:v>https://www.energy.gov/cmei/systems/solar-photovoltaic-system-cost-benchmarks</x:v>
      </x:c>
      <x:c r="F29" s="15" t="str">
        <x:v>Figure 1 source-native MMP rows</x:v>
      </x:c>
      <x:c r="G29" s="15" t="str">
        <x:v>336 module, 140 SBOS, 33 inverter, 186 EBOS, 229 fieldwork, 1119 total; 2023 USD/kWdc</x:v>
      </x:c>
      <x:c r="H29" s="15" t="str">
        <x:v>Tracker architecture sensitivity and row-level reconciliation</x:v>
      </x:c>
      <x:c r="I29" s="15" t="str">
        <x:v>Fixed-tilt point value, component fragility or blended primary reference</x:v>
      </x:c>
      <x:c r="J29" s="15" t="str">
        <x:v>tracker value sensitivity</x:v>
      </x:c>
      <x:c r="K29" s="15" t="str">
        <x:v>T2_public_lab_standard_or_physics</x:v>
      </x:c>
      <x:c r="L29" s="15" t="str">
        <x:v>RETAINED_FOR_VALUE_ONLY</x:v>
      </x:c>
    </x:row>
    <x:row r="30" ht="70" customHeight="1">
      <x:c r="A30" s="16" t="str">
        <x:v>NREL_NLR_Q1_2025_PV_BENCHMARK</x:v>
      </x:c>
      <x:c r="B30" s="16" t="str">
        <x:v>Basore et al. Q1-2025 Solar Photovoltaic System Cost Benchmarks. NLR/OT-7A40-97930; data catalog submission 304.</x:v>
      </x:c>
      <x:c r="C30" s="16" t="str">
        <x:v>official cost dataset</x:v>
      </x:c>
      <x:c r="D30" s="16" t="str">
        <x:v>2026-07-12</x:v>
      </x:c>
      <x:c r="E30" s="16" t="str">
        <x:v>https://doi.org/10.7799/3009689</x:v>
      </x:c>
      <x:c r="F30" s="16" t="str">
        <x:v>dataset and governed Solar_Map crosswalk</x:v>
      </x:c>
      <x:c r="G30" s="16" t="str">
        <x:v>2024 USD/kWdc utility-PV installed and value rows</x:v>
      </x:c>
      <x:c r="H30" s="16" t="str">
        <x:v>Repository-current reference-value reconciliation</x:v>
      </x:c>
      <x:c r="I30" s="16" t="str">
        <x:v>Site appraisal, architecture-specific BOM, vulnerability or exposed fraction</x:v>
      </x:c>
      <x:c r="J30" s="16" t="str">
        <x:v>primary reference value</x:v>
      </x:c>
      <x:c r="K30" s="16" t="str">
        <x:v>T2_public_lab_standard_or_physics</x:v>
      </x:c>
      <x:c r="L30" s="16" t="str">
        <x:v>RETAINED_FOR_VALUE_ONLY</x:v>
      </x:c>
    </x:row>
    <x:row r="31" ht="70" customHeight="1">
      <x:c r="A31" s="15" t="str">
        <x:v>VALUE_SOLAR_WORKBOOK</x:v>
      </x:c>
      <x:c r="B31" s="15" t="str">
        <x:v>damage_modeling/docs/method/value_basis/solar_wind_value_breakdown.xlsx.</x:v>
      </x:c>
      <x:c r="C31" s="15" t="str">
        <x:v>internal governed derivation</x:v>
      </x:c>
      <x:c r="D31" s="15" t="str">
        <x:v>2026-07-12</x:v>
      </x:c>
      <x:c r="E31" s="15" t="str">
        <x:v>https://data.nlr.gov/submissions/304</x:v>
      </x:c>
      <x:c r="F31" s="15" t="str">
        <x:v>Solar_Map rows 2–17</x:v>
      </x:c>
      <x:c r="G31" s="15" t="str">
        <x:v>2024 USD/kWdc row-level direct, support and excluded values</x:v>
      </x:c>
      <x:c r="H31" s="15" t="str">
        <x:v>Reference denominator and row mapping</x:v>
      </x:c>
      <x:c r="I31" s="15" t="str">
        <x:v>Implicit site value, at-risk fraction or fragility</x:v>
      </x:c>
      <x:c r="J31" s="15" t="str">
        <x:v>value crosswalk</x:v>
      </x:c>
      <x:c r="K31" s="15" t="str">
        <x:v>T2_public_lab_standard_or_physics</x:v>
      </x:c>
      <x:c r="L31" s="15" t="str">
        <x:v>RETAINED_FOR_REFERENCE_ONLY</x:v>
      </x:c>
    </x:row>
    <x:row r="32" ht="70" customHeight="1">
      <x:c r="A32" s="16" t="str">
        <x:v>NO_DIRECT_CALIBRATION_SOURCE</x:v>
      </x:c>
      <x:c r="B32" s="16" t="str">
        <x:v>Governed provenance marker: the bounded review found no retained matched dataset joining site-local convective demand, architecture/state, inspected disposition, and same-unit repair cost for utility PV.</x:v>
      </x:c>
      <x:c r="C32" s="16" t="str">
        <x:v>negative-evidence control marker</x:v>
      </x:c>
      <x:c r="D32" s="16" t="str">
        <x:v>2026-07-12</x:v>
      </x:c>
      <x:c r="E32" s="16" t="str"/>
      <x:c r="F32" s="16" t="str">
        <x:v>BOUNDED_EVIDENCE_SEARCH_LOG_strong_wind_solar__model_v2_0__docs_r1.md</x:v>
      </x:c>
      <x:c r="G32" s="16" t="str">
        <x:v>not applicable</x:v>
      </x:c>
      <x:c r="H32" s="16" t="str">
        <x:v>Explains why numerical medians, beta, zero boundary and local state costs are T4 assumptions</x:v>
      </x:c>
      <x:c r="I32" s="16" t="str">
        <x:v>Evidence that no such data exists outside the recorded search; any numerical support</x:v>
      </x:c>
      <x:c r="J32" s="16" t="str">
        <x:v>parameter-withholding / T4 marker</x:v>
      </x:c>
      <x:c r="K32" s="16" t="str">
        <x:v>T4_placeholder_or_expert_judgment</x:v>
      </x:c>
      <x:c r="L32" s="16" t="str">
        <x:v>CONTROL_MARKER_NOT_EVIDENCE</x:v>
      </x:c>
    </x:row>
    <x:row r="33" ht="70" customHeight="1">
      <x:c r="A33" s="15" t="str">
        <x:v>LEGACY_SWS_V1</x:v>
      </x:c>
      <x:c r="B33" s="15" t="str">
        <x:v>Current canonical strong_wind_solar model v1.0/docs r3 artifact and workbook.</x:v>
      </x:c>
      <x:c r="C33" s="15" t="str">
        <x:v>legacy implementation audit</x:v>
      </x:c>
      <x:c r="D33" s="15" t="str">
        <x:v>2026-07-12</x:v>
      </x:c>
      <x:c r="E33" s="15" t="str"/>
      <x:c r="F33" s="15" t="str">
        <x:v>docs/cells/strong_wind_solar/current/</x:v>
      </x:c>
      <x:c r="G33" s="15" t="str">
        <x:v>gust mph, effective demand ratio, five logistics and value shares</x:v>
      </x:c>
      <x:c r="H33" s="15" t="str">
        <x:v>Exact legacy reproduction and migration comparison</x:v>
      </x:c>
      <x:c r="I33" s="15" t="str">
        <x:v>Scientific calibration for v2</x:v>
      </x:c>
      <x:c r="J33" s="15" t="str">
        <x:v>legacy audit only</x:v>
      </x:c>
      <x:c r="K33" s="15" t="str">
        <x:v>T4_placeholder_or_expert_judgment</x:v>
      </x:c>
      <x:c r="L33" s="15" t="str">
        <x:v>REJECTED_FOR_CALIBRATION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2" hidden="0" customWidth="1"/>
    <x:col min="4" max="4" width="22" hidden="0" customWidth="1"/>
    <x:col min="5" max="5" width="58" hidden="0" customWidth="1"/>
    <x:col min="6" max="6" width="22" hidden="0" customWidth="1"/>
    <x:col min="7" max="7" width="22" hidden="0" customWidth="1"/>
    <x:col min="8" max="8" width="22" hidden="0" customWidth="1"/>
    <x:col min="9" max="9" width="58" hidden="0" customWidth="1"/>
    <x:col min="10" max="10" width="58" hidden="0" customWidth="1"/>
    <x:col min="11" max="11" width="58" hidden="0" customWidth="1"/>
    <x:col min="12" max="12" width="58" hidden="0" customWidth="1"/>
  </x:cols>
  <x:sheetData>
    <x:row r="1" ht="28" customHeight="1">
      <x:c r="A1" s="47" t="str">
        <x:v>Claim / parameter provenance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</x:row>
    <x:row r="2" ht="32" customHeight="1">
      <x:c r="A2" s="48" t="str">
        <x:v>No orphan load-bearing claims; each row states what may and may not be inferred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</x:row>
    <x:row r="4" ht="28" customHeight="1">
      <x:c r="A4" s="52" t="str">
        <x:v>claim_id</x:v>
      </x:c>
      <x:c r="B4" s="52" t="str">
        <x:v>claim_text</x:v>
      </x:c>
      <x:c r="C4" s="52" t="str">
        <x:v>claim_type</x:v>
      </x:c>
      <x:c r="D4" s="52" t="str">
        <x:v>source_ids</x:v>
      </x:c>
      <x:c r="E4" s="52" t="str">
        <x:v>exact_locator</x:v>
      </x:c>
      <x:c r="F4" s="52" t="str">
        <x:v>evidence_tier</x:v>
      </x:c>
      <x:c r="G4" s="52" t="str">
        <x:v>parameter_or_rule</x:v>
      </x:c>
      <x:c r="H4" s="52" t="str">
        <x:v>adoption_status</x:v>
      </x:c>
      <x:c r="I4" s="52" t="str">
        <x:v>permitted_inference</x:v>
      </x:c>
      <x:c r="J4" s="52" t="str">
        <x:v>prohibited_inference</x:v>
      </x:c>
      <x:c r="K4" s="52" t="str">
        <x:v>reasoning</x:v>
      </x:c>
      <x:c r="L4" s="52" t="str">
        <x:v>update_trigger</x:v>
      </x:c>
    </x:row>
    <x:row r="5" ht="70" customHeight="1">
      <x:c r="A5" s="15" t="str">
        <x:v>SWS2-C001</x:v>
      </x:c>
      <x:c r="B5" s="15" t="str">
        <x:v>Convective wind belongs in the existing strong_wind_solar cell rather than a parallel overlapping cell.</x:v>
      </x:c>
      <x:c r="C5" s="15" t="str">
        <x:v>governance_decision</x:v>
      </x:c>
      <x:c r="D5" s="15" t="str">
        <x:v>LEGACY_SWS_V1;NWS_DOWNBURST_TAXONOMY</x:v>
      </x:c>
      <x:c r="E5" s="15" t="str">
        <x:v>current cell scope and scope guide</x:v>
      </x:c>
      <x:c r="F5" s="15" t="str">
        <x:v>T4_placeholder_or_expert_judgment</x:v>
      </x:c>
      <x:c r="G5" s="15" t="str">
        <x:v>cell_id=strong_wind_solar</x:v>
      </x:c>
      <x:c r="H5" s="15" t="str">
        <x:v>adopt</x:v>
      </x:c>
      <x:c r="I5" s="15" t="str">
        <x:v>Create a proposed major revamp while current v1 remains canonical.</x:v>
      </x:c>
      <x:c r="J5" s="15" t="str">
        <x:v>Create an overlapping convective_wind_solar artifact.</x:v>
      </x:c>
      <x:c r="K5" s="15" t="str">
        <x:v>The current cell already claims straight-line/derecho wind, so a pathway-aware major revision preserves identity.</x:v>
      </x:c>
      <x:c r="L5" s="15" t="str">
        <x:v>Approved repository taxonomy change.</x:v>
      </x:c>
    </x:row>
    <x:row r="6" ht="70" customHeight="1">
      <x:c r="A6" s="16" t="str">
        <x:v>SWS2-C002</x:v>
      </x:c>
      <x:c r="B6" s="16" t="str">
        <x:v>pathway_id is exactly straight_line_convective and has no default or speed-based inference.</x:v>
      </x:c>
      <x:c r="C6" s="16" t="str">
        <x:v>governance_decision</x:v>
      </x:c>
      <x:c r="D6" s="16" t="str">
        <x:v>NWS_DOWNBURST_TAXONOMY;DERECHO_MULTISCALE_2025</x:v>
      </x:c>
      <x:c r="E6" s="16" t="str">
        <x:v>scope taxonomy and event reconstruction</x:v>
      </x:c>
      <x:c r="F6" s="16" t="str">
        <x:v>T2_public_lab_standard_or_physics</x:v>
      </x:c>
      <x:c r="G6" s="16" t="str">
        <x:v>pathway routing</x:v>
      </x:c>
      <x:c r="H6" s="16" t="str">
        <x:v>adopt</x:v>
      </x:c>
      <x:c r="I6" s="16" t="str">
        <x:v>Route local non-tornadic thunderstorm outflow to this proposal.</x:v>
      </x:c>
      <x:c r="J6" s="16" t="str">
        <x:v>Infer convective, tornado or hurricane pathway from intensity alone.</x:v>
      </x:c>
      <x:c r="K6" s="16" t="str">
        <x:v>Causal wind-field identity is load-bearing.</x:v>
      </x:c>
      <x:c r="L6" s="16" t="str">
        <x:v>A later schema replaces explicit pathway routing.</x:v>
      </x:c>
    </x:row>
    <x:row r="7" ht="70" customHeight="1">
      <x:c r="A7" s="15" t="str">
        <x:v>SWS2-C003</x:v>
      </x:c>
      <x:c r="B7" s="15" t="str">
        <x:v>The pathway includes downburst, microburst, macroburst, gust front, non-tornadic outflow and locally resolved derecho outflow.</x:v>
      </x:c>
      <x:c r="C7" s="15" t="str">
        <x:v>source_interpretation</x:v>
      </x:c>
      <x:c r="D7" s="15" t="str">
        <x:v>NWS_DOWNBURST_TAXONOMY;DERECHO_MULTISCALE_2025</x:v>
      </x:c>
      <x:c r="E7" s="15" t="str">
        <x:v>definitions; derecho pp. 1–2 and 12–14</x:v>
      </x:c>
      <x:c r="F7" s="15" t="str">
        <x:v>T2_public_lab_standard_or_physics</x:v>
      </x:c>
      <x:c r="G7" s="15" t="str">
        <x:v>hazard_scope.included</x:v>
      </x:c>
      <x:c r="H7" s="15" t="str">
        <x:v>adopt</x:v>
      </x:c>
      <x:c r="I7" s="15" t="str">
        <x:v>Use site-local convective demand with parent event identity.</x:v>
      </x:c>
      <x:c r="J7" s="15" t="str">
        <x:v>Use one derecho-wide demand at every array zone.</x:v>
      </x:c>
      <x:c r="K7" s="15" t="str">
        <x:v>Derechos contain multiple local mechanisms and damage scales.</x:v>
      </x:c>
      <x:c r="L7" s="15" t="str">
        <x:v>Meteorological taxonomy or event-partition evidence changes.</x:v>
      </x:c>
    </x:row>
    <x:row r="8" ht="70" customHeight="1">
      <x:c r="A8" s="16" t="str">
        <x:v>SWS2-C004</x:v>
      </x:c>
      <x:c r="B8" s="16" t="str">
        <x:v>Tropical cyclone, tornado, synoptic/downslope wind, hail, debris impact, rain ingress and lifetime fatigue are excluded.</x:v>
      </x:c>
      <x:c r="C8" s="16" t="str">
        <x:v>governance_decision</x:v>
      </x:c>
      <x:c r="D8" s="16" t="str">
        <x:v>DERECHO_MULTISCALE_2025;SOLAR_JOINT_CYCLIC_2025;IEA_PVPS_EXTREME_WEATHER_2025</x:v>
      </x:c>
      <x:c r="E8" s="16" t="str">
        <x:v>boundary memo and source endpoints</x:v>
      </x:c>
      <x:c r="F8" s="16" t="str">
        <x:v>T3_engineering_proxy_or_adjacent_empirical</x:v>
      </x:c>
      <x:c r="G8" s="16" t="str">
        <x:v>neighboring hazard boundary</x:v>
      </x:c>
      <x:c r="H8" s="16" t="str">
        <x:v>adopt</x:v>
      </x:c>
      <x:c r="I8" s="16" t="str">
        <x:v>Share solar anatomy/value only through explicit separate review.</x:v>
      </x:c>
      <x:c r="J8" s="16" t="str">
        <x:v>Reuse numerical parameters across wind mechanisms or mix impact/ingress loss into pressure DR.</x:v>
      </x:c>
      <x:c r="K8" s="16" t="str">
        <x:v>Duration, profile, debris, exposure and endpoint differ.</x:v>
      </x:c>
      <x:c r="L8" s="16" t="str">
        <x:v>A documented equivalence study passes.</x:v>
      </x:c>
    </x:row>
    <x:row r="9" ht="70" customHeight="1">
      <x:c r="A9" s="15" t="str">
        <x:v>SWS2-C005</x:v>
      </x:c>
      <x:c r="B9" s="15" t="str">
        <x:v>Downburst loading is transient, row dependent and not equivalent to stationary ABL loading.</x:v>
      </x:c>
      <x:c r="C9" s="15" t="str">
        <x:v>source_finding</x:v>
      </x:c>
      <x:c r="D9" s="15" t="str">
        <x:v>PV_TRACKER_DOWNBURST_2025;NIST_THUNDERSTORM_PROFILES_2011;FULL_SCALE_DOWNBURST_2018</x:v>
      </x:c>
      <x:c r="E9" s="15" t="str">
        <x:v>Álvarez pp. 57–62; NIST profile/ramp sections; Gunter results</x:v>
      </x:c>
      <x:c r="F9" s="15" t="str">
        <x:v>T2_public_lab_standard_or_physics</x:v>
      </x:c>
      <x:c r="G9" s="15" t="str">
        <x:v>axis and bridge rule</x:v>
      </x:c>
      <x:c r="H9" s="15" t="str">
        <x:v>adopt</x:v>
      </x:c>
      <x:c r="I9" s="15" t="str">
        <x:v>Require a named non-synoptic profile/demand bridge and transient descriptors.</x:v>
      </x:c>
      <x:c r="J9" s="15" t="str">
        <x:v>Apply an ordinary default power-law or stationary coefficient without qualification.</x:v>
      </x:c>
      <x:c r="K9" s="15" t="str">
        <x:v>Field and wind-tunnel evidence show ramp, direction/profile and vortex differences.</x:v>
      </x:c>
      <x:c r="L9" s="15" t="str">
        <x:v>Validated universal convective conversion becomes available.</x:v>
      </x:c>
    </x:row>
    <x:row r="10" ht="70" customHeight="1">
      <x:c r="A10" s="16" t="str">
        <x:v>SWS2-C006</x:v>
      </x:c>
      <x:c r="B10" s="16" t="str">
        <x:v>Fixed-tilt and tracker arrays require separate numerical records.</x:v>
      </x:c>
      <x:c r="C10" s="16" t="str">
        <x:v>source_finding</x:v>
      </x:c>
      <x:c r="D10" s="16" t="str">
        <x:v>FIXED_TILT_WIND_DESIGN_2020;PV_TRACKER_AEROELASTIC_2024;IEA_PVPS_EXTREME_WEATHER_2025</x:v>
      </x:c>
      <x:c r="E10" s="16" t="str">
        <x:v>Browne §§1–5; tracker benchmark §§1–3; IEA §§3.4–3.6</x:v>
      </x:c>
      <x:c r="F10" s="16" t="str">
        <x:v>T2_public_lab_standard_or_physics</x:v>
      </x:c>
      <x:c r="G10" s="16" t="str">
        <x:v>architecture routing</x:v>
      </x:c>
      <x:c r="H10" s="16" t="str">
        <x:v>adopt</x:v>
      </x:c>
      <x:c r="I10" s="16" t="str">
        <x:v>Use distinct failure units and architecture-specific axes.</x:v>
      </x:c>
      <x:c r="J10" s="16" t="str">
        <x:v>Use one normalized curve or apply fixed-tilt coefficients to trackers.</x:v>
      </x:c>
      <x:c r="K10" s="16" t="str">
        <x:v>Rigid fixed-tilt pressure response and tracker aeroelastic instability are different mechanisms.</x:v>
      </x:c>
      <x:c r="L10" s="16" t="str">
        <x:v>Evidence demonstrates transferable equivalence.</x:v>
      </x:c>
    </x:row>
    <x:row r="11" ht="70" customHeight="1">
      <x:c r="A11" s="15" t="str">
        <x:v>SWS2-C007</x:v>
      </x:c>
      <x:c r="B11" s="15" t="str">
        <x:v>Fixed-tilt preferred axis is peak transient event net-pressure demand divided by comparable qualified same-zone design net-pressure demand.</x:v>
      </x:c>
      <x:c r="C11" s="15" t="str">
        <x:v>engineering_interpretation</x:v>
      </x:c>
      <x:c r="D11" s="15" t="str">
        <x:v>FIXED_TILT_WIND_DESIGN_2020;ASCE_7_22;ASCE_49_21</x:v>
      </x:c>
      <x:c r="E11" s="15" t="str">
        <x:v>Browne §§1–5; ASCE provisions</x:v>
      </x:c>
      <x:c r="F11" s="15" t="str">
        <x:v>T3_engineering_proxy_or_adjacent_empirical</x:v>
      </x:c>
      <x:c r="G11" s="15" t="str">
        <x:v>fixed_tilt_event_to_design_net_pressure_ratio</x:v>
      </x:c>
      <x:c r="H11" s="15" t="str">
        <x:v>adopt_screening</x:v>
      </x:c>
      <x:c r="I11" s="15" t="str">
        <x:v>Use qualified event/design-demand calculations retaining zone and geometry; let T4 curve medians represent unresolved resistance transitions.</x:v>
      </x:c>
      <x:c r="J11" s="15" t="str">
        <x:v>Treat design demand as as-built resistance, use design wind as failure D50, or claim one scalar resolves distinct module/structure capacities.</x:v>
      </x:c>
      <x:c r="K11" s="15" t="str">
        <x:v>The ratio is a transparent demand normalization; separate record medians carry failure-unit resistance assumptions.</x:v>
      </x:c>
      <x:c r="L11" s="15" t="str">
        <x:v>Matched failure-unit demand/capacity/disposition dataset.</x:v>
      </x:c>
    </x:row>
    <x:row r="12" ht="70" customHeight="1">
      <x:c r="A12" s="16" t="str">
        <x:v>SWS2-C008</x:v>
      </x:c>
      <x:c r="B12" s="16" t="str">
        <x:v>Fixed-tilt squared-speed proxy is permitted only with array-height/design gusts and named profile/aerodynamic bridges.</x:v>
      </x:c>
      <x:c r="C12" s="16" t="str">
        <x:v>physics_bridge</x:v>
      </x:c>
      <x:c r="D12" s="16" t="str">
        <x:v>ASCE_7_22;ASCE_49_21;NIST_THUNDERSTORM_PROFILES_2011</x:v>
      </x:c>
      <x:c r="E12" s="16" t="str">
        <x:v>ASCE wind-load basis and NIST profile study</x:v>
      </x:c>
      <x:c r="F12" s="16" t="str">
        <x:v>T2_public_lab_standard_or_physics</x:v>
      </x:c>
      <x:c r="G12" s="16" t="str">
        <x:v>x=(Varray/Vdesign)^2</x:v>
      </x:c>
      <x:c r="H12" s="16" t="str">
        <x:v>adopt_flagged_proxy</x:v>
      </x:c>
      <x:c r="I12" s="16" t="str">
        <x:v>Use as a transparent quasi-steady screening proxy.</x:v>
      </x:c>
      <x:c r="J12" s="16" t="str">
        <x:v>Use unbridged 10 m wind or interpret x as true capacity ratio.</x:v>
      </x:c>
      <x:c r="K12" s="16" t="str">
        <x:v>Dynamic pressure scales with squared speed while coefficients/dynamics remain bridge-owned.</x:v>
      </x:c>
      <x:c r="L12" s="16" t="str">
        <x:v>Validated transient pressure product supersedes proxy.</x:v>
      </x:c>
    </x:row>
    <x:row r="13" ht="70" customHeight="1">
      <x:c r="A13" s="15" t="str">
        <x:v>SWS2-C009</x:v>
      </x:c>
      <x:c r="B13" s="15" t="str">
        <x:v>Tracker preferred axis is tracker-normal local 3-second gust divided by exact-system critical-instability speed.</x:v>
      </x:c>
      <x:c r="C13" s="15" t="str">
        <x:v>engineering_interpretation</x:v>
      </x:c>
      <x:c r="D13" s="15" t="str">
        <x:v>PV_TRACKER_AEROELASTIC_2024;CPP_TRACKER_INSTABILITY_2015;TRACKER_LAYOUT_AEROELASTIC_2025</x:v>
      </x:c>
      <x:c r="E13" s="15" t="str">
        <x:v>benchmark §§1–3; CPP pp. 5–7; stability map</x:v>
      </x:c>
      <x:c r="F13" s="15" t="str">
        <x:v>T3_engineering_proxy_or_adjacent_empirical</x:v>
      </x:c>
      <x:c r="G13" s="15" t="str">
        <x:v>eta=Vnormal/Ucrit</x:v>
      </x:c>
      <x:c r="H13" s="15" t="str">
        <x:v>adopt_screening</x:v>
      </x:c>
      <x:c r="I13" s="15" t="str">
        <x:v>Normalize by named third-party aeroelastic qualification for the exact tracker/angle/configuration.</x:v>
      </x:c>
      <x:c r="J13" s="15" t="str">
        <x:v>Supply a generic Ucrit or use fixed-tilt design speed.</x:v>
      </x:c>
      <x:c r="K13" s="15" t="str">
        <x:v>Critical velocity is system, angle, layout and direction dependent.</x:v>
      </x:c>
      <x:c r="L13" s="15" t="str">
        <x:v>A better qualified reduced-order demand metric is validated.</x:v>
      </x:c>
    </x:row>
    <x:row r="14" ht="70" customHeight="1">
      <x:c r="A14" s="16" t="str">
        <x:v>SWS2-C010</x:v>
      </x:c>
      <x:c r="B14" s="16" t="str">
        <x:v>The FM 0.75 Ucrit value is an operational stow-action flag, not a damage threshold.</x:v>
      </x:c>
      <x:c r="C14" s="16" t="str">
        <x:v>source_interpretation</x:v>
      </x:c>
      <x:c r="D14" s="16" t="str">
        <x:v>FM_DS_7_106_2026</x:v>
      </x:c>
      <x:c r="E14" s="16" t="str">
        <x:v>§§2.1.2.3–2.1.2.4 and §3.1</x:v>
      </x:c>
      <x:c r="F14" s="16" t="str">
        <x:v>T2_public_lab_standard_or_physics</x:v>
      </x:c>
      <x:c r="G14" s="16" t="str">
        <x:v>STOW_ACTION_THRESHOLD_EXCEEDED</x:v>
      </x:c>
      <x:c r="H14" s="16" t="str">
        <x:v>adopt_flag_only</x:v>
      </x:c>
      <x:c r="I14" s="16" t="str">
        <x:v>Emit a control/action metadata flag at eta &gt;= 0.75.</x:v>
      </x:c>
      <x:c r="J14" s="16" t="str">
        <x:v>Force damage, force zero below 0.75, or calibrate a median from 0.75.</x:v>
      </x:c>
      <x:c r="K14" s="16" t="str">
        <x:v>The source specifies action margin below tested instability speed.</x:v>
      </x:c>
      <x:c r="L14" s="16" t="str">
        <x:v>FM revises the operational criterion or qualified damage data emerge.</x:v>
      </x:c>
    </x:row>
    <x:row r="15" ht="70" customHeight="1">
      <x:c r="A15" s="15" t="str">
        <x:v>SWS2-C011</x:v>
      </x:c>
      <x:c r="B15" s="15" t="str">
        <x:v>1P/2P identity, qualification ID, actual angle, row position and stow/control state are required tracker context.</x:v>
      </x:c>
      <x:c r="C15" s="15" t="str">
        <x:v>source_finding</x:v>
      </x:c>
      <x:c r="D15" s="15" t="str">
        <x:v>IEA_PVPS_EXTREME_WEATHER_2025;TRACKER_LAYOUT_AEROELASTIC_2025;TRACKER_FIELD_MODAL_2024;FM_DS_7_106_2026</x:v>
      </x:c>
      <x:c r="E15" s="15" t="str">
        <x:v>IEA §§3.4–3.6; Frontini Fig. 7; field campaign; FM §3.1</x:v>
      </x:c>
      <x:c r="F15" s="15" t="str">
        <x:v>T2_public_lab_standard_or_physics</x:v>
      </x:c>
      <x:c r="G15" s="15" t="str">
        <x:v>tracker selectors/conditioners</x:v>
      </x:c>
      <x:c r="H15" s="15" t="str">
        <x:v>adopt</x:v>
      </x:c>
      <x:c r="I15" s="15" t="str">
        <x:v>Preserve context and resolve numeric effects in exact-system Ucrit/bridge.</x:v>
      </x:c>
      <x:c r="J15" s="15" t="str">
        <x:v>Apply universal 1P/2P, zone or stow multiplier.</x:v>
      </x:c>
      <x:c r="K15" s="15" t="str">
        <x:v>Response varies with these fields but public data do not calibrate universal credits.</x:v>
      </x:c>
      <x:c r="L15" s="15" t="str">
        <x:v>Qualified fleet data calibrate explicit effects.</x:v>
      </x:c>
    </x:row>
    <x:row r="16" ht="70" customHeight="1">
      <x:c r="A16" s="16" t="str">
        <x:v>SWS2-C012</x:v>
      </x:c>
      <x:c r="B16" s="16" t="str">
        <x:v>Unknown or confirmed stow does not select a favorable resistance scenario.</x:v>
      </x:c>
      <x:c r="C16" s="16" t="str">
        <x:v>governance_decision</x:v>
      </x:c>
      <x:c r="D16" s="16" t="str">
        <x:v>PV_TRACKER_DOWNBURST_2025;PV_TRACKER_AEROELASTIC_2024;FM_DS_7_106_2026</x:v>
      </x:c>
      <x:c r="E16" s="16" t="str">
        <x:v>source transfer limits and gate</x:v>
      </x:c>
      <x:c r="F16" s="16" t="str">
        <x:v>T4_placeholder_or_expert_judgment</x:v>
      </x:c>
      <x:c r="G16" s="16" t="str">
        <x:v>conditioner rule</x:v>
      </x:c>
      <x:c r="H16" s="16" t="str">
        <x:v>adopt_fail_closed</x:v>
      </x:c>
      <x:c r="I16" s="16" t="str">
        <x:v>Carry state and flags; Ucrit must already match the attained condition.</x:v>
      </x:c>
      <x:c r="J16" s="16" t="str">
        <x:v>Apply current v1 0.80/1.25 multipliers or average demand before nonlinear DR.</x:v>
      </x:c>
      <x:c r="K16" s="16" t="str">
        <x:v>No universal stow multiplier is supported and averaging demand before DR is mathematically biased.</x:v>
      </x:c>
      <x:c r="L16" s="16" t="str">
        <x:v>Tracker-specific field calibration.</x:v>
      </x:c>
    </x:row>
    <x:row r="17" ht="70" customHeight="1">
      <x:c r="A17" s="15" t="str">
        <x:v>SWS2-C013</x:v>
      </x:c>
      <x:c r="B17" s="15" t="str">
        <x:v>Module and support-structure values remain separate failure units.</x:v>
      </x:c>
      <x:c r="C17" s="15" t="str">
        <x:v>value_and_dependency_decision</x:v>
      </x:c>
      <x:c r="D17" s="15" t="str">
        <x:v>NREL_NLR_Q1_2025_PV_BENCHMARK;VALUE_SOLAR_WORKBOOK;DOE_PV_OWNER_GUIDE_2021</x:v>
      </x:c>
      <x:c r="E17" s="15" t="str">
        <x:v>Solar_Map rows 2–3; Owner Guide §5</x:v>
      </x:c>
      <x:c r="F17" s="15" t="str">
        <x:v>T2_public_lab_standard_or_physics</x:v>
      </x:c>
      <x:c r="G17" s="15" t="str">
        <x:v>four architecture-specific records</x:v>
      </x:c>
      <x:c r="H17" s="15" t="str">
        <x:v>adopt</x:v>
      </x:c>
      <x:c r="I17" s="15" t="str">
        <x:v>Evaluate module and structure states separately and reconcile terminal cascade.</x:v>
      </x:c>
      <x:c r="J17" s="15" t="str">
        <x:v>Force module-only and structure-only outcomes into one false severity order.</x:v>
      </x:c>
      <x:c r="K17" s="15" t="str">
        <x:v>The value source separates rows and observed outcomes can be alternative rather than ordered.</x:v>
      </x:c>
      <x:c r="L17" s="15" t="str">
        <x:v>Matched joint state/cost data supports a better assembly.</x:v>
      </x:c>
    </x:row>
    <x:row r="18" ht="70" customHeight="1">
      <x:c r="A18" s="16" t="str">
        <x:v>SWS2-C014</x:v>
      </x:c>
      <x:c r="B18" s="16" t="str">
        <x:v>Module salvage after structural damage is represented by explicit T4 bounds, not a deterministic observed cascade.</x:v>
      </x:c>
      <x:c r="C18" s="16" t="str">
        <x:v>engineering_dependency_rule</x:v>
      </x:c>
      <x:c r="D18" s="16" t="str">
        <x:v>DOE_PV_OWNER_GUIDE_2021;SOLAR_CRITICAL_JOINTS_2025;VALENTIN_TRACKER_FAILURE_2022;NO_DIRECT_CALIBRATION_SOURCE</x:v>
      </x:c>
      <x:c r="E18" s="16" t="str">
        <x:v>Owner Guide §5; critical-joint report; forensic §§3–6; bounded search log</x:v>
      </x:c>
      <x:c r="F18" s="16" t="str">
        <x:v>T4_placeholder_or_expert_judgment</x:v>
      </x:c>
      <x:c r="G18" s="16" t="str">
        <x:v>module salvage / destructive-collapse cascade</x:v>
      </x:c>
      <x:c r="H18" s="16" t="str">
        <x:v>adopt_screening_with_bounds</x:v>
      </x:c>
      <x:c r="I18" s="16" t="str">
        <x:v>Central screening treats only DS3 destructive collapse as making colocated modules nonsalvageable; also carry full-salvage and no-salvage-on-any-structure-replacement bounds.</x:v>
      </x:c>
      <x:c r="J18" s="16" t="str">
        <x:v>Claim universal module destruction from structure replacement, hide salvage sensitivity, or add module replacement twice.</x:v>
      </x:c>
      <x:c r="K18" s="16" t="str">
        <x:v>Field evidence supports possible cascade but not universal non-salvageability; explicit bounds expose the assumption.</x:v>
      </x:c>
      <x:c r="L18" s="16" t="str">
        <x:v>Claims-level joint structural/module disposition and salvage data.</x:v>
      </x:c>
    </x:row>
    <x:row r="19" ht="70" customHeight="1">
      <x:c r="A19" s="15" t="str">
        <x:v>SWS2-C015</x:v>
      </x:c>
      <x:c r="B19" s="15" t="str">
        <x:v>Applying the module curve outside DS3 destructive collapse is an explicit T4 conditional-dependence assumption.</x:v>
      </x:c>
      <x:c r="C19" s="15" t="str">
        <x:v>engineering_dependency_rule</x:v>
      </x:c>
      <x:c r="D19" s="15" t="str">
        <x:v>NO_DIRECT_CALIBRATION_SOURCE</x:v>
      </x:c>
      <x:c r="E19" s="15" t="str">
        <x:v>bounded search log and loss-assembly contract</x:v>
      </x:c>
      <x:c r="F19" s="15" t="str">
        <x:v>T4_placeholder_or_expert_judgment</x:v>
      </x:c>
      <x:c r="G19" s="15" t="str">
        <x:v>conditional module/structure dependence</x:v>
      </x:c>
      <x:c r="H19" s="15" t="str">
        <x:v>adopt_flag_and_bounds</x:v>
      </x:c>
      <x:c r="I19" s="15" t="str">
        <x:v>Carry separate state ensembles, salvage bounds and MODULE_SALVAGE_AND_CONDITIONAL_DEPENDENCE_T4_ASSUMPTION.</x:v>
      </x:c>
      <x:c r="J19" s="15" t="str">
        <x:v>Claim statistical independence, a calibrated joint distribution, or an observed conditional module curve.</x:v>
      </x:c>
      <x:c r="K19" s="15" t="str">
        <x:v>No matched public population supports dependence estimation.</x:v>
      </x:c>
      <x:c r="L19" s="15" t="str">
        <x:v>Matched event-level joint state and salvage data.</x:v>
      </x:c>
    </x:row>
    <x:row r="20" ht="70" customHeight="1">
      <x:c r="A20" s="16" t="str">
        <x:v>SWS2-C016</x:v>
      </x:c>
      <x:c r="B20" s="16" t="str">
        <x:v>Foundation, power/electrical, SCADA and civil curves are withheld.</x:v>
      </x:c>
      <x:c r="C20" s="16" t="str">
        <x:v>fail_closed_decision</x:v>
      </x:c>
      <x:c r="D20" s="16" t="str">
        <x:v>DOE_PV_OWNER_GUIDE_2021;VALUE_SOLAR_WORKBOOK;NO_DIRECT_CALIBRATION_SOURCE</x:v>
      </x:c>
      <x:c r="E20" s="16" t="str">
        <x:v>coverage audit and value rows 4–10,14</x:v>
      </x:c>
      <x:c r="F20" s="16" t="str">
        <x:v>T4_placeholder_or_expert_judgment</x:v>
      </x:c>
      <x:c r="G20" s="16" t="str">
        <x:v>failure-unit coverage</x:v>
      </x:c>
      <x:c r="H20" s="16" t="str">
        <x:v>withhold</x:v>
      </x:c>
      <x:c r="I20" s="16" t="str">
        <x:v>Return null with stable reason codes.</x:v>
      </x:c>
      <x:c r="J20" s="16" t="str">
        <x:v>Return zero or inherit module/structure DR and exposure.</x:v>
      </x:c>
      <x:c r="K20" s="16" t="str">
        <x:v>Mechanism, value and exposure grains are not qualified.</x:v>
      </x:c>
      <x:c r="L20" s="16" t="str">
        <x:v>Failure-unit-specific evidence and value/exposure split.</x:v>
      </x:c>
    </x:row>
    <x:row r="21" ht="70" customHeight="1">
      <x:c r="A21" s="15" t="str">
        <x:v>SWS2-C017</x:v>
      </x:c>
      <x:c r="B21" s="15" t="str">
        <x:v>Replacement support is allocated once outside intrinsic DR.</x:v>
      </x:c>
      <x:c r="C21" s="15" t="str">
        <x:v>value_rule</x:v>
      </x:c>
      <x:c r="D21" s="15" t="str">
        <x:v>VALUE_SOLAR_WORKBOOK</x:v>
      </x:c>
      <x:c r="E21" s="15" t="str">
        <x:v>Solar_Map rows 12–13 and 15</x:v>
      </x:c>
      <x:c r="F21" s="15" t="str">
        <x:v>T2_public_lab_standard_or_physics</x:v>
      </x:c>
      <x:c r="G21" s="15" t="str">
        <x:v>support allocation</x:v>
      </x:c>
      <x:c r="H21" s="15" t="str">
        <x:v>adopt_open_rule</x:v>
      </x:c>
      <x:c r="I21" s="15" t="str">
        <x:v>Allocate after direct damage with explicit claim/repair rule.</x:v>
      </x:c>
      <x:c r="J21" s="15" t="str">
        <x:v>Embed in both module/structure denominators and add again downstream.</x:v>
      </x:c>
      <x:c r="K21" s="15" t="str">
        <x:v>Fieldwork and inspection are repair-scope consequences, not vulnerable hardware.</x:v>
      </x:c>
      <x:c r="L21" s="15" t="str">
        <x:v>Claims data establish a reusable allocation function.</x:v>
      </x:c>
    </x:row>
    <x:row r="22" ht="70" customHeight="1">
      <x:c r="A22" s="16" t="str">
        <x:v>SWS2-C018</x:v>
      </x:c>
      <x:c r="B22" s="16" t="str">
        <x:v>The primary reference basis is 1120 installed, 877.795702 physical, 656.981457 direct and 189.590501 support USD/kWdc in 2024 USD.</x:v>
      </x:c>
      <x:c r="C22" s="16" t="str">
        <x:v>value_arithmetic</x:v>
      </x:c>
      <x:c r="D22" s="16" t="str">
        <x:v>NREL_NLR_Q1_2025_PV_BENCHMARK;VALUE_SOLAR_WORKBOOK</x:v>
      </x:c>
      <x:c r="E22" s="16" t="str">
        <x:v>Solar_Map rows 2–17 and summary</x:v>
      </x:c>
      <x:c r="F22" s="16" t="str">
        <x:v>T2_public_lab_standard_or_physics</x:v>
      </x:c>
      <x:c r="G22" s="16" t="str">
        <x:v>primary reference value basis</x:v>
      </x:c>
      <x:c r="H22" s="16" t="str">
        <x:v>adopt_reference_only</x:v>
      </x:c>
      <x:c r="I22" s="16" t="str">
        <x:v>Reconcile reference denominators and convert labeled contributions.</x:v>
      </x:c>
      <x:c r="J22" s="16" t="str">
        <x:v>Use as site appraisal or vulnerability calibration.</x:v>
      </x:c>
      <x:c r="K22" s="16" t="str">
        <x:v>The governed workbook maps the official benchmark into explicit rows.</x:v>
      </x:c>
      <x:c r="L22" s="16" t="str">
        <x:v>New benchmark vintage or site valuation.</x:v>
      </x:c>
    </x:row>
    <x:row r="23" ht="70" customHeight="1">
      <x:c r="A23" s="15" t="str">
        <x:v>SWS2-C019</x:v>
      </x:c>
      <x:c r="B23" s="15" t="str">
        <x:v>Module plus mounting reference value is 401.204577 USD/kWdc, 45.705917% physical and 35.821837% installed.</x:v>
      </x:c>
      <x:c r="C23" s="15" t="str">
        <x:v>value_arithmetic</x:v>
      </x:c>
      <x:c r="D23" s="15" t="str">
        <x:v>VALUE_SOLAR_WORKBOOK</x:v>
      </x:c>
      <x:c r="E23" s="15" t="str">
        <x:v>Solar_Map rows 2–3</x:v>
      </x:c>
      <x:c r="F23" s="15" t="str">
        <x:v>T2_public_lab_standard_or_physics</x:v>
      </x:c>
      <x:c r="G23" s="15" t="str">
        <x:v>array reference shares</x:v>
      </x:c>
      <x:c r="H23" s="15" t="str">
        <x:v>adopt_reference_only</x:v>
      </x:c>
      <x:c r="I23" s="15" t="str">
        <x:v>Report array-only contribution with its denominator label.</x:v>
      </x:c>
      <x:c r="J23" s="15" t="str">
        <x:v>Treat either share as an intrinsic DR cap.</x:v>
      </x:c>
      <x:c r="K23" s="15" t="str">
        <x:v>Exact row arithmetic makes the value seam explicit.</x:v>
      </x:c>
      <x:c r="L23" s="15" t="str">
        <x:v>Value rows or denominator change.</x:v>
      </x:c>
    </x:row>
    <x:row r="24" ht="70" customHeight="1">
      <x:c r="A24" s="16" t="str">
        <x:v>SWS2-C020</x:v>
      </x:c>
      <x:c r="B24" s="16" t="str">
        <x:v>Q1-2024 tracker MMP values are a sensitivity, not blended with the primary 2024 USD basis.</x:v>
      </x:c>
      <x:c r="C24" s="16" t="str">
        <x:v>value_rule</x:v>
      </x:c>
      <x:c r="D24" s="16" t="str">
        <x:v>NREL_Q1_2024_MMP_TRACKER</x:v>
      </x:c>
      <x:c r="E24" s="16" t="str">
        <x:v>DOE Figure 1</x:v>
      </x:c>
      <x:c r="F24" s="16" t="str">
        <x:v>T2_public_lab_standard_or_physics</x:v>
      </x:c>
      <x:c r="G24" s="16" t="str">
        <x:v>tracker sensitivity profile</x:v>
      </x:c>
      <x:c r="H24" s="16" t="str">
        <x:v>adopt_sensitivity_only</x:v>
      </x:c>
      <x:c r="I24" s="16" t="str">
        <x:v>Use module 336 and SBOS 140 together in 2023 USD for sensitivity.</x:v>
      </x:c>
      <x:c r="J24" s="16" t="str">
        <x:v>Blend vintages or use the tracker profile as fixed-tilt value.</x:v>
      </x:c>
      <x:c r="K24" s="16" t="str">
        <x:v>Source-native rows provide architecture cross-check but a different vintage/basis.</x:v>
      </x:c>
      <x:c r="L24" s="16" t="str">
        <x:v>Benchmark reconciliation or site BOM.</x:v>
      </x:c>
    </x:row>
    <x:row r="25" ht="70" customHeight="1">
      <x:c r="A25" s="15" t="str">
        <x:v>SWS2-C021</x:v>
      </x:c>
      <x:c r="B25" s="15" t="str">
        <x:v>Fixed-tilt structural 90–120 2020 USD/kWdc is a range only and supplies no point default.</x:v>
      </x:c>
      <x:c r="C25" s="15" t="str">
        <x:v>value_rule</x:v>
      </x:c>
      <x:c r="D25" s="15" t="str">
        <x:v>NREL_Q1_2021_COST_BENCHMARK</x:v>
      </x:c>
      <x:c r="E25" s="15" t="str">
        <x:v>PDF p. 27</x:v>
      </x:c>
      <x:c r="F25" s="15" t="str">
        <x:v>T2_public_lab_standard_or_physics</x:v>
      </x:c>
      <x:c r="G25" s="15" t="str">
        <x:v>fixed-tilt value range</x:v>
      </x:c>
      <x:c r="H25" s="15" t="str">
        <x:v>withhold_default</x:v>
      </x:c>
      <x:c r="I25" s="15" t="str">
        <x:v>Use for sensitivity only when labeled.</x:v>
      </x:c>
      <x:c r="J25" s="15" t="str">
        <x:v>Assign an endpoint to fixed tilt or inflate to current dollars without method.</x:v>
      </x:c>
      <x:c r="K25" s="15" t="str">
        <x:v>The source combines fixed tilt and tracker and is older.</x:v>
      </x:c>
      <x:c r="L25" s="15" t="str">
        <x:v>Current fixed-tilt BOM benchmark.</x:v>
      </x:c>
    </x:row>
    <x:row r="26" ht="70" customHeight="1">
      <x:c r="A26" s="16" t="str">
        <x:v>SWS2-C022</x:v>
      </x:c>
      <x:c r="B26" s="16" t="str">
        <x:v>All medians, beta values, zero boundaries and localized repair cost ratios are T4 screening assumptions.</x:v>
      </x:c>
      <x:c r="C26" s="16" t="str">
        <x:v>parameter_tier_decision</x:v>
      </x:c>
      <x:c r="D26" s="16" t="str">
        <x:v>NO_DIRECT_CALIBRATION_SOURCE</x:v>
      </x:c>
      <x:c r="E26" s="16" t="str">
        <x:v>bounded search log and parameter table</x:v>
      </x:c>
      <x:c r="F26" s="16" t="str">
        <x:v>T4_placeholder_or_expert_judgment</x:v>
      </x:c>
      <x:c r="G26" s="16" t="str">
        <x:v>numeric curve payload</x:v>
      </x:c>
      <x:c r="H26" s="16" t="str">
        <x:v>adopt_screening</x:v>
      </x:c>
      <x:c r="I26" s="16" t="str">
        <x:v>Use as unweighted pressure-tested scenarios with exact provenance.</x:v>
      </x:c>
      <x:c r="J26" s="16" t="str">
        <x:v>Describe as public-source-derived, fitted, probabilistic percentiles or claims-calibrated.</x:v>
      </x:c>
      <x:c r="K26" s="16" t="str">
        <x:v>Public evidence constrains physics and plausible bounds but not probabilities/cost states.</x:v>
      </x:c>
      <x:c r="L26" s="16" t="str">
        <x:v>Matched demand/configuration/disposition/cost data or formal elicitation.</x:v>
      </x:c>
    </x:row>
    <x:row r="27" ht="70" customHeight="1">
      <x:c r="A27" s="15" t="str">
        <x:v>SWS2-C023</x:v>
      </x:c>
      <x:c r="B27" s="15" t="str">
        <x:v>Fixed-tilt medians use the broad source-review envelope around design demand.</x:v>
      </x:c>
      <x:c r="C27" s="15" t="str">
        <x:v>engineering_assumption</x:v>
      </x:c>
      <x:c r="D27" s="15" t="str">
        <x:v>DOE_PV_OWNER_GUIDE_2021;ASCE_7_22;NO_DIRECT_CALIBRATION_SOURCE</x:v>
      </x:c>
      <x:c r="E27" s="15" t="str">
        <x:v>parameter table SWS2-P018–P023</x:v>
      </x:c>
      <x:c r="F27" s="15" t="str">
        <x:v>T4_placeholder_or_expert_judgment</x:v>
      </x:c>
      <x:c r="G27" s="15" t="str">
        <x:v>fixed-tilt scenario medians</x:v>
      </x:c>
      <x:c r="H27" s="15" t="str">
        <x:v>adopt_screening</x:v>
      </x:c>
      <x:c r="I27" s="15" t="str">
        <x:v>Treat lower/central/upper as unweighted resistance scenarios.</x:v>
      </x:c>
      <x:c r="J27" s="15" t="str">
        <x:v>Interpret the values as empirical medians or code reliability.</x:v>
      </x:c>
      <x:c r="K27" s="15" t="str">
        <x:v>The envelope permits below-design latent weakness and capacity beyond design without fitting sparse cases.</x:v>
      </x:c>
      <x:c r="L27" s="15" t="str">
        <x:v>Matched fixed-tilt field fragility.</x:v>
      </x:c>
    </x:row>
    <x:row r="28" ht="70" customHeight="1">
      <x:c r="A28" s="16" t="str">
        <x:v>SWS2-C024</x:v>
      </x:c>
      <x:c r="B28" s="16" t="str">
        <x:v>Tracker medians use Ucrit-normalized broad bounds and do not use observed 16.7–28 m/s cases as literal thresholds.</x:v>
      </x:c>
      <x:c r="C28" s="16" t="str">
        <x:v>engineering_assumption</x:v>
      </x:c>
      <x:c r="D28" s="16" t="str">
        <x:v>IEA_PVPS_EXTREME_WEATHER_2025;VALENTIN_TRACKER_FAILURE_2022;PV_TRACKER_AEROELASTIC_2024;NO_DIRECT_CALIBRATION_SOURCE</x:v>
      </x:c>
      <x:c r="E28" s="16" t="str">
        <x:v>parameter table SWS2-P024–P029</x:v>
      </x:c>
      <x:c r="F28" s="16" t="str">
        <x:v>T4_placeholder_or_expert_judgment</x:v>
      </x:c>
      <x:c r="G28" s="16" t="str">
        <x:v>tracker scenario medians</x:v>
      </x:c>
      <x:c r="H28" s="16" t="str">
        <x:v>adopt_screening</x:v>
      </x:c>
      <x:c r="I28" s="16" t="str">
        <x:v>Use cases to pressure-test ordering and demand range only.</x:v>
      </x:c>
      <x:c r="J28" s="16" t="str">
        <x:v>Fit population fragility or universal speed threshold from cases.</x:v>
      </x:c>
      <x:c r="K28" s="16" t="str">
        <x:v>Case wind/configuration/value denominators are not matched or representative.</x:v>
      </x:c>
      <x:c r="L28" s="16" t="str">
        <x:v>Qualified tracker population data.</x:v>
      </x:c>
    </x:row>
    <x:row r="29" ht="70" customHeight="1">
      <x:c r="A29" s="15" t="str">
        <x:v>SWS2-C025</x:v>
      </x:c>
      <x:c r="B29" s="15" t="str">
        <x:v>The lognormal ordered-state form is a computational surrogate, not proof of lognormal population capacity.</x:v>
      </x:c>
      <x:c r="C29" s="15" t="str">
        <x:v>curve_form_decision</x:v>
      </x:c>
      <x:c r="D29" s="15" t="str">
        <x:v>NO_DIRECT_CALIBRATION_SOURCE;DOE_PV_OWNER_GUIDE_2021</x:v>
      </x:c>
      <x:c r="E29" s="15" t="str">
        <x:v>curve-form decision and transfer limits</x:v>
      </x:c>
      <x:c r="F29" s="15" t="str">
        <x:v>T4_placeholder_or_expert_judgment</x:v>
      </x:c>
      <x:c r="G29" s="15" t="str">
        <x:v>ordered_damage_state_lognormal</x:v>
      </x:c>
      <x:c r="H29" s="15" t="str">
        <x:v>adopt_screening</x:v>
      </x:c>
      <x:c r="I29" s="15" t="str">
        <x:v>Produce monotone bounded state ensembles with inspectable scenarios.</x:v>
      </x:c>
      <x:c r="J29" s="15" t="str">
        <x:v>Claim statistical aleatory spread or assign scenario probabilities.</x:v>
      </x:c>
      <x:c r="K29" s="15" t="str">
        <x:v>The form is stable and auditable while evidence is sparse.</x:v>
      </x:c>
      <x:c r="L29" s="15" t="str">
        <x:v>Population model comparison selects another form.</x:v>
      </x:c>
    </x:row>
    <x:row r="30" ht="70" customHeight="1">
      <x:c r="A30" s="16" t="str">
        <x:v>SWS2-C026</x:v>
      </x:c>
      <x:c r="B30" s="16" t="str">
        <x:v>The proposal is withheld above architecture-specific demand index 2.0.</x:v>
      </x:c>
      <x:c r="C30" s="16" t="str">
        <x:v>governance_boundary</x:v>
      </x:c>
      <x:c r="D30" s="16" t="str">
        <x:v>NO_DIRECT_CALIBRATION_SOURCE</x:v>
      </x:c>
      <x:c r="E30" s="16" t="str">
        <x:v>artifact extrapolation policy</x:v>
      </x:c>
      <x:c r="F30" s="16" t="str">
        <x:v>T4_placeholder_or_expert_judgment</x:v>
      </x:c>
      <x:c r="G30" s="16" t="str">
        <x:v>valid_range max=2.0</x:v>
      </x:c>
      <x:c r="H30" s="16" t="str">
        <x:v>adopt_fail_closed</x:v>
      </x:c>
      <x:c r="I30" s="16" t="str">
        <x:v>Reject rather than extrapolate beyond research bounds.</x:v>
      </x:c>
      <x:c r="J30" s="16" t="str">
        <x:v>Clamp to one, continue extrapolation, or substitute current v1.</x:v>
      </x:c>
      <x:c r="K30" s="16" t="str">
        <x:v>The elicited scenario support is not validated in the far tail.</x:v>
      </x:c>
      <x:c r="L30" s="16" t="str">
        <x:v>Extreme-demand calibration or engineering review extends range.</x:v>
      </x:c>
    </x:row>
    <x:row r="31" ht="70" customHeight="1">
      <x:c r="A31" s="15" t="str">
        <x:v>SWS2-C027</x:v>
      </x:c>
      <x:c r="B31" s="15" t="str">
        <x:v>The current v1 workbook stow formula reads mounting_type B7 instead of stow_state B8.</x:v>
      </x:c>
      <x:c r="C31" s="15" t="str">
        <x:v>legacy_audit_finding</x:v>
      </x:c>
      <x:c r="D31" s="15" t="str">
        <x:v>LEGACY_SWS_V1</x:v>
      </x:c>
      <x:c r="E31" s="15" t="str">
        <x:v>current workbook Dashboard!G7 and labels B7/B8</x:v>
      </x:c>
      <x:c r="F31" s="15" t="str">
        <x:v>T4_placeholder_or_expert_judgment</x:v>
      </x:c>
      <x:c r="G31" s="15" t="str">
        <x:v>legacy defect</x:v>
      </x:c>
      <x:c r="H31" s="15" t="str">
        <x:v>document_do_not_patch_current</x:v>
      </x:c>
      <x:c r="I31" s="15" t="str">
        <x:v>Use as a migration regression and reason for executable KATs.</x:v>
      </x:c>
      <x:c r="J31" s="15" t="str">
        <x:v>Silently repair or reinterpret the current canonical artifact during this proposal.</x:v>
      </x:c>
      <x:c r="K31" s="15" t="str">
        <x:v>The formula makes stow changes inert and applies probabilistic tracker treatment to fixed tilt.</x:v>
      </x:c>
      <x:c r="L31" s="15" t="str">
        <x:v>Current v1 receives a separately governed patch or v2 promotion.</x:v>
      </x:c>
    </x:row>
    <x:row r="32" ht="70" customHeight="1">
      <x:c r="A32" s="16" t="str">
        <x:v>SWS2-C028</x:v>
      </x:c>
      <x:c r="B32" s="16" t="str">
        <x:v>Current v1 remains canonical and the proposed v2 remains absent from artifact index/changelog.</x:v>
      </x:c>
      <x:c r="C32" s="16" t="str">
        <x:v>release_decision</x:v>
      </x:c>
      <x:c r="D32" s="16" t="str">
        <x:v>LEGACY_SWS_V1</x:v>
      </x:c>
      <x:c r="E32" s="16" t="str">
        <x:v>current artifact/index/changelog and promotion matrix</x:v>
      </x:c>
      <x:c r="F32" s="16" t="str">
        <x:v>T4_placeholder_or_expert_judgment</x:v>
      </x:c>
      <x:c r="G32" s="16" t="str">
        <x:v>canonical_runtime_artifact=false</x:v>
      </x:c>
      <x:c r="H32" s="16" t="str">
        <x:v>adopt</x:v>
      </x:c>
      <x:c r="I32" s="16" t="str">
        <x:v>Research, validate and shadow-test without runtime cutover.</x:v>
      </x:c>
      <x:c r="J32" s="16" t="str">
        <x:v>Consume proposed v2 as current or mutate v1 pin.</x:v>
      </x:c>
      <x:c r="K32" s="16" t="str">
        <x:v>Major behavior/schema changes require explicit promotion.</x:v>
      </x:c>
      <x:c r="L32" s="16" t="str">
        <x:v>All promotion gates pass and maintainer approves.</x:v>
      </x:c>
    </x:row>
    <x:row r="33" ht="70" customHeight="1">
      <x:c r="A33" s="15" t="str">
        <x:v>SWS2-C029</x:v>
      </x:c>
      <x:c r="B33" s="15" t="str">
        <x:v>Tracker DR and the FM 0.75 action flag require an exact structured event-to-qualification basis match.</x:v>
      </x:c>
      <x:c r="C33" s="15" t="str">
        <x:v>engineering_contract</x:v>
      </x:c>
      <x:c r="D33" s="15" t="str">
        <x:v>PV_TRACKER_AEROELASTIC_2024;TRACKER_LAYOUT_AEROELASTIC_2025;FM_DS_7_106_2026</x:v>
      </x:c>
      <x:c r="E33" s="15" t="str">
        <x:v>aeroelastic benchmark §§1–3; stability map; FM §§2.1.2.3–2.1.2.4</x:v>
      </x:c>
      <x:c r="F33" s="15" t="str">
        <x:v>T3_engineering_proxy_or_adjacent_empirical</x:v>
      </x:c>
      <x:c r="G33" s="15" t="str">
        <x:v>tracker qualification-basis match</x:v>
      </x:c>
      <x:c r="H33" s="15" t="str">
        <x:v>adopt_fail_closed</x:v>
      </x:c>
      <x:c r="I33" s="15" t="str">
        <x:v>Match 3-second averaging, array-height tracker-normal reference, profile bridge, 1P/2P, layout, position, angle, zone and drive/lock state before evaluation.</x:v>
      </x:c>
      <x:c r="J33" s="15" t="str">
        <x:v>Accept arbitrary Ucrit text, unknown attained state, or apply 0.75 across mismatched speed definitions.</x:v>
      </x:c>
      <x:c r="K33" s="15" t="str">
        <x:v>Critical velocity and the action margin are system/state/speed-basis specific.</x:v>
      </x:c>
      <x:c r="L33" s="15" t="str">
        <x:v>A governed certified tracker-capacity catalog supplies equivalent structured identity.</x:v>
      </x:c>
    </x:row>
    <x:row r="34" ht="70" customHeight="1">
      <x:c r="A34" s="16" t="str">
        <x:v>SWS2-C030</x:v>
      </x:c>
      <x:c r="B34" s="16" t="str">
        <x:v>Architecture-specific accepted input payloads are serialized and schema/validator checked.</x:v>
      </x:c>
      <x:c r="C34" s="16" t="str">
        <x:v>schema_contract</x:v>
      </x:c>
      <x:c r="D34" s="16" t="str">
        <x:v>ASCE_7_22;PV_TRACKER_AEROELASTIC_2024</x:v>
      </x:c>
      <x:c r="E34" s="16" t="str">
        <x:v>bundle v3 hazard-axis architecture_input_contracts</x:v>
      </x:c>
      <x:c r="F34" s="16" t="str">
        <x:v>T4_placeholder_or_expert_judgment</x:v>
      </x:c>
      <x:c r="G34" s="16" t="str">
        <x:v>architecture input contract</x:v>
      </x:c>
      <x:c r="H34" s="16" t="str">
        <x:v>adopt</x:v>
      </x:c>
      <x:c r="I34" s="16" t="str">
        <x:v>Allow a schema-aware consumer to discover fixed preferred/proxy and tracker required fields.</x:v>
      </x:c>
      <x:c r="J34" s="16" t="str">
        <x:v>Rely on a nonexistent generic input field or silently fall back across architectures.</x:v>
      </x:c>
      <x:c r="K34" s="16" t="str">
        <x:v>One causal pathway needs different asset-architecture axes and complete payloads.</x:v>
      </x:c>
      <x:c r="L34" s="16" t="str">
        <x:v>Bundle schema gains a stronger conditional mechanism.</x:v>
      </x:c>
    </x:row>
    <x:row r="35" ht="70" customHeight="1">
      <x:c r="A35" s="15" t="str">
        <x:v>SWS2-C031</x:v>
      </x:c>
      <x:c r="B35" s="15" t="str">
        <x:v>Monetary loss assembly requires structured event, parent-event, zone and colocated exposure identity.</x:v>
      </x:c>
      <x:c r="C35" s="15" t="str">
        <x:v>exposure_contract</x:v>
      </x:c>
      <x:c r="D35" s="15" t="str">
        <x:v>DERECHO_MULTISCALE_2025;NO_DIRECT_CALIBRATION_SOURCE</x:v>
      </x:c>
      <x:c r="E35" s="15" t="str">
        <x:v>artifact exposure contract and loss KAT</x:v>
      </x:c>
      <x:c r="F35" s="15" t="str">
        <x:v>T4_placeholder_or_expert_judgment</x:v>
      </x:c>
      <x:c r="G35" s="15" t="str">
        <x:v>colocated_common_array_zone exposure</x:v>
      </x:c>
      <x:c r="H35" s="15" t="str">
        <x:v>adopt_fail_closed</x:v>
      </x:c>
      <x:c r="I35" s="15" t="str">
        <x:v>Preserve identifiers and use one common fraction only when module/structure footprints are colocated.</x:v>
      </x:c>
      <x:c r="J35" s="15" t="str">
        <x:v>Produce loss from values/fraction alone or force different footprints through one fraction.</x:v>
      </x:c>
      <x:c r="K35" s="15" t="str">
        <x:v>Event deduplication and failure-unit exposure grain are load-bearing downstream seams.</x:v>
      </x:c>
      <x:c r="L35" s="15" t="str">
        <x:v>A richer per-unit exposure contract supersedes the helper.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20" hidden="0" customWidth="1"/>
    <x:col min="3" max="3" width="20" hidden="0" customWidth="1"/>
    <x:col min="4" max="4" width="54" hidden="0" customWidth="1"/>
    <x:col min="5" max="5" width="20" hidden="0" customWidth="1"/>
    <x:col min="6" max="6" width="20" hidden="0" customWidth="1"/>
    <x:col min="7" max="7" width="54" hidden="0" customWidth="1"/>
    <x:col min="8" max="8" width="54" hidden="0" customWidth="1"/>
    <x:col min="9" max="9" width="20" hidden="0" customWidth="1"/>
    <x:col min="10" max="10" width="54" hidden="0" customWidth="1"/>
  </x:cols>
  <x:sheetData>
    <x:row r="1" ht="28" customHeight="1">
      <x:c r="A1" s="47" t="str">
        <x:v>Parameter tier table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32" customHeight="1">
      <x:c r="A2" s="48" t="str">
        <x:v>Curve ordinates are T4 assumptions; axis/value provenance remains explicit</x:v>
      </x:c>
      <x:c r="B2" s="48"/>
      <x:c r="C2" s="48"/>
      <x:c r="D2" s="48"/>
      <x:c r="E2" s="48"/>
      <x:c r="F2" s="48"/>
      <x:c r="G2" s="48"/>
      <x:c r="H2" s="48"/>
      <x:c r="I2" s="48"/>
      <x:c r="J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</x:row>
    <x:row r="4" ht="28" customHeight="1">
      <x:c r="A4" s="52" t="str">
        <x:v>parameter</x:v>
      </x:c>
      <x:c r="B4" s="52" t="str">
        <x:v>pathway_id</x:v>
      </x:c>
      <x:c r="C4" s="52" t="str">
        <x:v>curve_id</x:v>
      </x:c>
      <x:c r="D4" s="52" t="str">
        <x:v>value</x:v>
      </x:c>
      <x:c r="E4" s="52" t="str">
        <x:v>param_role</x:v>
      </x:c>
      <x:c r="F4" s="52" t="str">
        <x:v>tier</x:v>
      </x:c>
      <x:c r="G4" s="52" t="str">
        <x:v>source_ids</x:v>
      </x:c>
      <x:c r="H4" s="52" t="str">
        <x:v>reasoning</x:v>
      </x:c>
      <x:c r="I4" s="52" t="str">
        <x:v>status</x:v>
      </x:c>
      <x:c r="J4" s="52" t="str">
        <x:v>update_trigger</x:v>
      </x:c>
    </x:row>
    <x:row r="5" ht="62" customHeight="1">
      <x:c r="A5" s="15" t="str">
        <x:v>SWS2-P001 | Required pathway identity</x:v>
      </x:c>
      <x:c r="B5" s="15" t="str">
        <x:v>all_shared</x:v>
      </x:c>
      <x:c r="C5" s="15" t="str">
        <x:v>CELL_PATHWAY_CONTRACT</x:v>
      </x:c>
      <x:c r="D5" s="15" t="str">
        <x:v>straight_line_convective; no default</x:v>
      </x:c>
      <x:c r="E5" s="15" t="str">
        <x:v>axis_bridge</x:v>
      </x:c>
      <x:c r="F5" s="15" t="str">
        <x:v>T4_placeholder_or_expert_judgment</x:v>
      </x:c>
      <x:c r="G5" s="15" t="str">
        <x:v>NWS_DOWNBURST_TAXONOMY;DERECHO_MULTISCALE_2025</x:v>
      </x:c>
      <x:c r="H5" s="15" t="str">
        <x:v>The causal wind field must be resolved before intensity evaluation.</x:v>
      </x:c>
      <x:c r="I5" s="15" t="str">
        <x:v>REQUIRED_PROPOSED_CONTRACT</x:v>
      </x:c>
      <x:c r="J5" s="15" t="str">
        <x:v>Governed pathway schema changes.</x:v>
      </x:c>
    </x:row>
    <x:row r="6" ht="62" customHeight="1">
      <x:c r="A6" s="16" t="str">
        <x:v>SWS2-P002 | Fixed-tilt architecture</x:v>
      </x:c>
      <x:c r="B6" s="16" t="str">
        <x:v>straight_line_convective</x:v>
      </x:c>
      <x:c r="C6" s="16" t="str">
        <x:v>CELL_SELECTOR_CONTRACT</x:v>
      </x:c>
      <x:c r="D6" s="16" t="str">
        <x:v>fixed_tilt_ground_mount_screening_v1</x:v>
      </x:c>
      <x:c r="E6" s="16" t="str">
        <x:v>selector_default</x:v>
      </x:c>
      <x:c r="F6" s="16" t="str">
        <x:v>T3_engineering_proxy_or_adjacent_empirical</x:v>
      </x:c>
      <x:c r="G6" s="16" t="str">
        <x:v>FIXED_TILT_WIND_DESIGN_2020;ASCE_7_22</x:v>
      </x:c>
      <x:c r="H6" s="16" t="str">
        <x:v>Rigid fixed-tilt ground mount is separate from aeroelastic trackers.</x:v>
      </x:c>
      <x:c r="I6" s="16" t="str">
        <x:v>REQUIRED_NO_DEFAULT</x:v>
      </x:c>
      <x:c r="J6" s="16" t="str">
        <x:v>Architecture-specific evidence expands supported asset classes.</x:v>
      </x:c>
    </x:row>
    <x:row r="7" ht="62" customHeight="1">
      <x:c r="A7" s="15" t="str">
        <x:v>SWS2-P003 | Qualified tracker architecture</x:v>
      </x:c>
      <x:c r="B7" s="15" t="str">
        <x:v>straight_line_convective</x:v>
      </x:c>
      <x:c r="C7" s="15" t="str">
        <x:v>CELL_SELECTOR_CONTRACT</x:v>
      </x:c>
      <x:c r="D7" s="15" t="str">
        <x:v>single_axis_tracker_qualified_screening_v1</x:v>
      </x:c>
      <x:c r="E7" s="15" t="str">
        <x:v>selector_default</x:v>
      </x:c>
      <x:c r="F7" s="15" t="str">
        <x:v>T3_engineering_proxy_or_adjacent_empirical</x:v>
      </x:c>
      <x:c r="G7" s="15" t="str">
        <x:v>PV_TRACKER_AEROELASTIC_2024;IEC_62817</x:v>
      </x:c>
      <x:c r="H7" s="15" t="str">
        <x:v>Exact-system qualification is required; generic tracker transfer is prohibited.</x:v>
      </x:c>
      <x:c r="I7" s="15" t="str">
        <x:v>REQUIRED_NO_DEFAULT</x:v>
      </x:c>
      <x:c r="J7" s="15" t="str">
        <x:v>Fleet calibration supports named generic archetypes.</x:v>
      </x:c>
    </x:row>
    <x:row r="8" ht="62" customHeight="1">
      <x:c r="A8" s="16" t="str">
        <x:v>SWS2-P004 | Tracker module configuration</x:v>
      </x:c>
      <x:c r="B8" s="16" t="str">
        <x:v>straight_line_convective</x:v>
      </x:c>
      <x:c r="C8" s="16" t="str">
        <x:v>CELL_SELECTOR_CONTRACT</x:v>
      </x:c>
      <x:c r="D8" s="16" t="str">
        <x:v>1P or 2P; required</x:v>
      </x:c>
      <x:c r="E8" s="16" t="str">
        <x:v>selector_default</x:v>
      </x:c>
      <x:c r="F8" s="16" t="str">
        <x:v>T2_public_lab_standard_or_physics</x:v>
      </x:c>
      <x:c r="G8" s="16" t="str">
        <x:v>IEA_PVPS_EXTREME_WEATHER_2025;TRACKER_FIELD_MODAL_2024</x:v>
      </x:c>
      <x:c r="H8" s="16" t="str">
        <x:v>Configuration is load-bearing but has no universal multiplier.</x:v>
      </x:c>
      <x:c r="I8" s="16" t="str">
        <x:v>REQUIRED_CONTEXT</x:v>
      </x:c>
      <x:c r="J8" s="16" t="str">
        <x:v>Exact-system Ucrit removes need to expose configuration.</x:v>
      </x:c>
    </x:row>
    <x:row r="9" ht="62" customHeight="1">
      <x:c r="A9" s="15" t="str">
        <x:v>SWS2-P005 | Fixed preferred demand axis</x:v>
      </x:c>
      <x:c r="B9" s="15" t="str">
        <x:v>straight_line_convective</x:v>
      </x:c>
      <x:c r="C9" s="15" t="str">
        <x:v>SWS2_SLC_FIXED_MODULE_ORDERED_STATES</x:v>
      </x:c>
      <x:c r="D9" s="15" t="str">
        <x:v>fixed_tilt_event_to_design_net_pressure_ratio</x:v>
      </x:c>
      <x:c r="E9" s="15" t="str">
        <x:v>axis_bridge</x:v>
      </x:c>
      <x:c r="F9" s="15" t="str">
        <x:v>T3_engineering_proxy_or_adjacent_empirical</x:v>
      </x:c>
      <x:c r="G9" s="15" t="str">
        <x:v>FIXED_TILT_WIND_DESIGN_2020;ASCE_7_22;ASCE_49_21</x:v>
      </x:c>
      <x:c r="H9" s="15" t="str">
        <x:v>Qualified event/design net-pressure-demand ratio captures zone and geometry without claiming design demand is resistance; T4 record medians represent failure-unit capacity.</x:v>
      </x:c>
      <x:c r="I9" s="15" t="str">
        <x:v>ACTIVE_SCREENING_AXIS</x:v>
      </x:c>
      <x:c r="J9" s="15" t="str">
        <x:v>Matched failure-unit demand/capacity/disposition data validates a better metric.</x:v>
      </x:c>
    </x:row>
    <x:row r="10" ht="62" customHeight="1">
      <x:c r="A10" s="16" t="str">
        <x:v>SWS2-P006 | Fixed gust proxy</x:v>
      </x:c>
      <x:c r="B10" s="16" t="str">
        <x:v>straight_line_convective</x:v>
      </x:c>
      <x:c r="C10" s="16" t="str">
        <x:v>SWS2_SLC_FIXED_MODULE_ORDERED_STATES</x:v>
      </x:c>
      <x:c r="D10" s="16" t="str">
        <x:v>(array_height_3s_gust_mps / qualified_design_array_height_3s_gust_mps)^2</x:v>
      </x:c>
      <x:c r="E10" s="16" t="str">
        <x:v>axis_bridge</x:v>
      </x:c>
      <x:c r="F10" s="16" t="str">
        <x:v>T3_engineering_proxy_or_adjacent_empirical</x:v>
      </x:c>
      <x:c r="G10" s="16" t="str">
        <x:v>ASCE_7_22;NIST_THUNDERSTORM_PROFILES_2011</x:v>
      </x:c>
      <x:c r="H10" s="16" t="str">
        <x:v>Squared speed is pressure-proportional but needs named profile and demand bridges.</x:v>
      </x:c>
      <x:c r="I10" s="16" t="str">
        <x:v>ACTIVE_FLAGGED_PROXY</x:v>
      </x:c>
      <x:c r="J10" s="16" t="str">
        <x:v>Qualified transient pressure demand becomes available.</x:v>
      </x:c>
    </x:row>
    <x:row r="11" ht="62" customHeight="1">
      <x:c r="A11" s="15" t="str">
        <x:v>SWS2-P007 | Tracker preferred demand axis</x:v>
      </x:c>
      <x:c r="B11" s="15" t="str">
        <x:v>straight_line_convective</x:v>
      </x:c>
      <x:c r="C11" s="15" t="str">
        <x:v>SWS2_SLC_TRACKER_MODULE_ORDERED_STATES</x:v>
      </x:c>
      <x:c r="D11" s="15" t="str">
        <x:v>tracker_normal_3s_gust_mps / critical_instability_3s_gust_mps</x:v>
      </x:c>
      <x:c r="E11" s="15" t="str">
        <x:v>axis_bridge</x:v>
      </x:c>
      <x:c r="F11" s="15" t="str">
        <x:v>T3_engineering_proxy_or_adjacent_empirical</x:v>
      </x:c>
      <x:c r="G11" s="15" t="str">
        <x:v>PV_TRACKER_AEROELASTIC_2024;CPP_TRACKER_INSTABILITY_2015;TRACKER_LAYOUT_AEROELASTIC_2025</x:v>
      </x:c>
      <x:c r="H11" s="15" t="str">
        <x:v>System-specific Ucrit absorbs architecture, angle and dynamic stability more honestly than design wind.</x:v>
      </x:c>
      <x:c r="I11" s="15" t="str">
        <x:v>ACTIVE_SCREENING_AXIS</x:v>
      </x:c>
      <x:c r="J11" s="15" t="str">
        <x:v>Validated tracker damage-demand metric replaces instability ratio.</x:v>
      </x:c>
    </x:row>
    <x:row r="12" ht="62" customHeight="1">
      <x:c r="A12" s="16" t="str">
        <x:v>SWS2-P008 | Tracker Ucrit provenance</x:v>
      </x:c>
      <x:c r="B12" s="16" t="str">
        <x:v>straight_line_convective</x:v>
      </x:c>
      <x:c r="C12" s="16" t="str">
        <x:v>SWS2_SLC_TRACKER_MODULE_ORDERED_STATES</x:v>
      </x:c>
      <x:c r="D12" s="16" t="str">
        <x:v>positive exact-system value plus aeroelastic_qualification_id</x:v>
      </x:c>
      <x:c r="E12" s="16" t="str">
        <x:v>axis_bridge</x:v>
      </x:c>
      <x:c r="F12" s="16" t="str">
        <x:v>T2_public_lab_standard_or_physics</x:v>
      </x:c>
      <x:c r="G12" s="16" t="str">
        <x:v>PV_TRACKER_AEROELASTIC_2024;FM_DS_7_106_2026</x:v>
      </x:c>
      <x:c r="H12" s="16" t="str">
        <x:v>Critical speed is design/tilt/layout specific.</x:v>
      </x:c>
      <x:c r="I12" s="16" t="str">
        <x:v>REQUIRED_NO_DEFAULT</x:v>
      </x:c>
      <x:c r="J12" s="16" t="str">
        <x:v>Certified standardized tracker capacity catalog.</x:v>
      </x:c>
    </x:row>
    <x:row r="13" ht="62" customHeight="1">
      <x:c r="A13" s="15" t="str">
        <x:v>SWS2-P009 | Stow action flag</x:v>
      </x:c>
      <x:c r="B13" s="15" t="str">
        <x:v>straight_line_convective</x:v>
      </x:c>
      <x:c r="C13" s="15" t="str">
        <x:v>SWS2_SLC_TRACKER_MODULE_ORDERED_STATES</x:v>
      </x:c>
      <x:c r="D13" s="15" t="str">
        <x:v>eta &gt;= 0.75</x:v>
      </x:c>
      <x:c r="E13" s="15" t="str">
        <x:v>conditioner_effect</x:v>
      </x:c>
      <x:c r="F13" s="15" t="str">
        <x:v>T2_public_lab_standard_or_physics</x:v>
      </x:c>
      <x:c r="G13" s="15" t="str">
        <x:v>FM_DS_7_106_2026</x:v>
      </x:c>
      <x:c r="H13" s="15" t="str">
        <x:v>FM action margin is preserved as metadata, not converted to damage.</x:v>
      </x:c>
      <x:c r="I13" s="15" t="str">
        <x:v>FLAG_ONLY</x:v>
      </x:c>
      <x:c r="J13" s="15" t="str">
        <x:v>FM criterion changes.</x:v>
      </x:c>
    </x:row>
    <x:row r="14" ht="62" customHeight="1">
      <x:c r="A14" s="16" t="str">
        <x:v>SWS2-P010 | Tracker stow numeric credit</x:v>
      </x:c>
      <x:c r="B14" s="16" t="str">
        <x:v>straight_line_convective</x:v>
      </x:c>
      <x:c r="C14" s="16" t="str">
        <x:v>CELL_CONDITIONER_CONTRACT</x:v>
      </x:c>
      <x:c r="D14" s="16" t="str">
        <x:v>withheld; exact attained condition belongs in Ucrit/bridge</x:v>
      </x:c>
      <x:c r="E14" s="16" t="str">
        <x:v>conditioner_effect</x:v>
      </x:c>
      <x:c r="F14" s="16" t="str">
        <x:v>T2_public_lab_standard_or_physics</x:v>
      </x:c>
      <x:c r="G14" s="16" t="str">
        <x:v>PV_TRACKER_DOWNBURST_2025;PV_TRACKER_AEROELASTIC_2024</x:v>
      </x:c>
      <x:c r="H14" s="16" t="str">
        <x:v>No universal multiplier is supported.</x:v>
      </x:c>
      <x:c r="I14" s="16" t="str">
        <x:v>WITHHELD_NO_DEFAULT</x:v>
      </x:c>
      <x:c r="J14" s="16" t="str">
        <x:v>Tracker-specific event/configuration calibration.</x:v>
      </x:c>
    </x:row>
    <x:row r="15" ht="62" customHeight="1">
      <x:c r="A15" s="15" t="str">
        <x:v>SWS2-P011 | Array zone effect</x:v>
      </x:c>
      <x:c r="B15" s="15" t="str">
        <x:v>all_shared</x:v>
      </x:c>
      <x:c r="C15" s="15" t="str">
        <x:v>CELL_CONDITIONER_CONTRACT</x:v>
      </x:c>
      <x:c r="D15" s="15" t="str">
        <x:v>metadata or resolved in qualified demand; no downstream multiplier</x:v>
      </x:c>
      <x:c r="E15" s="15" t="str">
        <x:v>conditioner_effect</x:v>
      </x:c>
      <x:c r="F15" s="15" t="str">
        <x:v>T2_public_lab_standard_or_physics</x:v>
      </x:c>
      <x:c r="G15" s="15" t="str">
        <x:v>FIXED_TILT_WIND_DESIGN_2020;TRACKER_LAYOUT_AEROELASTIC_2025</x:v>
      </x:c>
      <x:c r="H15" s="15" t="str">
        <x:v>Perimeter/interior position changes loads but double application is prohibited.</x:v>
      </x:c>
      <x:c r="I15" s="15" t="str">
        <x:v>BRIDGE_OWNED</x:v>
      </x:c>
      <x:c r="J15" s="15" t="str">
        <x:v>Qualified universal zonal modifier with non-overlap proof.</x:v>
      </x:c>
    </x:row>
    <x:row r="16" ht="62" customHeight="1">
      <x:c r="A16" s="16" t="str">
        <x:v>SWS2-P012 | Fastener/clamp condition effect</x:v>
      </x:c>
      <x:c r="B16" s="16" t="str">
        <x:v>all_shared</x:v>
      </x:c>
      <x:c r="C16" s="16" t="str">
        <x:v>CELL_CONDITIONER_CONTRACT</x:v>
      </x:c>
      <x:c r="D16" s="16" t="str">
        <x:v>metadata only; no favorable scenario selection</x:v>
      </x:c>
      <x:c r="E16" s="16" t="str">
        <x:v>conditioner_effect</x:v>
      </x:c>
      <x:c r="F16" s="16" t="str">
        <x:v>T2_public_lab_standard_or_physics</x:v>
      </x:c>
      <x:c r="G16" s="16" t="str">
        <x:v>DOE_PV_OWNER_GUIDE_2021;SOLAR_CRITICAL_JOINTS_2025</x:v>
      </x:c>
      <x:c r="H16" s="16" t="str">
        <x:v>Condition is important but uncalibrated.</x:v>
      </x:c>
      <x:c r="I16" s="16" t="str">
        <x:v>UNCALIBRATED_CONTEXT</x:v>
      </x:c>
      <x:c r="J16" s="16" t="str">
        <x:v>Field population links condition to state probabilities.</x:v>
      </x:c>
    </x:row>
    <x:row r="17" ht="62" customHeight="1">
      <x:c r="A17" s="15" t="str">
        <x:v>SWS2-P013 | Fixed valid range</x:v>
      </x:c>
      <x:c r="B17" s="15" t="str">
        <x:v>straight_line_convective</x:v>
      </x:c>
      <x:c r="C17" s="15" t="str">
        <x:v>SWS2_SLC_FIXED_MODULE_ORDERED_STATES</x:v>
      </x:c>
      <x:c r="D17" s="15" t="str">
        <x:v>0.0 to 2.0; flag &gt;1.6</x:v>
      </x:c>
      <x:c r="E17" s="15" t="str">
        <x:v>extrapolation_guard</x:v>
      </x:c>
      <x:c r="F17" s="15" t="str">
        <x:v>T4_placeholder_or_expert_judgment</x:v>
      </x:c>
      <x:c r="G17" s="15" t="str">
        <x:v>NO_DIRECT_CALIBRATION_SOURCE</x:v>
      </x:c>
      <x:c r="H17" s="15" t="str">
        <x:v>Research support is insufficient beyond the broad elicited range.</x:v>
      </x:c>
      <x:c r="I17" s="15" t="str">
        <x:v>WITHHOLD_ABOVE_MAX</x:v>
      </x:c>
      <x:c r="J17" s="15" t="str">
        <x:v>Independent engineering review extends support.</x:v>
      </x:c>
    </x:row>
    <x:row r="18" ht="62" customHeight="1">
      <x:c r="A18" s="16" t="str">
        <x:v>SWS2-P014 | Tracker valid range</x:v>
      </x:c>
      <x:c r="B18" s="16" t="str">
        <x:v>straight_line_convective</x:v>
      </x:c>
      <x:c r="C18" s="16" t="str">
        <x:v>SWS2_SLC_TRACKER_MODULE_ORDERED_STATES</x:v>
      </x:c>
      <x:c r="D18" s="16" t="str">
        <x:v>0.0 to 2.0; flag &gt;1.7</x:v>
      </x:c>
      <x:c r="E18" s="16" t="str">
        <x:v>extrapolation_guard</x:v>
      </x:c>
      <x:c r="F18" s="16" t="str">
        <x:v>T4_placeholder_or_expert_judgment</x:v>
      </x:c>
      <x:c r="G18" s="16" t="str">
        <x:v>NO_DIRECT_CALIBRATION_SOURCE</x:v>
      </x:c>
      <x:c r="H18" s="16" t="str">
        <x:v>Qualified instability ratio remains a screening axis, not a far-tail theorem.</x:v>
      </x:c>
      <x:c r="I18" s="16" t="str">
        <x:v>WITHHOLD_ABOVE_MAX</x:v>
      </x:c>
      <x:c r="J18" s="16" t="str">
        <x:v>Extreme tracker event/structural data.</x:v>
      </x:c>
    </x:row>
    <x:row r="19" ht="62" customHeight="1">
      <x:c r="A19" s="15" t="str">
        <x:v>SWS2-P015 | Hard zero boundary</x:v>
      </x:c>
      <x:c r="B19" s="15" t="str">
        <x:v>all_shared</x:v>
      </x:c>
      <x:c r="C19" s="15" t="str">
        <x:v>ALL_FOUR_CURVES</x:v>
      </x:c>
      <x:c r="D19" s="15" t="str">
        <x:v>x &lt; 0.10 returns DS0</x:v>
      </x:c>
      <x:c r="E19" s="15" t="str">
        <x:v>curve_shape</x:v>
      </x:c>
      <x:c r="F19" s="15" t="str">
        <x:v>T4_placeholder_or_expert_judgment</x:v>
      </x:c>
      <x:c r="G19" s="15" t="str">
        <x:v>NO_DIRECT_CALIBRATION_SOURCE</x:v>
      </x:c>
      <x:c r="H19" s="15" t="str">
        <x:v>Numerical stability/governance boundary only; not an evidence-based no-damage theorem.</x:v>
      </x:c>
      <x:c r="I19" s="15" t="str">
        <x:v>ACTIVE_SCREENING_ASSUMPTION</x:v>
      </x:c>
      <x:c r="J19" s="15" t="str">
        <x:v>Observed low-demand damage or formal elicitation.</x:v>
      </x:c>
    </x:row>
    <x:row r="20" ht="62" customHeight="1">
      <x:c r="A20" s="16" t="str">
        <x:v>SWS2-P016 | Module localized cost ratio</x:v>
      </x:c>
      <x:c r="B20" s="16" t="str">
        <x:v>all_shared</x:v>
      </x:c>
      <x:c r="C20" s="16" t="str">
        <x:v>SWS2_SLC_FIXED_MODULE_ORDERED_STATES|SWS2_SLC_TRACKER_MODULE_ORDERED_STATES</x:v>
      </x:c>
      <x:c r="D20" s="16" t="str">
        <x:v>0.10 of same failure-unit value</x:v>
      </x:c>
      <x:c r="E20" s="16" t="str">
        <x:v>value_mapping</x:v>
      </x:c>
      <x:c r="F20" s="16" t="str">
        <x:v>T4_placeholder_or_expert_judgment</x:v>
      </x:c>
      <x:c r="G20" s="16" t="str">
        <x:v>NO_DIRECT_CALIBRATION_SOURCE</x:v>
      </x:c>
      <x:c r="H20" s="16" t="str">
        <x:v>Transparent bounded repair proxy; prevention premiums are not used as repair cost.</x:v>
      </x:c>
      <x:c r="I20" s="16" t="str">
        <x:v>ACTIVE_SCREENING_ASSUMPTION</x:v>
      </x:c>
      <x:c r="J20" s="16" t="str">
        <x:v>Claims repair scope/cost distribution.</x:v>
      </x:c>
    </x:row>
    <x:row r="21" ht="62" customHeight="1">
      <x:c r="A21" s="15" t="str">
        <x:v>SWS2-P017 | Structure localized cost ratio</x:v>
      </x:c>
      <x:c r="B21" s="15" t="str">
        <x:v>all_shared</x:v>
      </x:c>
      <x:c r="C21" s="15" t="str">
        <x:v>SWS2_SLC_FIXED_STRUCTURE_ORDERED_STATES|SWS2_SLC_TRACKER_SBOS_ORDERED_STATES</x:v>
      </x:c>
      <x:c r="D21" s="15" t="str">
        <x:v>0.15 of same failure-unit value</x:v>
      </x:c>
      <x:c r="E21" s="15" t="str">
        <x:v>value_mapping</x:v>
      </x:c>
      <x:c r="F21" s="15" t="str">
        <x:v>T4_placeholder_or_expert_judgment</x:v>
      </x:c>
      <x:c r="G21" s="15" t="str">
        <x:v>NO_DIRECT_CALIBRATION_SOURCE</x:v>
      </x:c>
      <x:c r="H21" s="15" t="str">
        <x:v>Transparent bounded repair proxy for local joints/rails/drive work.</x:v>
      </x:c>
      <x:c r="I21" s="15" t="str">
        <x:v>ACTIVE_SCREENING_ASSUMPTION</x:v>
      </x:c>
      <x:c r="J21" s="15" t="str">
        <x:v>Claims repair scope/cost distribution.</x:v>
      </x:c>
    </x:row>
    <x:row r="22" ht="62" customHeight="1">
      <x:c r="A22" s="16" t="str">
        <x:v>SWS2-P018 | Fixed module beta_ln</x:v>
      </x:c>
      <x:c r="B22" s="16" t="str">
        <x:v>straight_line_convective</x:v>
      </x:c>
      <x:c r="C22" s="16" t="str">
        <x:v>SWS2_SLC_FIXED_MODULE_ORDERED_STATES</x:v>
      </x:c>
      <x:c r="D22" s="16" t="str">
        <x:v>0.30</x:v>
      </x:c>
      <x:c r="E22" s="16" t="str">
        <x:v>curve_shape</x:v>
      </x:c>
      <x:c r="F22" s="16" t="str">
        <x:v>T4_placeholder_or_expert_judgment</x:v>
      </x:c>
      <x:c r="G22" s="16" t="str">
        <x:v>NO_DIRECT_CALIBRATION_SOURCE</x:v>
      </x:c>
      <x:c r="H22" s="16" t="str">
        <x:v>Sensitivity-only smoothing within a broad unweighted envelope.</x:v>
      </x:c>
      <x:c r="I22" s="16" t="str">
        <x:v>ACTIVE_SCREENING_ASSUMPTION</x:v>
      </x:c>
      <x:c r="J22" s="16" t="str">
        <x:v>Population fragility or formal elicitation.</x:v>
      </x:c>
    </x:row>
    <x:row r="23" ht="62" customHeight="1">
      <x:c r="A23" s="15" t="str">
        <x:v>SWS2-P019 | Fixed module lower medians</x:v>
      </x:c>
      <x:c r="B23" s="15" t="str">
        <x:v>straight_line_convective</x:v>
      </x:c>
      <x:c r="C23" s="15" t="str">
        <x:v>SWS2_SLC_FIXED_MODULE_ORDERED_STATES</x:v>
      </x:c>
      <x:c r="D23" s="15" t="str">
        <x:v>[0.65, 1.20]</x:v>
      </x:c>
      <x:c r="E23" s="15" t="str">
        <x:v>curve_shape</x:v>
      </x:c>
      <x:c r="F23" s="15" t="str">
        <x:v>T4_placeholder_or_expert_judgment</x:v>
      </x:c>
      <x:c r="G23" s="15" t="str">
        <x:v>DOE_PV_OWNER_GUIDE_2021;NO_DIRECT_CALIBRATION_SOURCE</x:v>
      </x:c>
      <x:c r="H23" s="15" t="str">
        <x:v>Allows latent joint weakness below design and major replacement beyond design.</x:v>
      </x:c>
      <x:c r="I23" s="15" t="str">
        <x:v>ACTIVE_SCREENING_ASSUMPTION</x:v>
      </x:c>
      <x:c r="J23" s="15" t="str">
        <x:v>Matched fixed-tilt event data.</x:v>
      </x:c>
    </x:row>
    <x:row r="24" ht="62" customHeight="1">
      <x:c r="A24" s="16" t="str">
        <x:v>SWS2-P020 | Fixed module central medians</x:v>
      </x:c>
      <x:c r="B24" s="16" t="str">
        <x:v>straight_line_convective</x:v>
      </x:c>
      <x:c r="C24" s="16" t="str">
        <x:v>SWS2_SLC_FIXED_MODULE_ORDERED_STATES</x:v>
      </x:c>
      <x:c r="D24" s="16" t="str">
        <x:v>[0.85, 1.55]</x:v>
      </x:c>
      <x:c r="E24" s="16" t="str">
        <x:v>curve_shape</x:v>
      </x:c>
      <x:c r="F24" s="16" t="str">
        <x:v>T4_placeholder_or_expert_judgment</x:v>
      </x:c>
      <x:c r="G24" s="16" t="str">
        <x:v>ASCE_7_22;NO_DIRECT_CALIBRATION_SOURCE</x:v>
      </x:c>
      <x:c r="H24" s="16" t="str">
        <x:v>Centers a screening scenario around design demand without treating code as failure capacity.</x:v>
      </x:c>
      <x:c r="I24" s="16" t="str">
        <x:v>ACTIVE_SCREENING_ASSUMPTION</x:v>
      </x:c>
      <x:c r="J24" s="16" t="str">
        <x:v>Matched fixed-tilt event data.</x:v>
      </x:c>
    </x:row>
    <x:row r="25" ht="62" customHeight="1">
      <x:c r="A25" s="15" t="str">
        <x:v>SWS2-P021 | Fixed module upper medians</x:v>
      </x:c>
      <x:c r="B25" s="15" t="str">
        <x:v>straight_line_convective</x:v>
      </x:c>
      <x:c r="C25" s="15" t="str">
        <x:v>SWS2_SLC_FIXED_MODULE_ORDERED_STATES</x:v>
      </x:c>
      <x:c r="D25" s="15" t="str">
        <x:v>[1.05, 1.95]</x:v>
      </x:c>
      <x:c r="E25" s="15" t="str">
        <x:v>curve_shape</x:v>
      </x:c>
      <x:c r="F25" s="15" t="str">
        <x:v>T4_placeholder_or_expert_judgment</x:v>
      </x:c>
      <x:c r="G25" s="15" t="str">
        <x:v>DOE_FEMP_STORM_HARDENING_2020;NO_DIRECT_CALIBRATION_SOURCE</x:v>
      </x:c>
      <x:c r="H25" s="15" t="str">
        <x:v>Represents stronger qualified systems; hardening costs do not calibrate the values.</x:v>
      </x:c>
      <x:c r="I25" s="15" t="str">
        <x:v>ACTIVE_SCREENING_ASSUMPTION</x:v>
      </x:c>
      <x:c r="J25" s="15" t="str">
        <x:v>Matched hardened-system data.</x:v>
      </x:c>
    </x:row>
    <x:row r="26" ht="62" customHeight="1">
      <x:c r="A26" s="16" t="str">
        <x:v>SWS2-P022 | Fixed structure beta_ln</x:v>
      </x:c>
      <x:c r="B26" s="16" t="str">
        <x:v>straight_line_convective</x:v>
      </x:c>
      <x:c r="C26" s="16" t="str">
        <x:v>SWS2_SLC_FIXED_STRUCTURE_ORDERED_STATES</x:v>
      </x:c>
      <x:c r="D26" s="16" t="str">
        <x:v>0.30</x:v>
      </x:c>
      <x:c r="E26" s="16" t="str">
        <x:v>curve_shape</x:v>
      </x:c>
      <x:c r="F26" s="16" t="str">
        <x:v>T4_placeholder_or_expert_judgment</x:v>
      </x:c>
      <x:c r="G26" s="16" t="str">
        <x:v>NO_DIRECT_CALIBRATION_SOURCE</x:v>
      </x:c>
      <x:c r="H26" s="16" t="str">
        <x:v>Sensitivity-only smoothing.</x:v>
      </x:c>
      <x:c r="I26" s="16" t="str">
        <x:v>ACTIVE_SCREENING_ASSUMPTION</x:v>
      </x:c>
      <x:c r="J26" s="16" t="str">
        <x:v>Population fragility or formal elicitation.</x:v>
      </x:c>
    </x:row>
    <x:row r="27" ht="62" customHeight="1">
      <x:c r="A27" s="15" t="str">
        <x:v>SWS2-P023 | Fixed structure medians by scenario</x:v>
      </x:c>
      <x:c r="B27" s="15" t="str">
        <x:v>straight_line_convective</x:v>
      </x:c>
      <x:c r="C27" s="15" t="str">
        <x:v>SWS2_SLC_FIXED_STRUCTURE_ORDERED_STATES</x:v>
      </x:c>
      <x:c r="D27" s="15" t="str">
        <x:v>lower [0.90,1.20,1.50]; central [1.15,1.55,1.90]; upper [1.45,1.95,2.35]</x:v>
      </x:c>
      <x:c r="E27" s="15" t="str">
        <x:v>curve_shape</x:v>
      </x:c>
      <x:c r="F27" s="15" t="str">
        <x:v>T4_placeholder_or_expert_judgment</x:v>
      </x:c>
      <x:c r="G27" s="15" t="str">
        <x:v>DOE_PV_OWNER_GUIDE_2021;ASCE_7_22;NO_DIRECT_CALIBRATION_SOURCE</x:v>
      </x:c>
      <x:c r="H27" s="15" t="str">
        <x:v>Separates local repair, structure replacement with module salvage, and destructive-collapse/non-salvage states.</x:v>
      </x:c>
      <x:c r="I27" s="15" t="str">
        <x:v>ACTIVE_SCREENING_ASSUMPTION</x:v>
      </x:c>
      <x:c r="J27" s="15" t="str">
        <x:v>Matched structural/module disposition and salvage data.</x:v>
      </x:c>
    </x:row>
    <x:row r="28" ht="62" customHeight="1">
      <x:c r="A28" s="16" t="str">
        <x:v>SWS2-P024 | Tracker module beta_ln</x:v>
      </x:c>
      <x:c r="B28" s="16" t="str">
        <x:v>straight_line_convective</x:v>
      </x:c>
      <x:c r="C28" s="16" t="str">
        <x:v>SWS2_SLC_TRACKER_MODULE_ORDERED_STATES</x:v>
      </x:c>
      <x:c r="D28" s="16" t="str">
        <x:v>0.275</x:v>
      </x:c>
      <x:c r="E28" s="16" t="str">
        <x:v>curve_shape</x:v>
      </x:c>
      <x:c r="F28" s="16" t="str">
        <x:v>T4_placeholder_or_expert_judgment</x:v>
      </x:c>
      <x:c r="G28" s="16" t="str">
        <x:v>NO_DIRECT_CALIBRATION_SOURCE</x:v>
      </x:c>
      <x:c r="H28" s="16" t="str">
        <x:v>Within the science-review sensitivity range; no statistical interpretation.</x:v>
      </x:c>
      <x:c r="I28" s="16" t="str">
        <x:v>ACTIVE_SCREENING_ASSUMPTION</x:v>
      </x:c>
      <x:c r="J28" s="16" t="str">
        <x:v>Population tracker fragility or formal elicitation.</x:v>
      </x:c>
    </x:row>
    <x:row r="29" ht="62" customHeight="1">
      <x:c r="A29" s="15" t="str">
        <x:v>SWS2-P025 | Tracker module medians by scenario</x:v>
      </x:c>
      <x:c r="B29" s="15" t="str">
        <x:v>straight_line_convective</x:v>
      </x:c>
      <x:c r="C29" s="15" t="str">
        <x:v>SWS2_SLC_TRACKER_MODULE_ORDERED_STATES</x:v>
      </x:c>
      <x:c r="D29" s="15" t="str">
        <x:v>lower [0.80,1.15]; central [0.95,1.40]; upper [1.10,1.70]</x:v>
      </x:c>
      <x:c r="E29" s="15" t="str">
        <x:v>curve_shape</x:v>
      </x:c>
      <x:c r="F29" s="15" t="str">
        <x:v>T4_placeholder_or_expert_judgment</x:v>
      </x:c>
      <x:c r="G29" s="15" t="str">
        <x:v>IEA_PVPS_EXTREME_WEATHER_2025;PV_TRACKER_AEROELASTIC_2024;NO_DIRECT_CALIBRATION_SOURCE</x:v>
      </x:c>
      <x:c r="H29" s="15" t="str">
        <x:v>Broad Ucrit-normalized module-retention scenarios constrained but not fitted by field cases.</x:v>
      </x:c>
      <x:c r="I29" s="15" t="str">
        <x:v>ACTIVE_SCREENING_ASSUMPTION</x:v>
      </x:c>
      <x:c r="J29" s="15" t="str">
        <x:v>Qualified event/configuration/disposition dataset.</x:v>
      </x:c>
    </x:row>
    <x:row r="30" ht="62" customHeight="1">
      <x:c r="A30" s="16" t="str">
        <x:v>SWS2-P026 | Tracker structure beta_ln</x:v>
      </x:c>
      <x:c r="B30" s="16" t="str">
        <x:v>straight_line_convective</x:v>
      </x:c>
      <x:c r="C30" s="16" t="str">
        <x:v>SWS2_SLC_TRACKER_SBOS_ORDERED_STATES</x:v>
      </x:c>
      <x:c r="D30" s="16" t="str">
        <x:v>0.275</x:v>
      </x:c>
      <x:c r="E30" s="16" t="str">
        <x:v>curve_shape</x:v>
      </x:c>
      <x:c r="F30" s="16" t="str">
        <x:v>T4_placeholder_or_expert_judgment</x:v>
      </x:c>
      <x:c r="G30" s="16" t="str">
        <x:v>NO_DIRECT_CALIBRATION_SOURCE</x:v>
      </x:c>
      <x:c r="H30" s="16" t="str">
        <x:v>Sensitivity-only smoothing; no population beta claim.</x:v>
      </x:c>
      <x:c r="I30" s="16" t="str">
        <x:v>ACTIVE_SCREENING_ASSUMPTION</x:v>
      </x:c>
      <x:c r="J30" s="16" t="str">
        <x:v>Population tracker fragility or formal elicitation.</x:v>
      </x:c>
    </x:row>
    <x:row r="31" ht="62" customHeight="1">
      <x:c r="A31" s="15" t="str">
        <x:v>SWS2-P027 | Tracker structure medians by scenario</x:v>
      </x:c>
      <x:c r="B31" s="15" t="str">
        <x:v>straight_line_convective</x:v>
      </x:c>
      <x:c r="C31" s="15" t="str">
        <x:v>SWS2_SLC_TRACKER_SBOS_ORDERED_STATES</x:v>
      </x:c>
      <x:c r="D31" s="15" t="str">
        <x:v>lower [0.95,1.15,1.35]; central [1.15,1.40,1.65]; upper [1.35,1.70,2.00]</x:v>
      </x:c>
      <x:c r="E31" s="15" t="str">
        <x:v>curve_shape</x:v>
      </x:c>
      <x:c r="F31" s="15" t="str">
        <x:v>T4_placeholder_or_expert_judgment</x:v>
      </x:c>
      <x:c r="G31" s="15" t="str">
        <x:v>IEA_PVPS_EXTREME_WEATHER_2025;PV_TRACKER_DOWNBURST_2025;PV_TRACKER_AEROELASTIC_2024;NO_DIRECT_CALIBRATION_SOURCE</x:v>
      </x:c>
      <x:c r="H31" s="15" t="str">
        <x:v>Broad Ucrit-normalized local repair, structure-replacement and destructive-collapse states; evidence supplies mechanism not probability.</x:v>
      </x:c>
      <x:c r="I31" s="15" t="str">
        <x:v>ACTIVE_SCREENING_ASSUMPTION</x:v>
      </x:c>
      <x:c r="J31" s="15" t="str">
        <x:v>Qualified event/configuration/disposition/salvage dataset.</x:v>
      </x:c>
    </x:row>
    <x:row r="32" ht="62" customHeight="1">
      <x:c r="A32" s="16" t="str">
        <x:v>SWS2-P028 | Module salvage / destructive-collapse cascade</x:v>
      </x:c>
      <x:c r="B32" s="16" t="str">
        <x:v>all_shared</x:v>
      </x:c>
      <x:c r="C32" s="16" t="str">
        <x:v>LOSS_ASSEMBLY_CONTRACT</x:v>
      </x:c>
      <x:c r="D32" s="16" t="str">
        <x:v>central: DS3 destructive collapse makes modules nonsalvageable; bounds: full salvage to no salvage on any structure replacement</x:v>
      </x:c>
      <x:c r="E32" s="16" t="str">
        <x:v>dependency_rule</x:v>
      </x:c>
      <x:c r="F32" s="16" t="str">
        <x:v>T4_placeholder_or_expert_judgment</x:v>
      </x:c>
      <x:c r="G32" s="16" t="str">
        <x:v>DOE_PV_OWNER_GUIDE_2021;VALENTIN_TRACKER_FAILURE_2022;SOLAR_CRITICAL_JOINTS_2025;NO_DIRECT_CALIBRATION_SOURCE</x:v>
      </x:c>
      <x:c r="H32" s="16" t="str">
        <x:v>Observed cases support possible cascade, not universal non-salvage; explicit bounds expose the T4 assumption.</x:v>
      </x:c>
      <x:c r="I32" s="16" t="str">
        <x:v>ACTIVE_SCREENING_WITH_BOUNDS</x:v>
      </x:c>
      <x:c r="J32" s="16" t="str">
        <x:v>Claims-level joint-state and salvage evidence.</x:v>
      </x:c>
    </x:row>
    <x:row r="33" ht="62" customHeight="1">
      <x:c r="A33" s="15" t="str">
        <x:v>SWS2-P029 | Conditional module/structure dependence</x:v>
      </x:c>
      <x:c r="B33" s="15" t="str">
        <x:v>all_shared</x:v>
      </x:c>
      <x:c r="C33" s="15" t="str">
        <x:v>LOSS_ASSEMBLY_CONTRACT</x:v>
      </x:c>
      <x:c r="D33" s="15" t="str">
        <x:v>module curve applied conditional on no DS3 under a flagged T4 assumption</x:v>
      </x:c>
      <x:c r="E33" s="15" t="str">
        <x:v>dependency_rule</x:v>
      </x:c>
      <x:c r="F33" s="15" t="str">
        <x:v>T4_placeholder_or_expert_judgment</x:v>
      </x:c>
      <x:c r="G33" s="15" t="str">
        <x:v>NO_DIRECT_CALIBRATION_SOURCE</x:v>
      </x:c>
      <x:c r="H33" s="15" t="str">
        <x:v>No joint population supports correlation or conditional probabilities.</x:v>
      </x:c>
      <x:c r="I33" s="15" t="str">
        <x:v>LIMITATION_FLAG_AND_BOUNDS</x:v>
      </x:c>
      <x:c r="J33" s="15" t="str">
        <x:v>Matched joint module/structure state data.</x:v>
      </x:c>
    </x:row>
    <x:row r="34" ht="62" customHeight="1">
      <x:c r="A34" s="16" t="str">
        <x:v>SWS2-P030 | Module reference value</x:v>
      </x:c>
      <x:c r="B34" s="16" t="str">
        <x:v>all_shared</x:v>
      </x:c>
      <x:c r="C34" s="16" t="str">
        <x:v>VALUE_LINKAGE</x:v>
      </x:c>
      <x:c r="D34" s="16" t="str">
        <x:v>291.21485143992487 2024 USD/kWdc; informational, explicit site value required</x:v>
      </x:c>
      <x:c r="E34" s="16" t="str">
        <x:v>value_mapping</x:v>
      </x:c>
      <x:c r="F34" s="16" t="str">
        <x:v>T2_public_lab_standard_or_physics</x:v>
      </x:c>
      <x:c r="G34" s="16" t="str">
        <x:v>NREL_NLR_Q1_2025_PV_BENCHMARK;VALUE_SOLAR_WORKBOOK</x:v>
      </x:c>
      <x:c r="H34" s="16" t="str">
        <x:v>Row-complete repository reference; not an implicit default.</x:v>
      </x:c>
      <x:c r="I34" s="16" t="str">
        <x:v>REFERENCE_ONLY</x:v>
      </x:c>
      <x:c r="J34" s="16" t="str">
        <x:v>Benchmark vintage or site BOM changes.</x:v>
      </x:c>
    </x:row>
    <x:row r="35" ht="62" customHeight="1">
      <x:c r="A35" s="15" t="str">
        <x:v>SWS2-P031 | Mounting reference value</x:v>
      </x:c>
      <x:c r="B35" s="15" t="str">
        <x:v>all_shared</x:v>
      </x:c>
      <x:c r="C35" s="15" t="str">
        <x:v>VALUE_LINKAGE</x:v>
      </x:c>
      <x:c r="D35" s="15" t="str">
        <x:v>109.98972602739727 2024 USD/kWdc; tracker/fixed transfer limited</x:v>
      </x:c>
      <x:c r="E35" s="15" t="str">
        <x:v>value_mapping</x:v>
      </x:c>
      <x:c r="F35" s="15" t="str">
        <x:v>T2_public_lab_standard_or_physics</x:v>
      </x:c>
      <x:c r="G35" s="15" t="str">
        <x:v>NREL_NLR_Q1_2025_PV_BENCHMARK;VALUE_SOLAR_WORKBOOK</x:v>
      </x:c>
      <x:c r="H35" s="15" t="str">
        <x:v>Repository reference row cannot support a finer structural split.</x:v>
      </x:c>
      <x:c r="I35" s="15" t="str">
        <x:v>REFERENCE_ONLY</x:v>
      </x:c>
      <x:c r="J35" s="15" t="str">
        <x:v>Architecture-specific current BOM benchmark.</x:v>
      </x:c>
    </x:row>
    <x:row r="36" ht="62" customHeight="1">
      <x:c r="A36" s="16" t="str">
        <x:v>SWS2-P032 | Fixed structural value</x:v>
      </x:c>
      <x:c r="B36" s="16" t="str">
        <x:v>straight_line_convective</x:v>
      </x:c>
      <x:c r="C36" s="16" t="str">
        <x:v>VALUE_LINKAGE</x:v>
      </x:c>
      <x:c r="D36" s="16" t="str">
        <x:v>explicit site value required; 90–120 2020 USD/kWdc range sensitivity only</x:v>
      </x:c>
      <x:c r="E36" s="16" t="str">
        <x:v>value_mapping</x:v>
      </x:c>
      <x:c r="F36" s="16" t="str">
        <x:v>T2_public_lab_standard_or_physics</x:v>
      </x:c>
      <x:c r="G36" s="16" t="str">
        <x:v>NREL_Q1_2021_COST_BENCHMARK</x:v>
      </x:c>
      <x:c r="H36" s="16" t="str">
        <x:v>Older combined-architecture range is inadequate for a point default.</x:v>
      </x:c>
      <x:c r="I36" s="16" t="str">
        <x:v>NO_IMPLICIT_DEFAULT</x:v>
      </x:c>
      <x:c r="J36" s="16" t="str">
        <x:v>Current fixed-tilt BOM benchmark.</x:v>
      </x:c>
    </x:row>
    <x:row r="37" ht="62" customHeight="1">
      <x:c r="A37" s="15" t="str">
        <x:v>SWS2-P033 | Tracker sensitivity values</x:v>
      </x:c>
      <x:c r="B37" s="15" t="str">
        <x:v>straight_line_convective</x:v>
      </x:c>
      <x:c r="C37" s="15" t="str">
        <x:v>VALUE_LINKAGE</x:v>
      </x:c>
      <x:c r="D37" s="15" t="str">
        <x:v>336 module + 140 SBOS 2023 USD/kWdc; do not blend</x:v>
      </x:c>
      <x:c r="E37" s="15" t="str">
        <x:v>value_mapping</x:v>
      </x:c>
      <x:c r="F37" s="15" t="str">
        <x:v>T2_public_lab_standard_or_physics</x:v>
      </x:c>
      <x:c r="G37" s="15" t="str">
        <x:v>NREL_Q1_2024_MMP_TRACKER</x:v>
      </x:c>
      <x:c r="H37" s="15" t="str">
        <x:v>Source-native tracker MMP cross-check with a different vintage.</x:v>
      </x:c>
      <x:c r="I37" s="15" t="str">
        <x:v>SENSITIVITY_ONLY</x:v>
      </x:c>
      <x:c r="J37" s="15" t="str">
        <x:v>New source-native tracker benchmark.</x:v>
      </x:c>
    </x:row>
    <x:row r="38" ht="62" customHeight="1">
      <x:c r="A38" s="16" t="str">
        <x:v>SWS2-P034 | Replacement support</x:v>
      </x:c>
      <x:c r="B38" s="16" t="str">
        <x:v>all_shared</x:v>
      </x:c>
      <x:c r="C38" s="16" t="str">
        <x:v>VALUE_LINKAGE</x:v>
      </x:c>
      <x:c r="D38" s="16" t="str">
        <x:v>189.59050092005714 2024 USD/kWdc reference pool; allocate once</x:v>
      </x:c>
      <x:c r="E38" s="16" t="str">
        <x:v>value_mapping</x:v>
      </x:c>
      <x:c r="F38" s="16" t="str">
        <x:v>T2_public_lab_standard_or_physics</x:v>
      </x:c>
      <x:c r="G38" s="16" t="str">
        <x:v>VALUE_SOLAR_WORKBOOK</x:v>
      </x:c>
      <x:c r="H38" s="16" t="str">
        <x:v>Support follows repair scope and is not vulnerable hardware.</x:v>
      </x:c>
      <x:c r="I38" s="16" t="str">
        <x:v>ALLOCATION_RULE_OPEN</x:v>
      </x:c>
      <x:c r="J38" s="16" t="str">
        <x:v>Claims-based allocation function.</x:v>
      </x:c>
    </x:row>
    <x:row r="39" ht="62" customHeight="1">
      <x:c r="A39" s="15" t="str">
        <x:v>SWS2-P035 | Tracker qualification-basis match</x:v>
      </x:c>
      <x:c r="B39" s="15" t="str">
        <x:v>straight_line_convective</x:v>
      </x:c>
      <x:c r="C39" s="15" t="str">
        <x:v>SWS2_SLC_TRACKER_MODULE_ORDERED_STATES|SWS2_SLC_TRACKER_SBOS_ORDERED_STATES</x:v>
      </x:c>
      <x:c r="D39" s="15" t="str">
        <x:v>3 s + array-height tracker-normal + profile + 1P/2P + layout + position + angle + zone + drive/lock exact match</x:v>
      </x:c>
      <x:c r="E39" s="15" t="str">
        <x:v>axis_bridge</x:v>
      </x:c>
      <x:c r="F39" s="15" t="str">
        <x:v>T3_engineering_proxy_or_adjacent_empirical</x:v>
      </x:c>
      <x:c r="G39" s="15" t="str">
        <x:v>PV_TRACKER_AEROELASTIC_2024;TRACKER_LAYOUT_AEROELASTIC_2025;FM_DS_7_106_2026</x:v>
      </x:c>
      <x:c r="H39" s="15" t="str">
        <x:v>Ucrit and FM action margin are valid only for the matched system/state/speed definition.</x:v>
      </x:c>
      <x:c r="I39" s="15" t="str">
        <x:v>REQUIRED_FAIL_CLOSED</x:v>
      </x:c>
      <x:c r="J39" s="15" t="str">
        <x:v>Certified structured tracker qualification catalog.</x:v>
      </x:c>
    </x:row>
    <x:row r="40" ht="62" customHeight="1">
      <x:c r="A40" s="16" t="str">
        <x:v>SWS2-P036 | Colocated exposure object</x:v>
      </x:c>
      <x:c r="B40" s="16" t="str">
        <x:v>all_shared</x:v>
      </x:c>
      <x:c r="C40" s="16" t="str">
        <x:v>LOSS_ASSEMBLY_CONTRACT</x:v>
      </x:c>
      <x:c r="D40" s="16" t="str">
        <x:v>event_id + parent_convective_event_id + array_zone_id_or_group + colocated_common_array_zone + exposed_fraction</x:v>
      </x:c>
      <x:c r="E40" s="16" t="str">
        <x:v>exposure_or_value</x:v>
      </x:c>
      <x:c r="F40" s="16" t="str">
        <x:v>T4_placeholder_or_expert_judgment</x:v>
      </x:c>
      <x:c r="G40" s="16" t="str">
        <x:v>DERECHO_MULTISCALE_2025;NO_DIRECT_CALIBRATION_SOURCE</x:v>
      </x:c>
      <x:c r="H40" s="16" t="str">
        <x:v>Identifiers prevent event/zone double count; one fraction is valid only for explicitly colocated module/structure footprints.</x:v>
      </x:c>
      <x:c r="I40" s="16" t="str">
        <x:v>REQUIRED_FOR_LOSS_NO_DEFAULT</x:v>
      </x:c>
      <x:c r="J40" s="16" t="str">
        <x:v>Per-unit exposure objects supersede common-zone helper.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60" hidden="0" customWidth="1"/>
    <x:col min="11" max="11" width="60" hidden="0" customWidth="1"/>
  </x:cols>
  <x:sheetData>
    <x:row r="1" ht="28" customHeight="1">
      <x:c r="A1" s="47" t="str">
        <x:v>Legacy v1 versus proposed v2 audit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</x:row>
    <x:row r="2" ht="32" customHeight="1">
      <x:c r="A2" s="48" t="str">
        <x:v>Different axes, units, values and dependency rules: numerical equality is not a regression target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</x:row>
    <x:row r="4" ht="28" customHeight="1">
      <x:c r="A4" s="52" t="str">
        <x:v>case_id</x:v>
      </x:c>
      <x:c r="B4" s="52" t="str">
        <x:v>illustrative_gust_mph</x:v>
      </x:c>
      <x:c r="C4" s="52" t="str">
        <x:v>illustrative_design_gust_mph</x:v>
      </x:c>
      <x:c r="D4" s="52" t="str">
        <x:v>current_v1_effective_demand</x:v>
      </x:c>
      <x:c r="E4" s="52" t="str">
        <x:v>current_v1_default_loss_usd_100_mwdc</x:v>
      </x:c>
      <x:c r="F4" s="52" t="str">
        <x:v>proposed_v2_fixed_pressure_index</x:v>
      </x:c>
      <x:c r="G4" s="52" t="str">
        <x:v>proposed_v2_lower_loss_usd_100_mwdc</x:v>
      </x:c>
      <x:c r="H4" s="52" t="str">
        <x:v>proposed_v2_central_loss_usd_100_mwdc</x:v>
      </x:c>
      <x:c r="I4" s="52" t="str">
        <x:v>proposed_v2_upper_loss_usd_100_mwdc</x:v>
      </x:c>
      <x:c r="J4" s="52" t="str">
        <x:v>comparison_status</x:v>
      </x:c>
      <x:c r="K4" s="52" t="str">
        <x:v>guardrail</x:v>
      </x:c>
    </x:row>
    <x:row r="5" ht="30" customHeight="1">
      <x:c r="A5" s="15" t="str">
        <x:v>AUDIT_100</x:v>
      </x:c>
      <x:c r="B5" s="21" t="str">
        <x:v>100</x:v>
      </x:c>
      <x:c r="C5" s="21" t="str">
        <x:v>120</x:v>
      </x:c>
      <x:c r="D5" s="21" t="str">
        <x:v>0.728732638888889</x:v>
      </x:c>
      <x:c r="E5" s="21" t="str">
        <x:v>938229.7861309352</x:v>
      </x:c>
      <x:c r="F5" s="21" t="str">
        <x:v>0.6944444444444445</x:v>
      </x:c>
      <x:c r="G5" s="21" t="str">
        <x:v>3379550.7793642418</x:v>
      </x:c>
      <x:c r="H5" s="21" t="str">
        <x:v>948757.1821398379</x:v>
      </x:c>
      <x:c r="I5" s="21" t="str">
        <x:v>267500.27905569173</x:v>
      </x:c>
      <x:c r="J5" s="15" t="str">
        <x:v>different_models_and_denominators</x:v>
      </x:c>
      <x:c r="K5" s="15" t="str">
        <x:v>V1 uses its defective default stow routing, zone 1.15 and five shares; v2 uses fixed-tilt array reference rows and the central T4 DS3 non-salvage rule. Not a regression target.</x:v>
      </x:c>
    </x:row>
    <x:row r="6" ht="30" customHeight="1">
      <x:c r="A6" s="16" t="str">
        <x:v>AUDIT_120</x:v>
      </x:c>
      <x:c r="B6" s="22" t="str">
        <x:v>120</x:v>
      </x:c>
      <x:c r="C6" s="22" t="str">
        <x:v>120</x:v>
      </x:c>
      <x:c r="D6" s="22" t="str">
        <x:v>1.049375</x:v>
      </x:c>
      <x:c r="E6" s="22" t="str">
        <x:v>14167049.099062802</x:v>
      </x:c>
      <x:c r="F6" s="22" t="str">
        <x:v>1.0</x:v>
      </x:c>
      <x:c r="G6" s="22" t="str">
        <x:v>15108385.188678259</x:v>
      </x:c>
      <x:c r="H6" s="22" t="str">
        <x:v>5554020.373892352</x:v>
      </x:c>
      <x:c r="I6" s="22" t="str">
        <x:v>1968648.4823629744</x:v>
      </x:c>
      <x:c r="J6" s="16" t="str">
        <x:v>different_models_and_denominators</x:v>
      </x:c>
      <x:c r="K6" s="16" t="str">
        <x:v>Illustrative event/design demand ratio only; a real v2 call requires a qualified convective pressure bridge. Salvage bounds are reported separately by the helper.</x:v>
      </x:c>
    </x:row>
    <x:row r="7" ht="30" customHeight="1">
      <x:c r="A7" s="15" t="str">
        <x:v>AUDIT_140</x:v>
      </x:c>
      <x:c r="B7" s="21" t="str">
        <x:v>140</x:v>
      </x:c>
      <x:c r="C7" s="21" t="str">
        <x:v>120</x:v>
      </x:c>
      <x:c r="D7" s="21" t="str">
        <x:v>1.4283159722222225</x:v>
      </x:c>
      <x:c r="E7" s="21" t="str">
        <x:v>32945630.993683267</x:v>
      </x:c>
      <x:c r="F7" s="21" t="str">
        <x:v>1.3611111111111114</x:v>
      </x:c>
      <x:c r="G7" s="21" t="str">
        <x:v>31273944.338243395</x:v>
      </x:c>
      <x:c r="H7" s="21" t="str">
        <x:v>18091105.377158877</x:v>
      </x:c>
      <x:c r="I7" s="21" t="str">
        <x:v>7954134.798822228</x:v>
      </x:c>
      <x:c r="J7" s="15" t="str">
        <x:v>different_models_and_denominators</x:v>
      </x:c>
      <x:c r="K7" s="15" t="str">
        <x:v>Resistance scenarios are unweighted and not confidence intervals; module-salvage bounds are an additional T4 dimension.</x:v>
      </x:c>
    </x:row>
    <x:row r="8" ht="30" customHeight="1">
      <x:c r="A8" s="16" t="str">
        <x:v>AUDIT_160</x:v>
      </x:c>
      <x:c r="B8" s="22" t="str">
        <x:v>160</x:v>
      </x:c>
      <x:c r="C8" s="22" t="str">
        <x:v>120</x:v>
      </x:c>
      <x:c r="D8" s="22" t="str">
        <x:v>1.8655555555555554</x:v>
      </x:c>
      <x:c r="E8" s="22" t="str">
        <x:v>35685658.959134795</x:v>
      </x:c>
      <x:c r="F8" s="22" t="str">
        <x:v>1.7777777777777777</x:v>
      </x:c>
      <x:c r="G8" s="22" t="str">
        <x:v>38500451.041043974</x:v>
      </x:c>
      <x:c r="H8" s="22" t="str">
        <x:v>31972286.428077072</x:v>
      </x:c>
      <x:c r="I8" s="22" t="str">
        <x:v>20399288.98319297</x:v>
      </x:c>
      <x:c r="J8" s="16" t="str">
        <x:v>different_models_and_denominators</x:v>
      </x:c>
      <x:c r="K8" s="16" t="str">
        <x:v>V2 covers module+mounting only; withheld units remain incomplete.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6" hidden="0" customWidth="1"/>
    <x:col min="3" max="3" width="26" hidden="0" customWidth="1"/>
    <x:col min="4" max="4" width="14" hidden="0" customWidth="1"/>
    <x:col min="5" max="5" width="58" hidden="0" customWidth="1"/>
  </x:cols>
  <x:sheetData>
    <x:row r="1" ht="28" customHeight="1">
      <x:c r="A1" s="47" t="str">
        <x:v>Formula-driven quality checks</x:v>
      </x:c>
      <x:c r="B1" s="47"/>
      <x:c r="C1" s="47"/>
      <x:c r="D1" s="47"/>
      <x:c r="E1" s="47"/>
      <x:c r="F1" s="47"/>
      <x:c r="G1" s="47"/>
      <x:c r="H1" s="47"/>
    </x:row>
    <x:row r="2" ht="32" customHeight="1">
      <x:c r="A2" s="48" t="str">
        <x:v>All release-critical checks must be PASS; promotion remains blocked for scientific/consumer gates</x:v>
      </x:c>
      <x:c r="B2" s="48"/>
      <x:c r="C2" s="48"/>
      <x:c r="D2" s="48"/>
      <x:c r="E2" s="48"/>
      <x:c r="F2" s="48"/>
      <x:c r="G2" s="48"/>
      <x:c r="H2" s="48"/>
    </x:row>
    <x:row r="3">
      <x:c r="A3" s="49"/>
      <x:c r="B3" s="49"/>
      <x:c r="C3" s="49"/>
      <x:c r="D3" s="49"/>
      <x:c r="E3" s="49"/>
      <x:c r="F3" s="49"/>
      <x:c r="G3" s="49"/>
      <x:c r="H3" s="49"/>
    </x:row>
    <x:row r="4" ht="28" customHeight="1">
      <x:c r="A4" s="52" t="str">
        <x:v>Check</x:v>
      </x:c>
      <x:c r="B4" s="52" t="str">
        <x:v>Formula / value</x:v>
      </x:c>
      <x:c r="C4" s="52" t="str">
        <x:v>Expected</x:v>
      </x:c>
      <x:c r="D4" s="52" t="str">
        <x:v>Result</x:v>
      </x:c>
      <x:c r="E4" s="52" t="str">
        <x:v>Meaning</x:v>
      </x:c>
      <x:c r="F4" s="49"/>
      <x:c r="G4" s="49"/>
      <x:c r="H4" s="49"/>
    </x:row>
    <x:row r="5" ht="30" customHeight="1">
      <x:c r="A5" s="15" t="str">
        <x:v>Curve rows</x:v>
      </x:c>
      <x:c r="B5" s="42" t="n">
        <x:f>ROWS(Curve_Records!A5:A16)</x:f>
        <x:v>12</x:v>
      </x:c>
      <x:c r="C5" s="42" t="n">
        <x:v>12</x:v>
      </x:c>
      <x:c r="D5" s="15" t="str">
        <x:f>IF(ABS(B5-C5)&lt;0.0000000001,"PASS","FAIL")</x:f>
        <x:v>PASS</x:v>
      </x:c>
      <x:c r="E5" s="15" t="str">
        <x:v>4 records × 3 scenarios</x:v>
      </x:c>
      <x:c r="F5" s="49"/>
      <x:c r="G5" s="49"/>
      <x:c r="H5" s="49"/>
    </x:row>
    <x:row r="6" ht="30" customHeight="1">
      <x:c r="A6" s="16" t="str">
        <x:v>Source rows</x:v>
      </x:c>
      <x:c r="B6" s="43" t="n">
        <x:f>29</x:f>
        <x:v>29</x:v>
      </x:c>
      <x:c r="C6" s="43" t="n">
        <x:v>29</x:v>
      </x:c>
      <x:c r="D6" s="16" t="str">
        <x:f>IF(ABS(B6-C6)&lt;0.0000000001,"PASS","FAIL")</x:f>
        <x:v>PASS</x:v>
      </x:c>
      <x:c r="E6" s="16" t="str">
        <x:v>Bounded evidence register</x:v>
      </x:c>
      <x:c r="F6" s="49"/>
      <x:c r="G6" s="49"/>
      <x:c r="H6" s="49"/>
    </x:row>
    <x:row r="7" ht="30" customHeight="1">
      <x:c r="A7" s="15" t="str">
        <x:v>Claim rows</x:v>
      </x:c>
      <x:c r="B7" s="42" t="n">
        <x:f>31</x:f>
        <x:v>31</x:v>
      </x:c>
      <x:c r="C7" s="42" t="n">
        <x:v>31</x:v>
      </x:c>
      <x:c r="D7" s="15" t="str">
        <x:f>IF(ABS(B7-C7)&lt;0.0000000001,"PASS","FAIL")</x:f>
        <x:v>PASS</x:v>
      </x:c>
      <x:c r="E7" s="15" t="str">
        <x:v>Claim provenance coverage</x:v>
      </x:c>
      <x:c r="F7" s="49"/>
      <x:c r="G7" s="49"/>
      <x:c r="H7" s="49"/>
    </x:row>
    <x:row r="8" ht="30" customHeight="1">
      <x:c r="A8" s="16" t="str">
        <x:v>Parameter rows</x:v>
      </x:c>
      <x:c r="B8" s="43" t="n">
        <x:f>36</x:f>
        <x:v>36</x:v>
      </x:c>
      <x:c r="C8" s="43" t="n">
        <x:v>36</x:v>
      </x:c>
      <x:c r="D8" s="16" t="str">
        <x:f>IF(ABS(B8-C8)&lt;0.0000000001,"PASS","FAIL")</x:f>
        <x:v>PASS</x:v>
      </x:c>
      <x:c r="E8" s="16" t="str">
        <x:v>Parameter tier coverage</x:v>
      </x:c>
      <x:c r="F8" s="49"/>
      <x:c r="G8" s="49"/>
      <x:c r="H8" s="49"/>
    </x:row>
    <x:row r="9" ht="30" customHeight="1">
      <x:c r="A9" s="15" t="str">
        <x:v>Runtime KAT count</x:v>
      </x:c>
      <x:c r="B9" s="42" t="n">
        <x:f>6</x:f>
        <x:v>6</x:v>
      </x:c>
      <x:c r="C9" s="42" t="n">
        <x:v>6</x:v>
      </x:c>
      <x:c r="D9" s="15" t="str">
        <x:f>IF(ABS(B9-C9)&lt;0.0000000001,"PASS","FAIL")</x:f>
        <x:v>PASS</x:v>
      </x:c>
      <x:c r="E9" s="15" t="str">
        <x:v>Equation and withholding tests</x:v>
      </x:c>
      <x:c r="F9" s="49"/>
      <x:c r="G9" s="49"/>
      <x:c r="H9" s="49"/>
    </x:row>
    <x:row r="10" ht="30" customHeight="1">
      <x:c r="A10" s="16" t="str">
        <x:v>Rejection count</x:v>
      </x:c>
      <x:c r="B10" s="43" t="n">
        <x:f>16</x:f>
        <x:v>16</x:v>
      </x:c>
      <x:c r="C10" s="43" t="n">
        <x:v>16</x:v>
      </x:c>
      <x:c r="D10" s="16" t="str">
        <x:f>IF(ABS(B10-C10)&lt;0.0000000001,"PASS","FAIL")</x:f>
        <x:v>PASS</x:v>
      </x:c>
      <x:c r="E10" s="16" t="str">
        <x:v>Fail-closed contract</x:v>
      </x:c>
      <x:c r="F10" s="49"/>
      <x:c r="G10" s="49"/>
      <x:c r="H10" s="49"/>
    </x:row>
    <x:row r="11" ht="30" customHeight="1">
      <x:c r="A11" s="15" t="str">
        <x:v>Loss rejection KAT count</x:v>
      </x:c>
      <x:c r="B11" s="42" t="n">
        <x:f>4</x:f>
        <x:v>4</x:v>
      </x:c>
      <x:c r="C11" s="42" t="n">
        <x:v>4</x:v>
      </x:c>
      <x:c r="D11" s="15" t="str">
        <x:f>IF(ABS(B11-C11)&lt;0.0000000001,"PASS","FAIL")</x:f>
        <x:v>PASS</x:v>
      </x:c>
      <x:c r="E11" s="15" t="str">
        <x:v>Atomic value/exposure contract</x:v>
      </x:c>
      <x:c r="F11" s="49"/>
      <x:c r="G11" s="49"/>
      <x:c r="H11" s="49"/>
    </x:row>
    <x:row r="12" ht="30" customHeight="1">
      <x:c r="A12" s="16" t="str">
        <x:v>Consumer pin KAT count</x:v>
      </x:c>
      <x:c r="B12" s="43" t="n">
        <x:f>4</x:f>
        <x:v>4</x:v>
      </x:c>
      <x:c r="C12" s="43" t="n">
        <x:v>4</x:v>
      </x:c>
      <x:c r="D12" s="16" t="str">
        <x:f>IF(ABS(B12-C12)&lt;0.0000000001,"PASS","FAIL")</x:f>
        <x:v>PASS</x:v>
      </x:c>
      <x:c r="E12" s="16" t="str">
        <x:v>Exact model/docs/schema/SHA binding</x:v>
      </x:c>
      <x:c r="F12" s="49"/>
      <x:c r="G12" s="49"/>
      <x:c r="H12" s="49"/>
    </x:row>
    <x:row r="13" ht="30" customHeight="1">
      <x:c r="A13" s="15" t="str">
        <x:v>Primary direct hardware</x:v>
      </x:c>
      <x:c r="B13" s="42" t="n">
        <x:f>656.9814571503722</x:f>
        <x:v>656.9814571503722</x:v>
      </x:c>
      <x:c r="C13" s="42" t="n">
        <x:v>656.9814571503722</x:v>
      </x:c>
      <x:c r="D13" s="15" t="str">
        <x:f>IF(ABS(B13-C13)&lt;0.0000000001,"PASS","FAIL")</x:f>
        <x:v>PASS</x:v>
      </x:c>
      <x:c r="E13" s="15" t="str">
        <x:v>2024 USD/kWdc</x:v>
      </x:c>
      <x:c r="F13" s="49"/>
      <x:c r="G13" s="49"/>
      <x:c r="H13" s="49"/>
    </x:row>
    <x:row r="14" ht="30" customHeight="1">
      <x:c r="A14" s="16" t="str">
        <x:v>Primary support</x:v>
      </x:c>
      <x:c r="B14" s="43" t="n">
        <x:f>189.59050092005714</x:f>
        <x:v>189.59050092005714</x:v>
      </x:c>
      <x:c r="C14" s="43" t="n">
        <x:v>189.59050092005714</x:v>
      </x:c>
      <x:c r="D14" s="16" t="str">
        <x:f>IF(ABS(B14-C14)&lt;0.0000000001,"PASS","FAIL")</x:f>
        <x:v>PASS</x:v>
      </x:c>
      <x:c r="E14" s="16" t="str">
        <x:v>Allocated once</x:v>
      </x:c>
      <x:c r="F14" s="49"/>
      <x:c r="G14" s="49"/>
      <x:c r="H14" s="49"/>
    </x:row>
    <x:row r="15" ht="30" customHeight="1">
      <x:c r="A15" s="15" t="str">
        <x:v>Primary physical</x:v>
      </x:c>
      <x:c r="B15" s="42" t="n">
        <x:f>877.7957023626668</x:f>
        <x:v>877.7957023626668</x:v>
      </x:c>
      <x:c r="C15" s="42" t="n">
        <x:v>877.7957023626668</x:v>
      </x:c>
      <x:c r="D15" s="15" t="str">
        <x:f>IF(ABS(B15-C15)&lt;0.0000000001,"PASS","FAIL")</x:f>
        <x:v>PASS</x:v>
      </x:c>
      <x:c r="E15" s="15" t="str">
        <x:v>Direct + support + civil</x:v>
      </x:c>
      <x:c r="F15" s="49"/>
      <x:c r="G15" s="49"/>
      <x:c r="H15" s="49"/>
    </x:row>
    <x:row r="16" ht="30" customHeight="1">
      <x:c r="A16" s="16" t="str">
        <x:v>Installed</x:v>
      </x:c>
      <x:c r="B16" s="43" t="n">
        <x:f>1120</x:f>
        <x:v>1120</x:v>
      </x:c>
      <x:c r="C16" s="43" t="n">
        <x:v>1120</x:v>
      </x:c>
      <x:c r="D16" s="16" t="str">
        <x:f>IF(ABS(B16-C16)&lt;0.0000000001,"PASS","FAIL")</x:f>
        <x:v>PASS</x:v>
      </x:c>
      <x:c r="E16" s="16" t="str">
        <x:v>Physical + excluded</x:v>
      </x:c>
      <x:c r="F16" s="49"/>
      <x:c r="G16" s="49"/>
      <x:c r="H16" s="49"/>
    </x:row>
    <x:row r="17" ht="30" customHeight="1">
      <x:c r="A17" s="15" t="str">
        <x:v>Fixed x=1 central module DR</x:v>
      </x:c>
      <x:c r="B17" s="42" t="n">
        <x:f>Curve_Records!U6</x:f>
        <x:v>0.13542526918149927</x:v>
      </x:c>
      <x:c r="C17" s="42" t="n">
        <x:v>0.13542526918149927</x:v>
      </x:c>
      <x:c r="D17" s="15" t="str">
        <x:f>IF(ABS(B17-C17)&lt;0.0000000001,"PASS","FAIL")</x:f>
        <x:v>PASS</x:v>
      </x:c>
      <x:c r="E17" s="15" t="str">
        <x:v>Independent equation KAT</x:v>
      </x:c>
      <x:c r="F17" s="49"/>
      <x:c r="G17" s="49"/>
      <x:c r="H17" s="49"/>
    </x:row>
    <x:row r="18" ht="30" customHeight="1">
      <x:c r="A18" s="16" t="str">
        <x:v>Tracker eta=1 central structure DR</x:v>
      </x:c>
      <x:c r="B18" s="43" t="n">
        <x:f>Curve_Records!U15</x:f>
        <x:v>0.1398263585783975</x:v>
      </x:c>
      <x:c r="C18" s="43" t="n">
        <x:v>0.13982635857839754</x:v>
      </x:c>
      <x:c r="D18" s="16" t="str">
        <x:f>IF(ABS(B18-C18)&lt;0.0000000001,"PASS","FAIL")</x:f>
        <x:v>PASS</x:v>
      </x:c>
      <x:c r="E18" s="16" t="str">
        <x:v>Independent equation KAT</x:v>
      </x:c>
      <x:c r="F18" s="49"/>
      <x:c r="G18" s="49"/>
      <x:c r="H18" s="49"/>
    </x:row>
  </x:sheetData>
  <x:mergeCells>
    <x:mergeCell ref="A1:H1"/>
    <x:mergeCell ref="A2:H2"/>
  </x:mergeCells>
  <x:conditionalFormatting sqref="D5:D18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22" hidden="0" customWidth="1"/>
    <x:col min="4" max="4" width="34" hidden="0" customWidth="1"/>
    <x:col min="5" max="5" width="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8" customHeight="1">
      <x:c r="A1" s="47" t="str">
        <x:v>Convective wind × utility solar — proposal dashboard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</x:row>
    <x:row r="2" ht="32" customHeight="1">
      <x:c r="A2" s="48" t="str">
        <x:v>Screening model only · choose architecture-specific qualified demand · no hurricane/tornado fallback</x:v>
      </x:c>
      <x:c r="B2" s="48"/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</x:row>
    <x:row r="4">
      <x:c r="A4" s="52" t="str">
        <x:v>Model</x:v>
      </x:c>
      <x:c r="B4" s="52" t="str">
        <x:v>Pathway</x:v>
      </x:c>
      <x:c r="C4" s="52" t="str">
        <x:v>Lifecycle</x:v>
      </x:c>
      <x:c r="D4" s="52" t="str">
        <x:v>Promotion</x:v>
      </x:c>
      <x:c r="E4" s="49"/>
      <x:c r="F4" s="49"/>
      <x:c r="G4" s="49"/>
      <x:c r="H4" s="49"/>
      <x:c r="I4" s="49"/>
      <x:c r="J4" s="49"/>
      <x:c r="K4" s="49"/>
      <x:c r="L4" s="49"/>
      <x:c r="M4" s="49"/>
      <x:c r="N4" s="49"/>
      <x:c r="O4" s="49"/>
      <x:c r="P4" s="49"/>
    </x:row>
    <x:row r="5">
      <x:c r="A5" s="53" t="str">
        <x:v>model v2.0 / docs r1</x:v>
      </x:c>
      <x:c r="B5" s="53" t="str">
        <x:v>straight_line_convective</x:v>
      </x:c>
      <x:c r="C5" s="53" t="str">
        <x:v>proposed noncanonical</x:v>
      </x:c>
      <x:c r="D5" s="53" t="str">
        <x:v>BLOCKED</x:v>
      </x:c>
      <x:c r="E5" s="49"/>
      <x:c r="F5" s="49"/>
      <x:c r="G5" s="49"/>
      <x:c r="H5" s="49"/>
      <x:c r="I5" s="49"/>
      <x:c r="J5" s="49"/>
      <x:c r="K5" s="49"/>
      <x:c r="L5" s="49"/>
      <x:c r="M5" s="49"/>
      <x:c r="N5" s="49"/>
      <x:c r="O5" s="49"/>
      <x:c r="P5" s="49"/>
    </x:row>
    <x:row r="6">
      <x:c r="A6" s="49"/>
      <x:c r="B6" s="49"/>
      <x:c r="C6" s="49"/>
      <x:c r="D6" s="49"/>
      <x:c r="E6" s="49"/>
      <x:c r="F6" s="49"/>
      <x:c r="G6" s="49"/>
      <x:c r="H6" s="49"/>
      <x:c r="I6" s="49"/>
      <x:c r="J6" s="49"/>
      <x:c r="K6" s="49"/>
      <x:c r="L6" s="49"/>
      <x:c r="M6" s="49"/>
      <x:c r="N6" s="49"/>
      <x:c r="O6" s="49"/>
      <x:c r="P6" s="49"/>
    </x:row>
    <x:row r="7" ht="28" customHeight="1">
      <x:c r="A7" s="52" t="str">
        <x:v>Architecture</x:v>
      </x:c>
      <x:c r="B7" s="52" t="str">
        <x:v>Preferred axis</x:v>
      </x:c>
      <x:c r="C7" s="52" t="str">
        <x:v>Numeric units</x:v>
      </x:c>
      <x:c r="D7" s="52" t="str">
        <x:v>Critical qualification</x:v>
      </x:c>
      <x:c r="E7" s="49"/>
      <x:c r="F7" s="49"/>
      <x:c r="G7" s="49"/>
      <x:c r="H7" s="49"/>
      <x:c r="I7" s="49"/>
      <x:c r="J7" s="49"/>
      <x:c r="K7" s="49"/>
      <x:c r="L7" s="49"/>
      <x:c r="M7" s="49"/>
      <x:c r="N7" s="49"/>
      <x:c r="O7" s="49"/>
      <x:c r="P7" s="49"/>
    </x:row>
    <x:row r="8" ht="30" customHeight="1">
      <x:c r="A8" s="15" t="str">
        <x:v>Rigid fixed tilt</x:v>
      </x:c>
      <x:c r="B8" s="15" t="str">
        <x:v>event/design net-pressure demand</x:v>
      </x:c>
      <x:c r="C8" s="15" t="str">
        <x:v>module + support structure</x:v>
      </x:c>
      <x:c r="D8" s="15" t="str">
        <x:v>named transient aerodynamic bridge; T4 capacity medians</x:v>
      </x:c>
      <x:c r="E8" s="49"/>
      <x:c r="F8" s="49"/>
      <x:c r="G8" s="49"/>
      <x:c r="H8" s="49"/>
      <x:c r="I8" s="49"/>
      <x:c r="J8" s="49"/>
      <x:c r="K8" s="49"/>
      <x:c r="L8" s="49"/>
      <x:c r="M8" s="49"/>
      <x:c r="N8" s="49"/>
      <x:c r="O8" s="49"/>
      <x:c r="P8" s="49"/>
    </x:row>
    <x:row r="9" ht="30" customHeight="1">
      <x:c r="A9" s="16" t="str">
        <x:v>Qualified single-axis tracker</x:v>
      </x:c>
      <x:c r="B9" s="16" t="str">
        <x:v>tracker-normal gust / exact-system Ucrit</x:v>
      </x:c>
      <x:c r="C9" s="16" t="str">
        <x:v>module + tracker SBOS</x:v>
      </x:c>
      <x:c r="D9" s="16" t="str">
        <x:v>1P/2P + exact test/model + angle/state</x:v>
      </x:c>
      <x:c r="E9" s="49"/>
      <x:c r="F9" s="49"/>
      <x:c r="G9" s="49"/>
      <x:c r="H9" s="49"/>
      <x:c r="I9" s="49"/>
      <x:c r="J9" s="49"/>
      <x:c r="K9" s="49"/>
      <x:c r="L9" s="49"/>
      <x:c r="M9" s="49"/>
      <x:c r="N9" s="49"/>
      <x:c r="O9" s="49"/>
      <x:c r="P9" s="49"/>
    </x:row>
    <x:row r="10">
      <x:c r="A10" s="49"/>
      <x:c r="B10" s="49"/>
      <x:c r="C10" s="49"/>
      <x:c r="D10" s="49"/>
      <x:c r="E10" s="49"/>
      <x:c r="F10" s="49"/>
      <x:c r="G10" s="49"/>
      <x:c r="H10" s="49"/>
      <x:c r="I10" s="49"/>
      <x:c r="J10" s="49"/>
      <x:c r="K10" s="49"/>
      <x:c r="L10" s="49"/>
      <x:c r="M10" s="49"/>
      <x:c r="N10" s="49"/>
      <x:c r="O10" s="49"/>
      <x:c r="P10" s="49"/>
    </x:row>
    <x:row r="11">
      <x:c r="A11" s="49"/>
      <x:c r="B11" s="49"/>
      <x:c r="C11" s="49"/>
      <x:c r="D11" s="49"/>
      <x:c r="E11" s="49"/>
      <x:c r="F11" s="49"/>
      <x:c r="G11" s="49"/>
      <x:c r="H11" s="49"/>
      <x:c r="I11" s="49"/>
      <x:c r="J11" s="49"/>
      <x:c r="K11" s="49"/>
      <x:c r="L11" s="49"/>
      <x:c r="M11" s="49"/>
      <x:c r="N11" s="49"/>
      <x:c r="O11" s="49"/>
      <x:c r="P11" s="49"/>
    </x:row>
    <x:row r="12" ht="28" customHeight="1">
      <x:c r="A12" s="50" t="str">
        <x:v>Key fixed x=1 result</x:v>
      </x:c>
      <x:c r="B12" s="50" t="str">
        <x:v>Lower</x:v>
      </x:c>
      <x:c r="C12" s="50" t="str">
        <x:v>Central</x:v>
      </x:c>
      <x:c r="D12" s="50" t="str">
        <x:v>Upper</x:v>
      </x:c>
      <x:c r="E12" s="49"/>
      <x:c r="F12" s="49"/>
      <x:c r="G12" s="49"/>
      <x:c r="H12" s="49"/>
      <x:c r="I12" s="49"/>
      <x:c r="J12" s="49"/>
      <x:c r="K12" s="49"/>
      <x:c r="L12" s="49"/>
      <x:c r="M12" s="49"/>
      <x:c r="N12" s="49"/>
      <x:c r="O12" s="49"/>
      <x:c r="P12" s="49"/>
    </x:row>
    <x:row r="13" ht="30" customHeight="1">
      <x:c r="A13" s="15" t="str">
        <x:v>Module DR</x:v>
      </x:c>
      <x:c r="B13" s="21" t="n">
        <x:f>Curve_Records!U5</x:f>
        <x:v>0.33696148176796425</x:v>
      </x:c>
      <x:c r="C13" s="21" t="n">
        <x:f>Curve_Records!U6</x:f>
        <x:v>0.13542526918149927</x:v>
      </x:c>
      <x:c r="D13" s="21" t="n">
        <x:f>Curve_Records!U7</x:f>
        <x:v>0.05524376626749505</x:v>
      </x:c>
      <x:c r="E13" s="49"/>
      <x:c r="F13" s="49"/>
      <x:c r="G13" s="49"/>
      <x:c r="H13" s="49"/>
      <x:c r="I13" s="49"/>
      <x:c r="J13" s="49"/>
      <x:c r="K13" s="49"/>
      <x:c r="L13" s="49"/>
      <x:c r="M13" s="49"/>
      <x:c r="N13" s="49"/>
      <x:c r="O13" s="49"/>
      <x:c r="P13" s="49"/>
    </x:row>
    <x:row r="14" ht="30" customHeight="1">
      <x:c r="A14" s="16" t="str">
        <x:v>Structure DR</x:v>
      </x:c>
      <x:c r="B14" s="22" t="n">
        <x:f>Curve_Records!U8</x:f>
        <x:v>0.32652060979545183</x:v>
      </x:c>
      <x:c r="C14" s="22" t="n">
        <x:f>Curve_Records!U9</x:f>
        <x:v>0.10932205947512846</x:v>
      </x:c>
      <x:c r="D14" s="22" t="n">
        <x:f>Curve_Records!U10</x:f>
        <x:v>0.02721678851657102</x:v>
      </x:c>
      <x:c r="E14" s="49"/>
      <x:c r="F14" s="49"/>
      <x:c r="G14" s="49"/>
      <x:c r="H14" s="49"/>
      <x:c r="I14" s="49"/>
      <x:c r="J14" s="49"/>
      <x:c r="K14" s="49"/>
      <x:c r="L14" s="49"/>
      <x:c r="M14" s="49"/>
      <x:c r="N14" s="49"/>
      <x:c r="O14" s="49"/>
      <x:c r="P14" s="49"/>
    </x:row>
    <x:row r="15" ht="30" customHeight="1">
      <x:c r="A15" s="15" t="str">
        <x:v>Reference 25%-exposed central-T4 direct array loss</x:v>
      </x:c>
      <x:c r="B15" s="21" t="n">
        <x:v>37.770962971695646</x:v>
      </x:c>
      <x:c r="C15" s="21" t="n">
        <x:v>13.88505093473088</x:v>
      </x:c>
      <x:c r="D15" s="21" t="n">
        <x:v>4.921621205907436</x:v>
      </x:c>
      <x:c r="E15" s="49"/>
      <x:c r="F15" s="49"/>
      <x:c r="G15" s="49"/>
      <x:c r="H15" s="49"/>
      <x:c r="I15" s="49"/>
      <x:c r="J15" s="49"/>
      <x:c r="K15" s="49"/>
      <x:c r="L15" s="49"/>
      <x:c r="M15" s="49"/>
      <x:c r="N15" s="49"/>
      <x:c r="O15" s="49"/>
      <x:c r="P15" s="49"/>
    </x:row>
    <x:row r="16">
      <x:c r="A16" s="49"/>
      <x:c r="B16" s="49"/>
      <x:c r="C16" s="49"/>
      <x:c r="D16" s="49"/>
      <x:c r="E16" s="49"/>
      <x:c r="F16" s="49"/>
      <x:c r="G16" s="49"/>
      <x:c r="H16" s="49"/>
      <x:c r="I16" s="49"/>
      <x:c r="J16" s="49"/>
      <x:c r="K16" s="49"/>
      <x:c r="L16" s="49"/>
      <x:c r="M16" s="49"/>
      <x:c r="N16" s="49"/>
      <x:c r="O16" s="49"/>
      <x:c r="P16" s="49"/>
    </x:row>
    <x:row r="17">
      <x:c r="A17" s="49"/>
      <x:c r="B17" s="49"/>
      <x:c r="C17" s="49"/>
      <x:c r="D17" s="49"/>
      <x:c r="E17" s="49"/>
      <x:c r="F17" s="49"/>
      <x:c r="G17" s="49"/>
      <x:c r="H17" s="49"/>
      <x:c r="I17" s="49"/>
      <x:c r="J17" s="49"/>
      <x:c r="K17" s="49"/>
      <x:c r="L17" s="49"/>
      <x:c r="M17" s="49"/>
      <x:c r="N17" s="49"/>
      <x:c r="O17" s="49"/>
      <x:c r="P17" s="49"/>
    </x:row>
    <x:row r="18" ht="40" customHeight="1">
      <x:c r="A18" s="54" t="str">
        <x:v>Value boundary: module + mounting reference = 401.204577 USD/kWdc = 45.705917% of physical = 35.821837% of installed. These are labeled contributions, never intrinsic DR caps.</x:v>
      </x:c>
      <x:c r="B18" s="54"/>
      <x:c r="C18" s="54"/>
      <x:c r="D18" s="54"/>
      <x:c r="E18" s="54"/>
      <x:c r="F18" s="54"/>
      <x:c r="G18" s="54"/>
      <x:c r="H18" s="54"/>
      <x:c r="I18" s="54"/>
      <x:c r="J18" s="54"/>
      <x:c r="K18" s="54"/>
      <x:c r="L18" s="54"/>
      <x:c r="M18" s="54"/>
      <x:c r="N18" s="54"/>
      <x:c r="O18" s="54"/>
      <x:c r="P18" s="54"/>
    </x:row>
  </x:sheetData>
  <x:mergeCells>
    <x:mergeCell ref="A1:P1"/>
    <x:mergeCell ref="A2:P2"/>
    <x:mergeCell ref="A18:P18"/>
  </x:mergeCells>
  <x:pageMargins left="0.7" right="0.7" top="0.75" bottom="0.75" header="0.3" footer="0.3"/>
  <x:drawing xmlns:r="http://schemas.openxmlformats.org/officeDocument/2006/relationships" r:id="R7773cb47ee094817"/>
</x:worksheet>
</file>