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40bff7d797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ae57cb21be74b5e"/>
    <x:sheet xmlns:r="http://schemas.openxmlformats.org/officeDocument/2006/relationships" name="Dashboard" sheetId="2" r:id="R9c6bec39b2b94dca"/>
    <x:sheet xmlns:r="http://schemas.openxmlformats.org/officeDocument/2006/relationships" name="StrongWind_Coverage" sheetId="3" r:id="Ra91c5bdaf6d0495a"/>
    <x:sheet xmlns:r="http://schemas.openxmlformats.org/officeDocument/2006/relationships" name="X_Axis_Decision" sheetId="4" r:id="R48a9a1b098a3449b"/>
    <x:sheet xmlns:r="http://schemas.openxmlformats.org/officeDocument/2006/relationships" name="Curve_Records" sheetId="5" r:id="R329fc63efbd74adf"/>
    <x:sheet xmlns:r="http://schemas.openxmlformats.org/officeDocument/2006/relationships" name="Evidence_Params" sheetId="6" r:id="Rb3a85178687442aa"/>
    <x:sheet xmlns:r="http://schemas.openxmlformats.org/officeDocument/2006/relationships" name="Base_Curve_Fit" sheetId="7" r:id="Rdfb4f4fa022947eb"/>
    <x:sheet xmlns:r="http://schemas.openxmlformats.org/officeDocument/2006/relationships" name="Adjustment_Rules" sheetId="8" r:id="Rcbb52b5024cf437f"/>
    <x:sheet xmlns:r="http://schemas.openxmlformats.org/officeDocument/2006/relationships" name="Variant_Catalog" sheetId="9" r:id="R7208d944c87b4ba7"/>
    <x:sheet xmlns:r="http://schemas.openxmlformats.org/officeDocument/2006/relationships" name="Assumption_Register" sheetId="10" r:id="R9c346519e48845db"/>
    <x:sheet xmlns:r="http://schemas.openxmlformats.org/officeDocument/2006/relationships" name="Value_Link" sheetId="11" r:id="R47f218d43afd46ff"/>
    <x:sheet xmlns:r="http://schemas.openxmlformats.org/officeDocument/2006/relationships" name="Curve_Data" sheetId="12" r:id="Rd8f59e0bab3341ac"/>
    <x:sheet xmlns:r="http://schemas.openxmlformats.org/officeDocument/2006/relationships" name="Site_Applied_Loss" sheetId="13" r:id="R67985a6db6634061"/>
    <x:sheet xmlns:r="http://schemas.openxmlformats.org/officeDocument/2006/relationships" name="Damage_Code_Interface" sheetId="14" r:id="R9ad777021a5b4330"/>
    <x:sheet xmlns:r="http://schemas.openxmlformats.org/officeDocument/2006/relationships" name="QA_Checks" sheetId="15" r:id="R29f67cd9eaef4fc1"/>
    <x:sheet xmlns:r="http://schemas.openxmlformats.org/officeDocument/2006/relationships" name="Sources" sheetId="16" r:id="Rccf8ac04c92448ba"/>
    <x:sheet xmlns:r="http://schemas.openxmlformats.org/officeDocument/2006/relationships" name="Lists" sheetId="17" r:id="Ra86616b93ee2409e"/>
    <x:sheet xmlns:r="http://schemas.openxmlformats.org/officeDocument/2006/relationships" name="Plot_Data" sheetId="18" r:id="R4d52e615435342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"/>
    <x:numFmt numFmtId="201" formatCode="0"/>
    <x:numFmt numFmtId="202" formatCode="0.00"/>
    <x:numFmt numFmtId="203" formatCode="0.0%"/>
    <x:numFmt numFmtId="204" formatCode="0.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0B1F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e00987da94463" /><Relationship Type="http://schemas.openxmlformats.org/officeDocument/2006/relationships/theme" Target="/xl/theme/theme1.xml" Id="Rd9ec6e4b2bc64267" /><Relationship Type="http://schemas.openxmlformats.org/officeDocument/2006/relationships/sharedStrings" Target="/xl/sharedStrings.xml" Id="R0f03c9cb98504c4e" /><Relationship Type="http://schemas.openxmlformats.org/officeDocument/2006/relationships/worksheet" Target="/xl/worksheets/sheet1.xml" Id="Rcae57cb21be74b5e" /><Relationship Type="http://schemas.openxmlformats.org/officeDocument/2006/relationships/worksheet" Target="/xl/worksheets/sheet2.xml" Id="R9c6bec39b2b94dca" /><Relationship Type="http://schemas.openxmlformats.org/officeDocument/2006/relationships/worksheet" Target="/xl/worksheets/sheet3.xml" Id="Ra91c5bdaf6d0495a" /><Relationship Type="http://schemas.openxmlformats.org/officeDocument/2006/relationships/worksheet" Target="/xl/worksheets/sheet4.xml" Id="R48a9a1b098a3449b" /><Relationship Type="http://schemas.openxmlformats.org/officeDocument/2006/relationships/worksheet" Target="/xl/worksheets/sheet5.xml" Id="R329fc63efbd74adf" /><Relationship Type="http://schemas.openxmlformats.org/officeDocument/2006/relationships/worksheet" Target="/xl/worksheets/sheet6.xml" Id="Rb3a85178687442aa" /><Relationship Type="http://schemas.openxmlformats.org/officeDocument/2006/relationships/worksheet" Target="/xl/worksheets/sheet7.xml" Id="Rdfb4f4fa022947eb" /><Relationship Type="http://schemas.openxmlformats.org/officeDocument/2006/relationships/worksheet" Target="/xl/worksheets/sheet8.xml" Id="Rcbb52b5024cf437f" /><Relationship Type="http://schemas.openxmlformats.org/officeDocument/2006/relationships/worksheet" Target="/xl/worksheets/sheet9.xml" Id="R7208d944c87b4ba7" /><Relationship Type="http://schemas.openxmlformats.org/officeDocument/2006/relationships/worksheet" Target="/xl/worksheets/sheet10.xml" Id="R9c346519e48845db" /><Relationship Type="http://schemas.openxmlformats.org/officeDocument/2006/relationships/worksheet" Target="/xl/worksheets/sheet11.xml" Id="R47f218d43afd46ff" /><Relationship Type="http://schemas.openxmlformats.org/officeDocument/2006/relationships/worksheet" Target="/xl/worksheets/sheet12.xml" Id="Rd8f59e0bab3341ac" /><Relationship Type="http://schemas.openxmlformats.org/officeDocument/2006/relationships/worksheet" Target="/xl/worksheets/sheet13.xml" Id="R67985a6db6634061" /><Relationship Type="http://schemas.openxmlformats.org/officeDocument/2006/relationships/worksheet" Target="/xl/worksheets/sheet14.xml" Id="R9ad777021a5b4330" /><Relationship Type="http://schemas.openxmlformats.org/officeDocument/2006/relationships/worksheet" Target="/xl/worksheets/sheet15.xml" Id="R29f67cd9eaef4fc1" /><Relationship Type="http://schemas.openxmlformats.org/officeDocument/2006/relationships/worksheet" Target="/xl/worksheets/sheet16.xml" Id="Rccf8ac04c92448ba" /><Relationship Type="http://schemas.openxmlformats.org/officeDocument/2006/relationships/worksheet" Target="/xl/worksheets/sheet17.xml" Id="Ra86616b93ee2409e" /><Relationship Type="http://schemas.openxmlformats.org/officeDocument/2006/relationships/worksheet" Target="/xl/worksheets/sheet18.xml" Id="R4d52e615435342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d04099e8c8449d" /><Relationship Type="http://schemas.openxmlformats.org/officeDocument/2006/relationships/chart" Target="/xl/drawings/charts/chart2.xml" Id="R87fa5521dc7042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Strong wind → failure-unit DR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Tracker_DR</c:v>
          </c:tx>
          <c:cat>
            <c:strRef>
              <c:f>'Plot_Data'!$A$2:$A$26</c:f>
              <c:strCache>
                <c:ptCount val="0"/>
              </c:strCache>
            </c:strRef>
          </c:cat>
          <c:val>
            <c:numRef>
              <c:f>'Plot_Data'!$B$2:$B$26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Racking_DR</c:v>
          </c:tx>
          <c:cat>
            <c:strRef>
              <c:f>'Plot_Data'!$A$2:$A$26</c:f>
              <c:strCache>
                <c:ptCount val="0"/>
              </c:strCache>
            </c:strRef>
          </c:cat>
          <c:val>
            <c:numRef>
              <c:f>'Plot_Data'!$C$2:$C$26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ModuleAttach_DR</c:v>
          </c:tx>
          <c:cat>
            <c:strRef>
              <c:f>'Plot_Data'!$A$2:$A$26</c:f>
              <c:strCache>
                <c:ptCount val="0"/>
              </c:strCache>
            </c:strRef>
          </c:cat>
          <c:val>
            <c:numRef>
              <c:f>'Plot_Data'!$D$2:$D$26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Foundation_DR</c:v>
          </c:tx>
          <c:cat>
            <c:strRef>
              <c:f>'Plot_Data'!$A$2:$A$26</c:f>
              <c:strCache>
                <c:ptCount val="0"/>
              </c:strCache>
            </c:strRef>
          </c:cat>
          <c:val>
            <c:numRef>
              <c:f>'Plot_Data'!$E$2:$E$26</c:f>
              <c:numCache>
                <c:formatCode>0.0%</c:formatCode>
                <c:ptCount val="0"/>
              </c:numCache>
            </c:numRef>
          </c:val>
          <c:smooth val="0"/>
        </c:ser>
        <c:ser>
          <c:idx val="4"/>
          <c:order val="4"/>
          <c:tx>
            <c:v>SCADA_DR</c:v>
          </c:tx>
          <c:cat>
            <c:strRef>
              <c:f>'Plot_Data'!$A$2:$A$26</c:f>
              <c:strCache>
                <c:ptCount val="0"/>
              </c:strCache>
            </c:strRef>
          </c:cat>
          <c:val>
            <c:numRef>
              <c:f>'Plot_Data'!$F$2:$F$26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Strong wind → loss as % basis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% Physical Base</c:v>
          </c:tx>
          <c:cat>
            <c:strRef>
              <c:f>'Plot_Data'!$K$2:$K$26</c:f>
              <c:strCache>
                <c:ptCount val="0"/>
              </c:strCache>
            </c:strRef>
          </c:cat>
          <c:val>
            <c:numRef>
              <c:f>'Plot_Data'!$L$2:$L$26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% TIV</c:v>
          </c:tx>
          <c:cat>
            <c:strRef>
              <c:f>'Plot_Data'!$K$2:$K$26</c:f>
              <c:strCache>
                <c:ptCount val="0"/>
              </c:strCache>
            </c:strRef>
          </c:cat>
          <c:val>
            <c:numRef>
              <c:f>'Plot_Data'!$M$2:$M$26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d04099e8c8449d"/>
        </a:graphicData>
      </a:graphic>
    </xdr:graphicFrame>
    <xdr:clientData/>
  </xdr:twoCellAnchor>
  <xdr:twoCellAnchor>
    <xdr:from>
      <xdr:col>5</xdr:col>
      <xdr:colOff>0</xdr:colOff>
      <xdr:row>32</xdr:row>
      <xdr:rowOff>0</xdr:rowOff>
    </xdr:from>
    <xdr:to>
      <xdr:col>14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fa5521dc70427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1c440e684ee4bb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24" customHeight="1">
      <x:c r="A1" s="20" t="str">
        <x:v>Strong wind × solar PV — damage curve records v1.0</x:v>
      </x:c>
      <x:c r="B1" s="21"/>
      <x:c r="C1" s="21"/>
      <x:c r="D1" s="21"/>
      <x:c r="E1" s="21"/>
      <x:c r="F1" s="21"/>
      <x:c r="G1" s="21"/>
      <x:c r="H1" s="21"/>
    </x:row>
    <x:row r="2">
      <x:c r="A2" s="21"/>
      <x:c r="B2" s="21"/>
      <x:c r="C2" s="21"/>
      <x:c r="D2" s="21"/>
      <x:c r="E2" s="21"/>
      <x:c r="F2" s="21"/>
      <x:c r="G2" s="21"/>
      <x:c r="H2" s="21"/>
    </x:row>
    <x:row r="3">
      <x:c r="A3" s="21" t="str">
        <x:v>Status</x:v>
      </x:c>
      <x:c r="B3" s="21" t="str">
        <x:v>Derived public-source-informed v1.0. Engineering-fit curves; not claims-calibrated.</x:v>
      </x:c>
      <x:c r="C3" s="21"/>
      <x:c r="D3" s="21"/>
      <x:c r="E3" s="21"/>
      <x:c r="F3" s="21"/>
      <x:c r="G3" s="21"/>
      <x:c r="H3" s="21"/>
    </x:row>
    <x:row r="4">
      <x:c r="A4" s="21" t="str">
        <x:v>Cell ID</x:v>
      </x:c>
      <x:c r="B4" s="21" t="str">
        <x:v>STRONG_WIND_SOLAR</x:v>
      </x:c>
      <x:c r="C4" s="21"/>
      <x:c r="D4" s="21"/>
      <x:c r="E4" s="21"/>
      <x:c r="F4" s="21"/>
      <x:c r="G4" s="21"/>
      <x:c r="H4" s="21"/>
    </x:row>
    <x:row r="5">
      <x:c r="A5" s="21" t="str">
        <x:v>Primary x-axis</x:v>
      </x:c>
      <x:c r="B5" s="21" t="str">
        <x:v>3-second gust wind speed at array/tracker height; mph accepted, m/s internal; normalized to design gust via demand ratio.</x:v>
      </x:c>
      <x:c r="C5" s="21"/>
      <x:c r="D5" s="21"/>
      <x:c r="E5" s="21"/>
      <x:c r="F5" s="21"/>
      <x:c r="G5" s="21"/>
      <x:c r="H5" s="21"/>
    </x:row>
    <x:row r="6">
      <x:c r="A6" s="21" t="str">
        <x:v>Scope</x:v>
      </x:c>
      <x:c r="B6" s="21" t="str">
        <x:v>Straight-line / hurricane / derecho-style gust loading. Tornado/debris/missile pathway is deferred.</x:v>
      </x:c>
      <x:c r="C6" s="21"/>
      <x:c r="D6" s="21"/>
      <x:c r="E6" s="21"/>
      <x:c r="F6" s="21"/>
      <x:c r="G6" s="21"/>
      <x:c r="H6" s="21"/>
    </x:row>
    <x:row r="7">
      <x:c r="A7" s="21"/>
      <x:c r="B7" s="21"/>
      <x:c r="C7" s="21"/>
      <x:c r="D7" s="21"/>
      <x:c r="E7" s="21"/>
      <x:c r="F7" s="21"/>
      <x:c r="G7" s="21"/>
      <x:c r="H7" s="21"/>
    </x:row>
    <x:row r="8">
      <x:c r="A8" s="21" t="str">
        <x:v>Core formula</x:v>
      </x:c>
      <x:c r="B8" s="21" t="str">
        <x:v>DR_i(V) = IF(R_eff &lt; R0_i, 0, max_DR_i / (1 + EXP(-k_i × (R_eff - R50_i)))) ; R_eff = (V/V_design)^2 × demand multipliers</x:v>
      </x:c>
      <x:c r="C8" s="21"/>
      <x:c r="D8" s="21"/>
      <x:c r="E8" s="21"/>
      <x:c r="F8" s="21"/>
      <x:c r="G8" s="21"/>
      <x:c r="H8" s="21"/>
    </x:row>
    <x:row r="9">
      <x:c r="A9" s="21"/>
      <x:c r="B9" s="21"/>
      <x:c r="C9" s="21"/>
      <x:c r="D9" s="21"/>
      <x:c r="E9" s="21"/>
      <x:c r="F9" s="21"/>
      <x:c r="G9" s="21"/>
      <x:c r="H9" s="21"/>
    </x:row>
    <x:row r="10">
      <x:c r="A10" s="18" t="str">
        <x:v>Workbook sheet</x:v>
      </x:c>
      <x:c r="B10" s="18" t="str">
        <x:v>Purpose</x:v>
      </x:c>
      <x:c r="C10" s="21"/>
      <x:c r="D10" s="21"/>
      <x:c r="E10" s="21"/>
      <x:c r="F10" s="21"/>
      <x:c r="G10" s="21"/>
      <x:c r="H10" s="21"/>
    </x:row>
    <x:row r="11">
      <x:c r="A11" s="21" t="str">
        <x:v>Dashboard</x:v>
      </x:c>
      <x:c r="B11" s="21" t="str">
        <x:v>Editable inputs, key outputs, and charts.</x:v>
      </x:c>
      <x:c r="C11" s="21"/>
      <x:c r="D11" s="21"/>
      <x:c r="E11" s="21"/>
      <x:c r="F11" s="21"/>
      <x:c r="G11" s="21"/>
      <x:c r="H11" s="21"/>
    </x:row>
    <x:row r="12">
      <x:c r="A12" s="21" t="str">
        <x:v>StrongWind_Coverage</x:v>
      </x:c>
      <x:c r="B12" s="21" t="str">
        <x:v>Coverage role map by subsystem/component.</x:v>
      </x:c>
      <x:c r="C12" s="21"/>
      <x:c r="D12" s="21"/>
      <x:c r="E12" s="21"/>
      <x:c r="F12" s="21"/>
      <x:c r="G12" s="21"/>
      <x:c r="H12" s="21"/>
    </x:row>
    <x:row r="13">
      <x:c r="A13" s="21" t="str">
        <x:v>X_Axis_Decision</x:v>
      </x:c>
      <x:c r="B13" s="21" t="str">
        <x:v>x-axis, physics bridge, and rejected alternatives.</x:v>
      </x:c>
      <x:c r="C13" s="21"/>
      <x:c r="D13" s="21"/>
      <x:c r="E13" s="21"/>
      <x:c r="F13" s="21"/>
      <x:c r="G13" s="21"/>
      <x:c r="H13" s="21"/>
    </x:row>
    <x:row r="14">
      <x:c r="A14" s="21" t="str">
        <x:v>Curve_Records</x:v>
      </x:c>
      <x:c r="B14" s="21" t="str">
        <x:v>One row per failure-unit damage curve.</x:v>
      </x:c>
      <x:c r="C14" s="21"/>
      <x:c r="D14" s="21"/>
      <x:c r="E14" s="21"/>
      <x:c r="F14" s="21"/>
      <x:c r="G14" s="21"/>
      <x:c r="H14" s="21"/>
    </x:row>
    <x:row r="15">
      <x:c r="A15" s="21" t="str">
        <x:v>Evidence_Params</x:v>
      </x:c>
      <x:c r="B15" s="21" t="str">
        <x:v>Source-to-parameter mapping and evidence roles.</x:v>
      </x:c>
      <x:c r="C15" s="21"/>
      <x:c r="D15" s="21"/>
      <x:c r="E15" s="21"/>
      <x:c r="F15" s="21"/>
      <x:c r="G15" s="21"/>
      <x:c r="H15" s="21"/>
    </x:row>
    <x:row r="16">
      <x:c r="A16" s="21" t="str">
        <x:v>Base_Curve_Fit</x:v>
      </x:c>
      <x:c r="B16" s="21" t="str">
        <x:v>Curve parameters and formula.</x:v>
      </x:c>
      <x:c r="C16" s="21"/>
      <x:c r="D16" s="21"/>
      <x:c r="E16" s="21"/>
      <x:c r="F16" s="21"/>
      <x:c r="G16" s="21"/>
      <x:c r="H16" s="21"/>
    </x:row>
    <x:row r="17">
      <x:c r="A17" s="21" t="str">
        <x:v>Curve_Data</x:v>
      </x:c>
      <x:c r="B17" s="21" t="str">
        <x:v>Formula-driven wind speed to DR/loss table.</x:v>
      </x:c>
      <x:c r="C17" s="21"/>
      <x:c r="D17" s="21"/>
      <x:c r="E17" s="21"/>
      <x:c r="F17" s="21"/>
      <x:c r="G17" s="21"/>
      <x:c r="H17" s="21"/>
    </x:row>
    <x:row r="18">
      <x:c r="A18" s="21" t="str">
        <x:v>Site_Applied_Loss</x:v>
      </x:c>
      <x:c r="B18" s="21" t="str">
        <x:v>Selected scenario applied loss table.</x:v>
      </x:c>
      <x:c r="C18" s="21"/>
      <x:c r="D18" s="21"/>
      <x:c r="E18" s="21"/>
      <x:c r="F18" s="21"/>
      <x:c r="G18" s="21"/>
      <x:c r="H18" s="21"/>
    </x:row>
    <x:row r="19">
      <x:c r="A19" s="21"/>
      <x:c r="B19" s="21"/>
      <x:c r="C19" s="21"/>
      <x:c r="D19" s="21"/>
      <x:c r="E19" s="21"/>
      <x:c r="F19" s="21"/>
      <x:c r="G19" s="21"/>
      <x:c r="H19" s="21"/>
    </x:row>
    <x:row r="20">
      <x:c r="A20" s="21"/>
      <x:c r="B20" s="21"/>
      <x:c r="C20" s="21"/>
      <x:c r="D20" s="21"/>
      <x:c r="E20" s="21"/>
      <x:c r="F20" s="21"/>
      <x:c r="G20" s="21"/>
      <x:c r="H20" s="21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52" hidden="0" customWidth="1"/>
    <x:col min="5" max="5" width="16" hidden="0" customWidth="1"/>
    <x:col min="6" max="6" width="24" hidden="0" customWidth="1"/>
    <x:col min="7" max="7" width="18" hidden="0" customWidth="1"/>
    <x:col min="8" max="8" width="14" hidden="0" customWidth="1"/>
    <x:col min="9" max="9" width="52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20" t="str">
        <x:v>Strong wind × solar v1.0 — derived curve dashboard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</x:row>
    <x:row r="3">
      <x:c r="A3" s="18" t="str">
        <x:v>Editable input</x:v>
      </x:c>
      <x:c r="B3" s="18" t="str">
        <x:v>Value</x:v>
      </x:c>
      <x:c r="C3" s="18" t="str">
        <x:v>Unit / options</x:v>
      </x:c>
      <x:c r="D3" s="18" t="str">
        <x:v>Notes</x:v>
      </x:c>
      <x:c r="F3" s="18" t="str">
        <x:v>Computed item</x:v>
      </x:c>
      <x:c r="G3" s="18" t="str">
        <x:v>Formula / value</x:v>
      </x:c>
      <x:c r="H3" s="18" t="str">
        <x:v>Unit</x:v>
      </x:c>
      <x:c r="I3" s="18" t="str">
        <x:v>Notes</x:v>
      </x:c>
    </x:row>
    <x:row r="4">
      <x:c r="A4" t="str">
        <x:v>Default TIV / installed capex</x:v>
      </x:c>
      <x:c r="B4" s="24" t="n">
        <x:v>112000000</x:v>
      </x:c>
      <x:c r="C4" t="str">
        <x:v>$</x:v>
      </x:c>
      <x:c r="D4" t="str">
        <x:v>Default 100 MWdc solar example from valuation workbook.</x:v>
      </x:c>
      <x:c r="F4" t="str">
        <x:v>Stowed demand multiplier</x:v>
      </x:c>
      <x:c r="G4" s="28" t="n">
        <x:v>0.8</x:v>
      </x:c>
      <x:c r="H4" t="str">
        <x:v>x</x:v>
      </x:c>
      <x:c r="I4" t="str">
        <x:v>Generic v1.0 placeholder</x:v>
      </x:c>
    </x:row>
    <x:row r="5">
      <x:c r="A5" t="str">
        <x:v>Physical replaceable base</x:v>
      </x:c>
      <x:c r="B5" s="24" t="n">
        <x:v>87800000</x:v>
      </x:c>
      <x:c r="C5" t="str">
        <x:v>$</x:v>
      </x:c>
      <x:c r="D5" t="str">
        <x:v>Physical damage denominator.</x:v>
      </x:c>
      <x:c r="F5" t="str">
        <x:v>Unstowed demand multiplier</x:v>
      </x:c>
      <x:c r="G5" s="28" t="n">
        <x:v>1.25</x:v>
      </x:c>
      <x:c r="H5" t="str">
        <x:v>x</x:v>
      </x:c>
      <x:c r="I5" t="str">
        <x:v>Generic v1.0 placeholder</x:v>
      </x:c>
    </x:row>
    <x:row r="6">
      <x:c r="A6" t="str">
        <x:v>Design gust speed</x:v>
      </x:c>
      <x:c r="B6" s="26" t="n">
        <x:v>120</x:v>
      </x:c>
      <x:c r="C6" t="str">
        <x:v>mph</x:v>
      </x:c>
      <x:c r="D6" t="str">
        <x:v>Site/project-specific design gust; replace for production.</x:v>
      </x:c>
      <x:c r="F6" t="str">
        <x:v>Probabilistic stow multiplier</x:v>
      </x:c>
      <x:c r="G6" s="28" t="n">
        <x:f>$B$9*$G$4+(1-$B$9)*$G$5</x:f>
        <x:v>0.9125000000000001</x:v>
      </x:c>
      <x:c r="H6" t="str">
        <x:v>x</x:v>
      </x:c>
      <x:c r="I6" t="str">
        <x:v>P(stowed) × stowed + (1 - P(stowed)) × unstowed</x:v>
      </x:c>
    </x:row>
    <x:row r="7">
      <x:c r="A7" t="str">
        <x:v>Mounting type</x:v>
      </x:c>
      <x:c r="B7" t="str">
        <x:v>single_axis_tracker</x:v>
      </x:c>
      <x:c r="C7" t="str">
        <x:v>single_axis_tracker/fixed_tilt</x:v>
      </x:c>
      <x:c r="D7" t="str">
        <x:v>Affects stow applicability.</x:v>
      </x:c>
      <x:c r="F7" t="str">
        <x:v>Selected stow multiplier</x:v>
      </x:c>
      <x:c r="G7" s="28" t="n">
        <x:f>IF($B$7="not_applicable",1,IF($B$7="confirmed_stowed",$G$4,IF($B$7="unstowed_or_failed",$G$5,$G$6)))</x:f>
        <x:v>0.9125000000000001</x:v>
      </x:c>
      <x:c r="H7" t="str">
        <x:v>x</x:v>
      </x:c>
      <x:c r="I7" t="str">
        <x:v>Depends on mounting/stow state</x:v>
      </x:c>
    </x:row>
    <x:row r="8">
      <x:c r="A8" t="str">
        <x:v>Stow state</x:v>
      </x:c>
      <x:c r="B8" s="28" t="str">
        <x:v>probabilistic</x:v>
      </x:c>
      <x:c r="C8" t="str">
        <x:v>confirmed_stowed/unstowed_or_failed/probabilistic/not_applicable</x:v>
      </x:c>
      <x:c r="D8" t="str">
        <x:v>Conditioner.</x:v>
      </x:c>
      <x:c r="F8" t="str">
        <x:v>Total demand multiplier</x:v>
      </x:c>
      <x:c r="G8" s="28" t="n">
        <x:f>$G$7*$B$10</x:f>
        <x:v>1.049375</x:v>
      </x:c>
      <x:c r="H8" t="str">
        <x:v>x</x:v>
      </x:c>
      <x:c r="I8" t="str">
        <x:v>Selected stow multiplier × zone multiplier</x:v>
      </x:c>
    </x:row>
    <x:row r="9">
      <x:c r="A9" t="str">
        <x:v>Probability stowed</x:v>
      </x:c>
      <x:c r="B9" s="28" t="n">
        <x:v>0.75</x:v>
      </x:c>
      <x:c r="C9" t="str">
        <x:v>0-1</x:v>
      </x:c>
      <x:c r="D9" t="str">
        <x:v>Used only for probabilistic state.</x:v>
      </x:c>
      <x:c r="F9" t="str">
        <x:v>Failure-unit cap</x:v>
      </x:c>
      <x:c r="G9" s="24" t="n">
        <x:f>SUMPRODUCT(Base_Curve_Fit!B2:B6,Base_Curve_Fit!F2:F6)*$B$5*$B$11</x:f>
        <x:v>35822400</x:v>
      </x:c>
      <x:c r="H9" t="str">
        <x:v>$</x:v>
      </x:c>
      <x:c r="I9" t="str">
        <x:v>Sum of max_DR × value link × physical base × exposure</x:v>
      </x:c>
    </x:row>
    <x:row r="10">
      <x:c r="A10" t="str">
        <x:v>Zone / edge multiplier</x:v>
      </x:c>
      <x:c r="B10" s="28" t="n">
        <x:v>1.15</x:v>
      </x:c>
      <x:c r="C10" t="str">
        <x:v>multiplier</x:v>
      </x:c>
      <x:c r="D10" t="str">
        <x:v>Accounts for edge/perimeter/zone mix.</x:v>
      </x:c>
      <x:c r="F10" t="str">
        <x:v>Failure-unit cap as % TIV</x:v>
      </x:c>
      <x:c r="G10" s="30" t="n">
        <x:f>$G$9/$B$4</x:f>
        <x:v>0.31984285714285715</x:v>
      </x:c>
      <x:c r="H10" t="str">
        <x:v>%</x:v>
      </x:c>
      <x:c r="I10" t="str">
        <x:v>Cap / TIV</x:v>
      </x:c>
    </x:row>
    <x:row r="11">
      <x:c r="A11" t="str">
        <x:v>Array exposure fraction</x:v>
      </x:c>
      <x:c r="B11" s="28" t="n">
        <x:v>1</x:v>
      </x:c>
      <x:c r="C11" t="str">
        <x:v>0-1</x:v>
      </x:c>
      <x:c r="D11" t="str">
        <x:v>Affected portion of value bucket.</x:v>
      </x:c>
    </x:row>
    <x:row r="14">
      <x:c r="A14" s="18" t="str">
        <x:v>Selected wind</x:v>
      </x:c>
      <x:c r="B14" s="18" t="str">
        <x:v>Total loss $</x:v>
      </x:c>
      <x:c r="C14" s="18" t="str">
        <x:v>% physical base</x:v>
      </x:c>
      <x:c r="D14" s="18" t="str">
        <x:v>% TIV</x:v>
      </x:c>
      <x:c r="E14" s="18" t="str">
        <x:v>Notes</x:v>
      </x:c>
    </x:row>
    <x:row r="15">
      <x:c r="A15" t="n">
        <x:v>100</x:v>
      </x:c>
      <x:c r="B15" s="24" t="n">
        <x:f>INDEX(Curve_Data!$I$2:$I$26,MATCH(A15,Curve_Data!$A$2:$A$26,0))</x:f>
        <x:v>938448.1491601301</x:v>
      </x:c>
      <x:c r="C15" s="30" t="n">
        <x:f>INDEX(Curve_Data!$J$2:$J$26,MATCH(A15,Curve_Data!$A$2:$A$26,0))</x:f>
        <x:v>0.010688475502962758</x:v>
      </x:c>
      <x:c r="D15" s="30" t="n">
        <x:f>INDEX(Curve_Data!$K$2:$K$26,MATCH(A15,Curve_Data!$A$2:$A$26,0))</x:f>
        <x:v>0.008379001331786876</x:v>
      </x:c>
      <x:c r="E15" t="str">
        <x:v>Below default design speed</x:v>
      </x:c>
    </x:row>
    <x:row r="16">
      <x:c r="A16" t="n">
        <x:v>120</x:v>
      </x:c>
      <x:c r="B16" s="24" t="n">
        <x:f>INDEX(Curve_Data!$I$2:$I$26,MATCH(A16,Curve_Data!$A$2:$A$26,0))</x:f>
        <x:v>14170346.329444692</x:v>
      </x:c>
      <x:c r="C16" s="30" t="n">
        <x:f>INDEX(Curve_Data!$J$2:$J$26,MATCH(A16,Curve_Data!$A$2:$A$26,0))</x:f>
        <x:v>0.16139346616679603</x:v>
      </x:c>
      <x:c r="D16" s="30" t="n">
        <x:f>INDEX(Curve_Data!$K$2:$K$26,MATCH(A16,Curve_Data!$A$2:$A$26,0))</x:f>
        <x:v>0.12652094937004188</x:v>
      </x:c>
      <x:c r="E16" t="str">
        <x:v>At default design gust</x:v>
      </x:c>
    </x:row>
    <x:row r="17">
      <x:c r="A17" t="n">
        <x:v>140</x:v>
      </x:c>
      <x:c r="B17" s="24" t="n">
        <x:f>INDEX(Curve_Data!$I$2:$I$26,MATCH(A17,Curve_Data!$A$2:$A$26,0))</x:f>
        <x:v>32953298.73978221</x:v>
      </x:c>
      <x:c r="C17" s="30" t="n">
        <x:f>INDEX(Curve_Data!$J$2:$J$26,MATCH(A17,Curve_Data!$A$2:$A$26,0))</x:f>
        <x:v>0.3753223091091368</x:v>
      </x:c>
      <x:c r="D17" s="30" t="n">
        <x:f>INDEX(Curve_Data!$K$2:$K$26,MATCH(A17,Curve_Data!$A$2:$A$26,0))</x:f>
        <x:v>0.2942258816051983</x:v>
      </x:c>
      <x:c r="E17" t="str">
        <x:v>Above design; material damage region</x:v>
      </x:c>
    </x:row>
    <x:row r="18">
      <x:c r="A18" t="n">
        <x:v>160</x:v>
      </x:c>
      <x:c r="B18" s="24" t="n">
        <x:f>INDEX(Curve_Data!$I$2:$I$26,MATCH(A18,Curve_Data!$A$2:$A$26,0))</x:f>
        <x:v>35693964.417674184</x:v>
      </x:c>
      <x:c r="C18" s="30" t="n">
        <x:f>INDEX(Curve_Data!$J$2:$J$26,MATCH(A18,Curve_Data!$A$2:$A$26,0))</x:f>
        <x:v>0.4065371801557424</x:v>
      </x:c>
      <x:c r="D18" s="30" t="n">
        <x:f>INDEX(Curve_Data!$K$2:$K$26,MATCH(A18,Curve_Data!$A$2:$A$26,0))</x:f>
        <x:v>0.31869611087209093</x:v>
      </x:c>
      <x:c r="E18" t="str">
        <x:v>Severe/exceedance region</x:v>
      </x:c>
    </x:row>
  </x:sheetData>
  <x:mergeCells>
    <x:mergeCell ref="A1:N1"/>
  </x:mergeCells>
  <x:dataValidations count="2">
    <x:dataValidation type="list" sqref="B7">
      <x:formula1>Lists!$B$2:$B$5</x:formula1>
    </x:dataValidation>
    <x:dataValidation type="list" sqref="B6">
      <x:formula1>Lists!$A$2:$A$5</x:formula1>
    </x:dataValidation>
  </x:dataValidations>
  <x:pageMargins left="0.7" right="0.7" top="0.75" bottom="0.75" header="0.3" footer="0.3"/>
  <x:drawing xmlns:r="http://schemas.openxmlformats.org/officeDocument/2006/relationships" r:id="R21c440e684ee4bb6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70" hidden="0" customWidth="1"/>
  </x:cols>
  <x:sheetData>
    <x:row r="1" ht="24" customHeight="1">
      <x:c r="A1" s="18" t="str">
        <x:v>Role</x:v>
      </x:c>
      <x:c r="B1" s="18" t="str">
        <x:v>Subsystem</x:v>
      </x:c>
      <x:c r="C1" s="18" t="str">
        <x:v>Component</x:v>
      </x:c>
      <x:c r="D1" s="18" t="str">
        <x:v>Failure unit</x:v>
      </x:c>
      <x:c r="E1" s="18" t="str">
        <x:v>Treatment</x:v>
      </x:c>
      <x:c r="F1" s="18" t="str">
        <x:v>Why / note</x:v>
      </x:c>
    </x:row>
    <x:row r="2">
      <x:c r="A2" t="str">
        <x:v>Primary nonzero</x:v>
      </x:c>
      <x:c r="B2" t="str">
        <x:v>MOUNTING</x:v>
      </x:c>
      <x:c r="C2" t="str">
        <x:v>TRACKER</x:v>
      </x:c>
      <x:c r="D2" t="str">
        <x:v>SWS_TRACKER_STRUCT</x:v>
      </x:c>
      <x:c r="E2" t="str">
        <x:v>Derived v1.0 curve</x:v>
      </x:c>
      <x:c r="F2" t="str">
        <x:v>Torque-tube, drive-row torsion, wind-stow or tracker structural failure under gust demand.</x:v>
      </x:c>
    </x:row>
    <x:row r="3">
      <x:c r="A3" t="str">
        <x:v>Primary nonzero</x:v>
      </x:c>
      <x:c r="B3" t="str">
        <x:v>MOUNTING</x:v>
      </x:c>
      <x:c r="C3" t="str">
        <x:v>RACKING_STRUCTURE</x:v>
      </x:c>
      <x:c r="D3" t="str">
        <x:v>SWS_RACKING_STRUCT</x:v>
      </x:c>
      <x:c r="E3" t="str">
        <x:v>Derived v1.0 curve</x:v>
      </x:c>
      <x:c r="F3" t="str">
        <x:v>Fixed or tracker support uplift, deformation, lateral instability and collapse pathway.</x:v>
      </x:c>
    </x:row>
    <x:row r="4">
      <x:c r="A4" t="str">
        <x:v>Primary nonzero</x:v>
      </x:c>
      <x:c r="B4" t="str">
        <x:v>PV_ARRAY</x:v>
      </x:c>
      <x:c r="C4" t="str">
        <x:v>PV_MODULE</x:v>
      </x:c>
      <x:c r="D4" t="str">
        <x:v>SWS_MODULE_ATTACH</x:v>
      </x:c>
      <x:c r="E4" t="str">
        <x:v>Derived v1.0 curve</x:v>
      </x:c>
      <x:c r="F4" t="str">
        <x:v>Module clamp failure, detachment, breakage, or release from mounting under uplift demand.</x:v>
      </x:c>
    </x:row>
    <x:row r="5">
      <x:c r="A5" t="str">
        <x:v>Primary nonzero</x:v>
      </x:c>
      <x:c r="B5" t="str">
        <x:v>FOUNDATION</x:v>
      </x:c>
      <x:c r="C5" t="str">
        <x:v>FOUNDATION_BASE</x:v>
      </x:c>
      <x:c r="D5" t="str">
        <x:v>SWS_FOUNDATION_UPLIFT</x:v>
      </x:c>
      <x:c r="E5" t="str">
        <x:v>Derived v1.0 curve</x:v>
      </x:c>
      <x:c r="F5" t="str">
        <x:v>Pile uplift, pullout or support failure driven by wind demand transmitted through structure.</x:v>
      </x:c>
    </x:row>
    <x:row r="6">
      <x:c r="A6" t="str">
        <x:v>Secondary / conditional</x:v>
      </x:c>
      <x:c r="B6" t="str">
        <x:v>SCADA</x:v>
      </x:c>
      <x:c r="C6" t="str">
        <x:v>MET_STATION</x:v>
      </x:c>
      <x:c r="D6" t="str">
        <x:v>SWS_SCADA_EXPOSED</x:v>
      </x:c>
      <x:c r="E6" t="str">
        <x:v>Secondary v1.0 curve</x:v>
      </x:c>
      <x:c r="F6" t="str">
        <x:v>Exposed sensors/instruments may fail under high wind/debris, usually low value share.</x:v>
      </x:c>
    </x:row>
    <x:row r="7">
      <x:c r="A7" t="str">
        <x:v>Secondary / conditional</x:v>
      </x:c>
      <x:c r="B7" t="str">
        <x:v>ELECTRICAL_COLLECTION</x:v>
      </x:c>
      <x:c r="C7" t="str">
        <x:v>CABLE_DC/CABLE_AC</x:v>
      </x:c>
      <x:c r="D7" t="str">
        <x:v>SWS_CABLE_CONSEQ</x:v>
      </x:c>
      <x:c r="E7" t="str">
        <x:v>Reviewed only / no v1 curve</x:v>
      </x:c>
      <x:c r="F7" t="str">
        <x:v>Consequential damage from structural collapse, not a direct wind-primary curve in v1.</x:v>
      </x:c>
    </x:row>
    <x:row r="8">
      <x:c r="A8" t="str">
        <x:v>Secondary / conditional</x:v>
      </x:c>
      <x:c r="B8" t="str">
        <x:v>INVERTER_SYSTEM</x:v>
      </x:c>
      <x:c r="C8" t="str">
        <x:v>INVERTER</x:v>
      </x:c>
      <x:c r="D8" t="str">
        <x:v>SWS_INVERTER_EXPOSED</x:v>
      </x:c>
      <x:c r="E8" t="str">
        <x:v>Reviewed only / no v1 curve</x:v>
      </x:c>
      <x:c r="F8" t="str">
        <x:v>Direct wind damage is secondary unless debris-hit or enclosure/skid is exposed.</x:v>
      </x:c>
    </x:row>
    <x:row r="9">
      <x:c r="A9" t="str">
        <x:v>Secondary / conditional</x:v>
      </x:c>
      <x:c r="B9" t="str">
        <x:v>SUBSTATION</x:v>
      </x:c>
      <x:c r="C9" t="str">
        <x:v>SWITCHGEAR / TRANSFORMER_MAIN</x:v>
      </x:c>
      <x:c r="D9" t="str">
        <x:v>SWS_SUBSTATION_WIND</x:v>
      </x:c>
      <x:c r="E9" t="str">
        <x:v>Reviewed only / no v1 curve</x:v>
      </x:c>
      <x:c r="F9" t="str">
        <x:v>Not first-order for solar array wind loading; revisit under tornado/debris pathway.</x:v>
      </x:c>
    </x:row>
    <x:row r="10">
      <x:c r="A10" t="str">
        <x:v>Conditioner-only</x:v>
      </x:c>
      <x:c r="B10" t="str">
        <x:v>MOUNTING</x:v>
      </x:c>
      <x:c r="C10" t="str">
        <x:v>TRACKER</x:v>
      </x:c>
      <x:c r="D10" t="str">
        <x:v>SWS_STOW_STATE</x:v>
      </x:c>
      <x:c r="E10" t="str">
        <x:v>Conditioner</x:v>
      </x:c>
      <x:c r="F10" t="str">
        <x:v>Tracker stow state, stow angle and control success modify structural demand.</x:v>
      </x:c>
    </x:row>
    <x:row r="11">
      <x:c r="A11" t="str">
        <x:v>Exposure / protection modifier</x:v>
      </x:c>
      <x:c r="B11" t="str">
        <x:v>SITE / ARRAY</x:v>
      </x:c>
      <x:c r="C11" t="str">
        <x:v>row zone</x:v>
      </x:c>
      <x:c r="D11" t="str">
        <x:v>SWS_ARRAY_EXPOSURE</x:v>
      </x:c>
      <x:c r="E11" t="str">
        <x:v>Exposure multiplier</x:v>
      </x:c>
      <x:c r="F11" t="str">
        <x:v>Edge/corner/interior rows and fraction of array inside wind footprint affect exposed value/demand.</x:v>
      </x:c>
    </x:row>
    <x:row r="12">
      <x:c r="A12" t="str">
        <x:v>DR≈0 reviewed</x:v>
      </x:c>
      <x:c r="B12" t="str">
        <x:v>SITE_DRAINAGE / CIVIL_INFRA</x:v>
      </x:c>
      <x:c r="C12" t="str"/>
      <x:c r="D12" t="str">
        <x:v>SWS_DIRECT_WIND_ZERO</x:v>
      </x:c>
      <x:c r="E12" t="str">
        <x:v>DR≈0 for v1</x:v>
      </x:c>
      <x:c r="F12" t="str">
        <x:v>Not directly damaged by straight-line wind at modeled grain unless debris/civil-access damage is scoped.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4" hidden="0" customWidth="1"/>
    <x:col min="4" max="4" width="42" hidden="0" customWidth="1"/>
    <x:col min="5" max="5" width="44" hidden="0" customWidth="1"/>
  </x:cols>
  <x:sheetData>
    <x:row r="1" ht="24" customHeight="1">
      <x:c r="A1" s="18" t="str">
        <x:v>Decision area</x:v>
      </x:c>
      <x:c r="B1" s="18" t="str">
        <x:v>Selected treatment</x:v>
      </x:c>
      <x:c r="C1" s="18" t="str">
        <x:v>Why</x:v>
      </x:c>
      <x:c r="D1" s="18" t="str">
        <x:v>Rejected alternatives</x:v>
      </x:c>
      <x:c r="E1" s="18" t="str">
        <x:v>Notes</x:v>
      </x:c>
    </x:row>
    <x:row r="2">
      <x:c r="A2" t="str">
        <x:v>Primary operational x-axis</x:v>
      </x:c>
      <x:c r="B2" t="str">
        <x:v>3-second gust wind speed at array/tracker height</x:v>
      </x:c>
      <x:c r="C2" t="str">
        <x:v>Available from wind hazard catalogs and design standards; direct driver of pressure demand</x:v>
      </x:c>
      <x:c r="D2" t="str">
        <x:v>Sustained wind, Beaufort category, tornado EF rating as primary v1.0 axis</x:v>
      </x:c>
      <x:c r="E2" t="str">
        <x:v>mph accepted; m/s internal.</x:v>
      </x:c>
    </x:row>
    <x:row r="3">
      <x:c r="A3" t="str">
        <x:v>Physics bridge</x:v>
      </x:c>
      <x:c r="B3" t="str">
        <x:v>dynamic pressure / demand proxy q ∝ V²</x:v>
      </x:c>
      <x:c r="C3" t="str">
        <x:v>Wind pressure scales with speed squared; structural damage is demand/capacity driven</x:v>
      </x:c>
      <x:c r="D3" t="str">
        <x:v>Raw wind speed only with no design normalization</x:v>
      </x:c>
      <x:c r="E3" t="str">
        <x:v>Implemented as R=(V/Vdesign)^2×multipliers.</x:v>
      </x:c>
    </x:row>
    <x:row r="4">
      <x:c r="A4" t="str">
        <x:v>Native curve axis</x:v>
      </x:c>
      <x:c r="B4" t="str">
        <x:v>effective demand ratio R_eff</x:v>
      </x:c>
      <x:c r="C4" t="str">
        <x:v>Allows design wind speed and stow/edge multipliers to enter cleanly</x:v>
      </x:c>
      <x:c r="D4" t="str">
        <x:v>Whole-site asset-level DR curve</x:v>
      </x:c>
      <x:c r="E4" t="str">
        <x:v>Keeps failure-unit curves sourceable and portable.</x:v>
      </x:c>
    </x:row>
    <x:row r="5">
      <x:c r="A5" t="str">
        <x:v>Tornado scope</x:v>
      </x:c>
      <x:c r="B5" t="str">
        <x:v>Deferred separate pathway</x:v>
      </x:c>
      <x:c r="C5" t="str">
        <x:v>Tornado solar may add debris/missile and narrow-swath destruction beyond straight-line gust loading</x:v>
      </x:c>
      <x:c r="D5" t="str">
        <x:v>Mix tornado into v1.0 as just higher gust</x:v>
      </x:c>
      <x:c r="E5" t="str">
        <x:v>Documented in global pathway split guide.</x:v>
      </x:c>
    </x:row>
    <x:row r="6">
      <x:c r="A6" t="str">
        <x:v>Height conversion</x:v>
      </x:c>
      <x:c r="B6" t="str">
        <x:v>Document source-native height and bridge to array height if available</x:v>
      </x:c>
      <x:c r="C6" t="str">
        <x:v>Hazard catalogs may report 10m or hub/standard-height winds</x:v>
      </x:c>
      <x:c r="D6" t="str">
        <x:v>Assume all inputs are already at array height silently</x:v>
      </x:c>
      <x:c r="E6" t="str">
        <x:v>Production should add height conversion if hazard catalog needs it.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0" hidden="0" customWidth="1"/>
    <x:col min="5" max="5" width="22" hidden="0" customWidth="1"/>
    <x:col min="6" max="6" width="44" hidden="0" customWidth="1"/>
    <x:col min="7" max="7" width="28" hidden="0" customWidth="1"/>
    <x:col min="8" max="8" width="28" hidden="0" customWidth="1"/>
    <x:col min="9" max="9" width="42" hidden="0" customWidth="1"/>
    <x:col min="10" max="10" width="30" hidden="0" customWidth="1"/>
    <x:col min="11" max="11" width="24" hidden="0" customWidth="1"/>
    <x:col min="12" max="12" width="18" hidden="0" customWidth="1"/>
  </x:cols>
  <x:sheetData>
    <x:row r="1" ht="24" customHeight="1">
      <x:c r="A1" s="18" t="str">
        <x:v>curve_id</x:v>
      </x:c>
      <x:c r="B1" s="18" t="str">
        <x:v>cell_id</x:v>
      </x:c>
      <x:c r="C1" s="18" t="str">
        <x:v>coverage_role</x:v>
      </x:c>
      <x:c r="D1" s="18" t="str">
        <x:v>subsystem</x:v>
      </x:c>
      <x:c r="E1" s="18" t="str">
        <x:v>component</x:v>
      </x:c>
      <x:c r="F1" s="18" t="str">
        <x:v>failure_mode</x:v>
      </x:c>
      <x:c r="G1" s="18" t="str">
        <x:v>x_axis_id</x:v>
      </x:c>
      <x:c r="H1" s="18" t="str">
        <x:v>curve_form</x:v>
      </x:c>
      <x:c r="I1" s="18" t="str">
        <x:v>native_axis</x:v>
      </x:c>
      <x:c r="J1" s="18" t="str">
        <x:v>value_bucket</x:v>
      </x:c>
      <x:c r="K1" s="18" t="str">
        <x:v>emit_type</x:v>
      </x:c>
      <x:c r="L1" s="18" t="str">
        <x:v>v1_status</x:v>
      </x:c>
    </x:row>
    <x:row r="2">
      <x:c r="A2" t="str">
        <x:v>SWS_TRACKER_STRUCT</x:v>
      </x:c>
      <x:c r="B2" t="str">
        <x:v>STRONG_WIND_SOLAR</x:v>
      </x:c>
      <x:c r="C2" t="str">
        <x:v>Primary nonzero</x:v>
      </x:c>
      <x:c r="D2" t="str">
        <x:v>MOUNTING</x:v>
      </x:c>
      <x:c r="E2" t="str">
        <x:v>TRACKER</x:v>
      </x:c>
      <x:c r="F2" t="str">
        <x:v>tracker torque-tube / drive-row structural wind loading</x:v>
      </x:c>
      <x:c r="G2" t="str">
        <x:v>SWS_GUST_3S_ARRAY_HEIGHT</x:v>
      </x:c>
      <x:c r="H2" t="str">
        <x:v>thresholded logistic fragility</x:v>
      </x:c>
      <x:c r="I2" t="str">
        <x:v>effective demand ratio R=(V/Vdesign)^2×multipliers</x:v>
      </x:c>
      <x:c r="J2" t="str">
        <x:v>MOUNTING_TRACKER_VALUE</x:v>
      </x:c>
      <x:c r="K2" t="str">
        <x:v>scalar DR + flags</x:v>
      </x:c>
      <x:c r="L2" t="str">
        <x:v>derived v1.0</x:v>
      </x:c>
    </x:row>
    <x:row r="3">
      <x:c r="A3" t="str">
        <x:v>SWS_RACKING_STRUCT</x:v>
      </x:c>
      <x:c r="B3" t="str">
        <x:v>STRONG_WIND_SOLAR</x:v>
      </x:c>
      <x:c r="C3" t="str">
        <x:v>Primary nonzero</x:v>
      </x:c>
      <x:c r="D3" t="str">
        <x:v>MOUNTING</x:v>
      </x:c>
      <x:c r="E3" t="str">
        <x:v>RACKING_STRUCTURE</x:v>
      </x:c>
      <x:c r="F3" t="str">
        <x:v>racking uplift / deformation / support collapse</x:v>
      </x:c>
      <x:c r="G3" t="str">
        <x:v>SWS_GUST_3S_ARRAY_HEIGHT</x:v>
      </x:c>
      <x:c r="H3" t="str">
        <x:v>thresholded logistic fragility</x:v>
      </x:c>
      <x:c r="I3" t="str">
        <x:v>effective demand ratio R</x:v>
      </x:c>
      <x:c r="J3" t="str">
        <x:v>MOUNTING_RACKING_VALUE</x:v>
      </x:c>
      <x:c r="K3" t="str">
        <x:v>scalar DR + flags</x:v>
      </x:c>
      <x:c r="L3" t="str">
        <x:v>derived v1.0</x:v>
      </x:c>
    </x:row>
    <x:row r="4">
      <x:c r="A4" t="str">
        <x:v>SWS_MODULE_ATTACH</x:v>
      </x:c>
      <x:c r="B4" t="str">
        <x:v>STRONG_WIND_SOLAR</x:v>
      </x:c>
      <x:c r="C4" t="str">
        <x:v>Primary nonzero</x:v>
      </x:c>
      <x:c r="D4" t="str">
        <x:v>PV_ARRAY</x:v>
      </x:c>
      <x:c r="E4" t="str">
        <x:v>PV_MODULE</x:v>
      </x:c>
      <x:c r="F4" t="str">
        <x:v>module clamp failure / detachment / wind breakage</x:v>
      </x:c>
      <x:c r="G4" t="str">
        <x:v>SWS_GUST_3S_ARRAY_HEIGHT</x:v>
      </x:c>
      <x:c r="H4" t="str">
        <x:v>thresholded logistic fragility</x:v>
      </x:c>
      <x:c r="I4" t="str">
        <x:v>effective demand ratio R</x:v>
      </x:c>
      <x:c r="J4" t="str">
        <x:v>PV_ARRAY_MODULE_VALUE</x:v>
      </x:c>
      <x:c r="K4" t="str">
        <x:v>scalar DR + dependency note</x:v>
      </x:c>
      <x:c r="L4" t="str">
        <x:v>derived v1.0</x:v>
      </x:c>
    </x:row>
    <x:row r="5">
      <x:c r="A5" t="str">
        <x:v>SWS_FOUNDATION_UPLIFT</x:v>
      </x:c>
      <x:c r="B5" t="str">
        <x:v>STRONG_WIND_SOLAR</x:v>
      </x:c>
      <x:c r="C5" t="str">
        <x:v>Primary nonzero</x:v>
      </x:c>
      <x:c r="D5" t="str">
        <x:v>FOUNDATION</x:v>
      </x:c>
      <x:c r="E5" t="str">
        <x:v>FOUNDATION_BASE</x:v>
      </x:c>
      <x:c r="F5" t="str">
        <x:v>pile uplift / pullout / support failure</x:v>
      </x:c>
      <x:c r="G5" t="str">
        <x:v>SWS_GUST_3S_ARRAY_HEIGHT</x:v>
      </x:c>
      <x:c r="H5" t="str">
        <x:v>thresholded logistic fragility</x:v>
      </x:c>
      <x:c r="I5" t="str">
        <x:v>effective demand ratio R</x:v>
      </x:c>
      <x:c r="J5" t="str">
        <x:v>FOUNDATION_VALUE</x:v>
      </x:c>
      <x:c r="K5" t="str">
        <x:v>scalar DR + flags</x:v>
      </x:c>
      <x:c r="L5" t="str">
        <x:v>derived v1.0</x:v>
      </x:c>
    </x:row>
    <x:row r="6">
      <x:c r="A6" t="str">
        <x:v>SWS_SCADA_EXPOSED</x:v>
      </x:c>
      <x:c r="B6" t="str">
        <x:v>STRONG_WIND_SOLAR</x:v>
      </x:c>
      <x:c r="C6" t="str">
        <x:v>Secondary / conditional</x:v>
      </x:c>
      <x:c r="D6" t="str">
        <x:v>SCADA</x:v>
      </x:c>
      <x:c r="E6" t="str">
        <x:v>MET_STATION / MONITORING_SYSTEM</x:v>
      </x:c>
      <x:c r="F6" t="str">
        <x:v>exposed instrumentation wind/debris damage</x:v>
      </x:c>
      <x:c r="G6" t="str">
        <x:v>SWS_GUST_3S_ARRAY_HEIGHT</x:v>
      </x:c>
      <x:c r="H6" t="str">
        <x:v>secondary thresholded logistic</x:v>
      </x:c>
      <x:c r="I6" t="str">
        <x:v>effective demand ratio R</x:v>
      </x:c>
      <x:c r="J6" t="str">
        <x:v>SCADA_VALUE</x:v>
      </x:c>
      <x:c r="K6" t="str">
        <x:v>scalar DR + optional</x:v>
      </x:c>
      <x:c r="L6" t="str">
        <x:v>derived v1.0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0" hidden="0" customWidth="1"/>
    <x:col min="3" max="3" width="36" hidden="0" customWidth="1"/>
    <x:col min="4" max="4" width="24" hidden="0" customWidth="1"/>
    <x:col min="5" max="5" width="18" hidden="0" customWidth="1"/>
    <x:col min="6" max="6" width="64" hidden="0" customWidth="1"/>
  </x:cols>
  <x:sheetData>
    <x:row r="1" ht="24" customHeight="1">
      <x:c r="A1" s="18" t="str">
        <x:v>Evidence / source</x:v>
      </x:c>
      <x:c r="B1" s="18" t="str">
        <x:v>Supports</x:v>
      </x:c>
      <x:c r="C1" s="18" t="str">
        <x:v>Parameter / rule affected</x:v>
      </x:c>
      <x:c r="D1" s="18" t="str">
        <x:v>Adopted role</x:v>
      </x:c>
      <x:c r="E1" s="18" t="str">
        <x:v>Curve-changing?</x:v>
      </x:c>
      <x:c r="F1" s="18" t="str">
        <x:v>Notes</x:v>
      </x:c>
    </x:row>
    <x:row r="2">
      <x:c r="A2" t="str">
        <x:v>DOE/FEMP PV severe-weather guidance</x:v>
      </x:c>
      <x:c r="B2" t="str">
        <x:v>Failure modes, design-screening, racking/bracing/module rating selectors</x:v>
      </x:c>
      <x:c r="C2" t="str">
        <x:v>coverage + selector map</x:v>
      </x:c>
      <x:c r="D2" t="str">
        <x:v>core qualitative source</x:v>
      </x:c>
      <x:c r="E2" t="str">
        <x:v>No</x:v>
      </x:c>
      <x:c r="F2" t="str">
        <x:v>Supports the coverage architecture but not a numeric DR curve.</x:v>
      </x:c>
    </x:row>
    <x:row r="3">
      <x:c r="A3" t="str">
        <x:v>NREL storm-hardening observations</x:v>
      </x:c>
      <x:c r="B3" t="str">
        <x:v>Clamp/fastener weakness, cascading module release</x:v>
      </x:c>
      <x:c r="C3" t="str">
        <x:v>SWS_MODULE_ATTACH mechanism and dependency note</x:v>
      </x:c>
      <x:c r="D3" t="str">
        <x:v>mechanism anchor</x:v>
      </x:c>
      <x:c r="E3" t="str">
        <x:v>No direct numeric</x:v>
      </x:c>
      <x:c r="F3" t="str">
        <x:v>Supports module attachment curve existence; no direct wind-speed ordinate.</x:v>
      </x:c>
    </x:row>
    <x:row r="4">
      <x:c r="A4" t="str">
        <x:v>CPP utility-scale PV wind-load literature</x:v>
      </x:c>
      <x:c r="B4" t="str">
        <x:v>Dynamic effects in trackers and limitations of static simplification</x:v>
      </x:c>
      <x:c r="C4" t="str">
        <x:v>curve-form rationale; demand-ratio axis</x:v>
      </x:c>
      <x:c r="D4" t="str">
        <x:v>curve-form / caveat</x:v>
      </x:c>
      <x:c r="E4" t="str">
        <x:v>No</x:v>
      </x:c>
      <x:c r="F4" t="str">
        <x:v>Supports using demand/capacity proxy and keeping aeroelastic caveat.</x:v>
      </x:c>
    </x:row>
    <x:row r="5">
      <x:c r="A5" t="str">
        <x:v>CPP torsional tracker paper</x:v>
      </x:c>
      <x:c r="B5" t="str">
        <x:v>Stow and torsional instability</x:v>
      </x:c>
      <x:c r="C5" t="str">
        <x:v>stow conditioner; tracker structural pathway</x:v>
      </x:c>
      <x:c r="D5" t="str">
        <x:v>conditioner support</x:v>
      </x:c>
      <x:c r="E5" t="str">
        <x:v>No numeric generic</x:v>
      </x:c>
      <x:c r="F5" t="str">
        <x:v>Supports direction of stow impact but not generic stow multiplier.</x:v>
      </x:c>
    </x:row>
    <x:row r="6">
      <x:c r="A6" t="str">
        <x:v>DuraMAT/PVade</x:v>
      </x:c>
      <x:c r="B6" t="str">
        <x:v>Aeroelastic high-wind modeling gaps and future calibration</x:v>
      </x:c>
      <x:c r="C6" t="str">
        <x:v>open seam / future v1.1 evidence path</x:v>
      </x:c>
      <x:c r="D6" t="str">
        <x:v>open-seam support</x:v>
      </x:c>
      <x:c r="E6" t="str">
        <x:v>No</x:v>
      </x:c>
      <x:c r="F6" t="str">
        <x:v>Supports future source path for model v1.1.</x:v>
      </x:c>
    </x:row>
    <x:row r="7">
      <x:c r="A7" t="str">
        <x:v>ASCE/SEAC/ASCE tornado chapter</x:v>
      </x:c>
      <x:c r="B7" t="str">
        <x:v>Conventional wind vs tornado pathway split</x:v>
      </x:c>
      <x:c r="C7" t="str">
        <x:v>tornado deferred pathway</x:v>
      </x:c>
      <x:c r="D7" t="str">
        <x:v>scope support</x:v>
      </x:c>
      <x:c r="E7" t="str">
        <x:v>No</x:v>
      </x:c>
      <x:c r="F7" t="str">
        <x:v>Supports not mixing tornado/debris into straight-line wind v1.0.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15" hidden="0" customWidth="1"/>
    <x:col min="4" max="4" width="10" hidden="0" customWidth="1"/>
    <x:col min="5" max="5" width="10" hidden="0" customWidth="1"/>
    <x:col min="6" max="6" width="18" hidden="0" customWidth="1"/>
    <x:col min="7" max="7" width="18" hidden="0" customWidth="1"/>
    <x:col min="8" max="8" width="38" hidden="0" customWidth="1"/>
    <x:col min="9" max="9" width="68" hidden="0" customWidth="1"/>
  </x:cols>
  <x:sheetData>
    <x:row r="1" ht="24" customHeight="1">
      <x:c r="A1" s="18" t="str">
        <x:v>curve_id</x:v>
      </x:c>
      <x:c r="B1" s="18" t="str">
        <x:v>max_DR</x:v>
      </x:c>
      <x:c r="C1" s="18" t="str">
        <x:v>R0_no_damage</x:v>
      </x:c>
      <x:c r="D1" s="18" t="str">
        <x:v>R50</x:v>
      </x:c>
      <x:c r="E1" s="18" t="str">
        <x:v>k</x:v>
      </x:c>
      <x:c r="F1" s="18" t="str">
        <x:v>default_value_share_physical</x:v>
      </x:c>
      <x:c r="G1" s="18" t="str">
        <x:v>default_exposure_fraction</x:v>
      </x:c>
      <x:c r="H1" s="18" t="str">
        <x:v>parameter_basis</x:v>
      </x:c>
      <x:c r="I1" s="18" t="str">
        <x:v>notes</x:v>
      </x:c>
    </x:row>
    <x:row r="2">
      <x:c r="A2" t="str">
        <x:v>SWS_TRACKER_STRUCT</x:v>
      </x:c>
      <x:c r="B2" s="28" t="n">
        <x:v>0.8</x:v>
      </x:c>
      <x:c r="C2" s="28" t="n">
        <x:v>0.75</x:v>
      </x:c>
      <x:c r="D2" s="28" t="n">
        <x:v>1.15</x:v>
      </x:c>
      <x:c r="E2" s="28" t="n">
        <x:v>9</x:v>
      </x:c>
      <x:c r="F2" s="30" t="n">
        <x:v>0.08</x:v>
      </x:c>
      <x:c r="G2" s="30" t="n">
        <x:v>1</x:v>
      </x:c>
      <x:c r="H2" t="str">
        <x:v>engineering fit anchored to design-capacity exceedance and high-wind field mechanisms</x:v>
      </x:c>
      <x:c r="I2" t="str">
        <x:v>Tracker structural losses transition near design-exceedance demand; stow modifies R.</x:v>
      </x:c>
    </x:row>
    <x:row r="3">
      <x:c r="A3" t="str">
        <x:v>SWS_RACKING_STRUCT</x:v>
      </x:c>
      <x:c r="B3" s="28" t="n">
        <x:v>0.75</x:v>
      </x:c>
      <x:c r="C3" s="28" t="n">
        <x:v>0.8</x:v>
      </x:c>
      <x:c r="D3" s="28" t="n">
        <x:v>1.25</x:v>
      </x:c>
      <x:c r="E3" s="28" t="n">
        <x:v>8</x:v>
      </x:c>
      <x:c r="F3" s="30" t="n">
        <x:v>0.06</x:v>
      </x:c>
      <x:c r="G3" s="30" t="n">
        <x:v>1</x:v>
      </x:c>
      <x:c r="H3" t="str">
        <x:v>engineering fit anchored to racking/fastener/collapse mechanisms</x:v>
      </x:c>
      <x:c r="I3" t="str">
        <x:v>Racking is distinct from tracker drives; may represent fixed-tilt or structural rails.</x:v>
      </x:c>
    </x:row>
    <x:row r="4">
      <x:c r="A4" t="str">
        <x:v>SWS_MODULE_ATTACH</x:v>
      </x:c>
      <x:c r="B4" s="28" t="n">
        <x:v>0.65</x:v>
      </x:c>
      <x:c r="C4" s="28" t="n">
        <x:v>0.7</x:v>
      </x:c>
      <x:c r="D4" s="28" t="n">
        <x:v>1.05</x:v>
      </x:c>
      <x:c r="E4" s="28" t="n">
        <x:v>10</x:v>
      </x:c>
      <x:c r="F4" s="30" t="n">
        <x:v>0.4</x:v>
      </x:c>
      <x:c r="G4" s="30" t="n">
        <x:v>1</x:v>
      </x:c>
      <x:c r="H4" t="str">
        <x:v>engineering fit anchored to clamp/module-release mechanisms</x:v>
      </x:c>
      <x:c r="I4" t="str">
        <x:v>May be consequential on racking/tracker failure; avoid double-counting in detailed assembly.</x:v>
      </x:c>
    </x:row>
    <x:row r="5">
      <x:c r="A5" t="str">
        <x:v>SWS_FOUNDATION_UPLIFT</x:v>
      </x:c>
      <x:c r="B5" s="28" t="n">
        <x:v>0.45</x:v>
      </x:c>
      <x:c r="C5" s="28" t="n">
        <x:v>0.9</x:v>
      </x:c>
      <x:c r="D5" s="28" t="n">
        <x:v>1.35</x:v>
      </x:c>
      <x:c r="E5" s="28" t="n">
        <x:v>7</x:v>
      </x:c>
      <x:c r="F5" s="30" t="n">
        <x:v>0.08</x:v>
      </x:c>
      <x:c r="G5" s="30" t="n">
        <x:v>1</x:v>
      </x:c>
      <x:c r="H5" t="str">
        <x:v>engineering fit anchored to structural support demand; highly site/foundation-specific</x:v>
      </x:c>
      <x:c r="I5" t="str">
        <x:v>Foundation curve is least source-anchored; flagged for geotechnical calibration.</x:v>
      </x:c>
    </x:row>
    <x:row r="6">
      <x:c r="A6" t="str">
        <x:v>SWS_SCADA_EXPOSED</x:v>
      </x:c>
      <x:c r="B6" s="28" t="n">
        <x:v>0.15</x:v>
      </x:c>
      <x:c r="C6" s="28" t="n">
        <x:v>0.7</x:v>
      </x:c>
      <x:c r="D6" s="28" t="n">
        <x:v>0.95</x:v>
      </x:c>
      <x:c r="E6" s="28" t="n">
        <x:v>6</x:v>
      </x:c>
      <x:c r="F6" s="30" t="n">
        <x:v>0.02</x:v>
      </x:c>
      <x:c r="G6" s="30" t="n">
        <x:v>1</x:v>
      </x:c>
      <x:c r="H6" t="str">
        <x:v>secondary exposed-instrument approximation</x:v>
      </x:c>
      <x:c r="I6" t="str">
        <x:v>Low value share; optional in production unless asset has exposed met/SCADA vulnerabilities.</x:v>
      </x:c>
    </x:row>
    <x:row r="9">
      <x:c r="A9" s="36" t="str">
        <x:v>Curve formula</x:v>
      </x:c>
      <x:c r="B9" t="str">
        <x:v>DR_i(V) = IF(R_eff &lt; R0_i, 0, max_DR_i / (1 + EXP(-k_i × (R_eff - R50_i))))</x:v>
      </x:c>
    </x:row>
    <x:row r="10">
      <x:c r="A10" s="36" t="str">
        <x:v>Demand ratio formula</x:v>
      </x:c>
      <x:c r="B10" t="str">
        <x:v>R_eff = (V_3s / V_design)^2 × selected_stow_multiplier × zone_multiplier × other local multipliers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58" hidden="0" customWidth="1"/>
    <x:col min="4" max="4" width="18" hidden="0" customWidth="1"/>
    <x:col min="5" max="5" width="34" hidden="0" customWidth="1"/>
    <x:col min="6" max="6" width="44" hidden="0" customWidth="1"/>
  </x:cols>
  <x:sheetData>
    <x:row r="1" ht="24" customHeight="1">
      <x:c r="A1" s="18" t="str">
        <x:v>Adjustment type</x:v>
      </x:c>
      <x:c r="B1" s="18" t="str">
        <x:v>Variable</x:v>
      </x:c>
      <x:c r="C1" s="18" t="str">
        <x:v>How it acts in v1.0</x:v>
      </x:c>
      <x:c r="D1" s="18" t="str">
        <x:v>Default value</x:v>
      </x:c>
      <x:c r="E1" s="18" t="str">
        <x:v>Model impact</x:v>
      </x:c>
      <x:c r="F1" s="18" t="str">
        <x:v>When to update</x:v>
      </x:c>
    </x:row>
    <x:row r="2">
      <x:c r="A2" t="str">
        <x:v>Selector</x:v>
      </x:c>
      <x:c r="B2" t="str">
        <x:v>mounting_type</x:v>
      </x:c>
      <x:c r="C2" t="str">
        <x:v>chooses tracker vs fixed/racking emphasis; default workbook includes both for generic utility PV</x:v>
      </x:c>
      <x:c r="D2" t="str">
        <x:v>single_axis_tracker</x:v>
      </x:c>
      <x:c r="E2" t="str">
        <x:v>May choose active curves / weights</x:v>
      </x:c>
      <x:c r="F2" t="str">
        <x:v>Use asset-specific mounting inventory.</x:v>
      </x:c>
    </x:row>
    <x:row r="3">
      <x:c r="A3" t="str">
        <x:v>Conditioner</x:v>
      </x:c>
      <x:c r="B3" t="str">
        <x:v>stow_state</x:v>
      </x:c>
      <x:c r="C3" t="str">
        <x:v>modifies effective demand ratio R through demand multiplier</x:v>
      </x:c>
      <x:c r="D3" t="str">
        <x:v>probabilistic</x:v>
      </x:c>
      <x:c r="E3" t="str">
        <x:v>Changes same-input DR when specified differently</x:v>
      </x:c>
      <x:c r="F3" t="str">
        <x:v>Update when SCADA or stow policy data exists.</x:v>
      </x:c>
    </x:row>
    <x:row r="4">
      <x:c r="A4" t="str">
        <x:v>Conditioner</x:v>
      </x:c>
      <x:c r="B4" t="str">
        <x:v>P_stowed</x:v>
      </x:c>
      <x:c r="C4" t="str">
        <x:v>probability blend between stowed and unstowed demand multipliers when state unknown</x:v>
      </x:c>
      <x:c r="D4" t="n">
        <x:v>0.75</x:v>
      </x:c>
      <x:c r="E4" t="str">
        <x:v>Changes expected DR under unknown stow</x:v>
      </x:c>
      <x:c r="F4" t="str">
        <x:v>Replace with site operations / alert-response data.</x:v>
      </x:c>
    </x:row>
    <x:row r="5">
      <x:c r="A5" t="str">
        <x:v>Conditioner</x:v>
      </x:c>
      <x:c r="B5" t="str">
        <x:v>stow_angle_deg</x:v>
      </x:c>
      <x:c r="C5" t="str">
        <x:v>documented but not explicitly parameterized beyond stow_state in v1.0</x:v>
      </x:c>
      <x:c r="D5" t="n">
        <x:v>0</x:v>
      </x:c>
      <x:c r="E5" t="str">
        <x:v>Flag only</x:v>
      </x:c>
      <x:c r="F5" t="str">
        <x:v>Use tracker-specific aeroelastic data for numeric angle curve.</x:v>
      </x:c>
    </x:row>
    <x:row r="6">
      <x:c r="A6" t="str">
        <x:v>Exposure</x:v>
      </x:c>
      <x:c r="B6" t="str">
        <x:v>zone_multiplier</x:v>
      </x:c>
      <x:c r="C6" t="str">
        <x:v>edge/corner/perimeter demand multiplier applied to R</x:v>
      </x:c>
      <x:c r="D6" t="n">
        <x:v>1.15</x:v>
      </x:c>
      <x:c r="E6" t="str">
        <x:v>Changes R / DR</x:v>
      </x:c>
      <x:c r="F6" t="str">
        <x:v>Update with layout and wind-direction model.</x:v>
      </x:c>
    </x:row>
    <x:row r="7">
      <x:c r="A7" t="str">
        <x:v>Exposure</x:v>
      </x:c>
      <x:c r="B7" t="str">
        <x:v>array_exposure_fraction</x:v>
      </x:c>
      <x:c r="C7" t="str">
        <x:v>scales affected value, not fragility</x:v>
      </x:c>
      <x:c r="D7" t="n">
        <x:v>1</x:v>
      </x:c>
      <x:c r="E7" t="str">
        <x:v>Changes dollars and %TIV, not DR</x:v>
      </x:c>
      <x:c r="F7" t="str">
        <x:v>Update with event footprint/swath.</x:v>
      </x:c>
    </x:row>
    <x:row r="8">
      <x:c r="A8" t="str">
        <x:v>Selector</x:v>
      </x:c>
      <x:c r="B8" t="str">
        <x:v>design_gust_mph</x:v>
      </x:c>
      <x:c r="C8" t="str">
        <x:v>normalizes wind speed into demand ratio R=(V/Vdesign)^2</x:v>
      </x:c>
      <x:c r="D8" t="n">
        <x:v>120</x:v>
      </x:c>
      <x:c r="E8" t="str">
        <x:v>Changes DR for same V</x:v>
      </x:c>
      <x:c r="F8" t="str">
        <x:v>Use project design documents or ASCE site design.</x:v>
      </x:c>
    </x:row>
    <x:row r="9">
      <x:c r="A9" t="str">
        <x:v>Deferred pathway</x:v>
      </x:c>
      <x:c r="B9" t="str">
        <x:v>tornado/debris</x:v>
      </x:c>
      <x:c r="C9" t="str">
        <x:v>not in v1.0 straight-line wind curve; separate future pathway</x:v>
      </x:c>
      <x:c r="D9" t="str">
        <x:v>deferred</x:v>
      </x:c>
      <x:c r="E9" t="str">
        <x:v>No v1.0 effect</x:v>
      </x:c>
      <x:c r="F9" t="str">
        <x:v>Model as tornado × solar or as a separate sub-pathway.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18" hidden="0" customWidth="1"/>
    <x:col min="5" max="5" width="54" hidden="0" customWidth="1"/>
    <x:col min="6" max="6" width="32" hidden="0" customWidth="1"/>
  </x:cols>
  <x:sheetData>
    <x:row r="1" ht="24" customHeight="1">
      <x:c r="A1" s="18" t="str">
        <x:v>variant_id</x:v>
      </x:c>
      <x:c r="B1" s="18" t="str">
        <x:v>mounting_type</x:v>
      </x:c>
      <x:c r="C1" s="18" t="str">
        <x:v>stow_state</x:v>
      </x:c>
      <x:c r="D1" s="18" t="str">
        <x:v>demand_multiplier</x:v>
      </x:c>
      <x:c r="E1" s="18" t="str">
        <x:v>description</x:v>
      </x:c>
      <x:c r="F1" s="18" t="str">
        <x:v>use_case</x:v>
      </x:c>
    </x:row>
    <x:row r="2">
      <x:c r="A2" t="str">
        <x:v>SWS_TRACKER_STOWED</x:v>
      </x:c>
      <x:c r="B2" t="str">
        <x:v>single_axis_tracker</x:v>
      </x:c>
      <x:c r="C2" t="str">
        <x:v>confirmed_stowed</x:v>
      </x:c>
      <x:c r="D2" t="n">
        <x:v>0.8</x:v>
      </x:c>
      <x:c r="E2" t="str">
        <x:v>Lower expected wind demand due to defensive stow; generic placeholder.</x:v>
      </x:c>
      <x:c r="F2" t="str">
        <x:v>Tracker with confirmed high-wind stow.</x:v>
      </x:c>
    </x:row>
    <x:row r="3">
      <x:c r="A3" t="str">
        <x:v>SWS_TRACKER_UNSTOWED</x:v>
      </x:c>
      <x:c r="B3" t="str">
        <x:v>single_axis_tracker</x:v>
      </x:c>
      <x:c r="C3" t="str">
        <x:v>unstowed_or_failed</x:v>
      </x:c>
      <x:c r="D3" t="n">
        <x:v>1.25</x:v>
      </x:c>
      <x:c r="E3" t="str">
        <x:v>Higher wind demand when tracker not in defensive stow or control failed.</x:v>
      </x:c>
      <x:c r="F3" t="str">
        <x:v>Event with failed stow or unknown but conservative state.</x:v>
      </x:c>
    </x:row>
    <x:row r="4">
      <x:c r="A4" t="str">
        <x:v>SWS_TRACKER_PROB</x:v>
      </x:c>
      <x:c r="B4" t="str">
        <x:v>single_axis_tracker</x:v>
      </x:c>
      <x:c r="C4" t="str">
        <x:v>probabilistic</x:v>
      </x:c>
      <x:c r="D4" t="n">
        <x:v>0.9125</x:v>
      </x:c>
      <x:c r="E4" t="str">
        <x:v>Default = 0.75×0.80 + 0.25×1.25 = 0.9125 before zone multiplier.</x:v>
      </x:c>
      <x:c r="F4" t="str">
        <x:v>Default expected-state scenario.</x:v>
      </x:c>
    </x:row>
    <x:row r="5">
      <x:c r="A5" t="str">
        <x:v>SWS_FIXED_TILT</x:v>
      </x:c>
      <x:c r="B5" t="str">
        <x:v>fixed_tilt</x:v>
      </x:c>
      <x:c r="C5" t="str">
        <x:v>not_applicable</x:v>
      </x:c>
      <x:c r="D5" t="n">
        <x:v>1</x:v>
      </x:c>
      <x:c r="E5" t="str">
        <x:v>No tracker stow; use racking/module/foundation curves with fixed-tilt selectors.</x:v>
      </x:c>
      <x:c r="F5" t="str">
        <x:v>Fixed-tilt array.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0" hidden="0" customWidth="1"/>
    <x:col min="3" max="3" width="16" hidden="0" customWidth="1"/>
    <x:col min="4" max="4" width="28" hidden="0" customWidth="1"/>
    <x:col min="5" max="5" width="50" hidden="0" customWidth="1"/>
  </x:cols>
  <x:sheetData>
    <x:row r="1" ht="24" customHeight="1">
      <x:c r="A1" s="18" t="str">
        <x:v>assumption_id</x:v>
      </x:c>
      <x:c r="B1" s="18" t="str">
        <x:v>assumption</x:v>
      </x:c>
      <x:c r="C1" s="18" t="str">
        <x:v>strength</x:v>
      </x:c>
      <x:c r="D1" s="18" t="str">
        <x:v>affects</x:v>
      </x:c>
      <x:c r="E1" s="18" t="str">
        <x:v>update trigger</x:v>
      </x:c>
    </x:row>
    <x:row r="2">
      <x:c r="A2" t="str">
        <x:v>A_SWS_001</x:v>
      </x:c>
      <x:c r="B2" t="str">
        <x:v>Generic v1.0 uses engineering-fit fragility curves on effective demand ratio, not claims-calibrated wind-speed DRs.</x:v>
      </x:c>
      <x:c r="C2" t="str">
        <x:v>Medium</x:v>
      </x:c>
      <x:c r="D2" t="str">
        <x:v>All curve parameters</x:v>
      </x:c>
      <x:c r="E2" t="str">
        <x:v>Adopt when claims/forensic datasets provide wind-speed + loss anchors.</x:v>
      </x:c>
    </x:row>
    <x:row r="3">
      <x:c r="A3" t="str">
        <x:v>A_SWS_002</x:v>
      </x:c>
      <x:c r="B3" t="str">
        <x:v>Design gust speed default is 120 mph for illustrative example; production should use site-specific ASCE/project design documents.</x:v>
      </x:c>
      <x:c r="C3" t="str">
        <x:v>Low as generic input</x:v>
      </x:c>
      <x:c r="D3" t="str">
        <x:v>R and all DRs</x:v>
      </x:c>
      <x:c r="E3" t="str">
        <x:v>Replace with asset-specific design basis.</x:v>
      </x:c>
    </x:row>
    <x:row r="4">
      <x:c r="A4" t="str">
        <x:v>A_SWS_003</x:v>
      </x:c>
      <x:c r="B4" t="str">
        <x:v>Stow demand multipliers are directionally source-supported but numerically generic placeholders.</x:v>
      </x:c>
      <x:c r="C4" t="str">
        <x:v>Medium-low</x:v>
      </x:c>
      <x:c r="D4" t="str">
        <x:v>Tracker/racking/module/foundation DR under tracker systems</x:v>
      </x:c>
      <x:c r="E4" t="str">
        <x:v>Replace with tracker-specific wind tunnel/aeroelastic/SCADA evidence.</x:v>
      </x:c>
    </x:row>
    <x:row r="5">
      <x:c r="A5" t="str">
        <x:v>A_SWS_004</x:v>
      </x:c>
      <x:c r="B5" t="str">
        <x:v>Module attachment and racking curves can overlap; v1.0 flags dependency but does not implement a full cascade model.</x:v>
      </x:c>
      <x:c r="C5" t="str">
        <x:v>Medium</x:v>
      </x:c>
      <x:c r="D5" t="str">
        <x:v>Cell assembly / double-counting</x:v>
      </x:c>
      <x:c r="E5" t="str">
        <x:v>Implement dependency/cascade assembly in v1.1 if needed.</x:v>
      </x:c>
    </x:row>
    <x:row r="6">
      <x:c r="A6" t="str">
        <x:v>A_SWS_005</x:v>
      </x:c>
      <x:c r="B6" t="str">
        <x:v>Foundation uplift curve is highly site/foundation-specific and should be considered a generic structural-zone placeholder.</x:v>
      </x:c>
      <x:c r="C6" t="str">
        <x:v>Low</x:v>
      </x:c>
      <x:c r="D6" t="str">
        <x:v>Foundation DR</x:v>
      </x:c>
      <x:c r="E6" t="str">
        <x:v>Replace with foundation design/geotechnical details.</x:v>
      </x:c>
    </x:row>
    <x:row r="7">
      <x:c r="A7" t="str">
        <x:v>A_SWS_006</x:v>
      </x:c>
      <x:c r="B7" t="str">
        <x:v>Tornado/debris/missile damage is out of v1.0 and should not be represented by simply extending straight-line gust speed.</x:v>
      </x:c>
      <x:c r="C7" t="str">
        <x:v>High</x:v>
      </x:c>
      <x:c r="D7" t="str">
        <x:v>Scope / hazard pathway</x:v>
      </x:c>
      <x:c r="E7" t="str">
        <x:v>Create tornado × solar pathway if tornado source data is in scope.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8" hidden="0" customWidth="1"/>
    <x:col min="7" max="7" width="20" hidden="0" customWidth="1"/>
    <x:col min="8" max="8" width="12" hidden="0" customWidth="1"/>
    <x:col min="9" max="9" width="18" hidden="0" customWidth="1"/>
    <x:col min="10" max="10" width="16" hidden="0" customWidth="1"/>
    <x:col min="11" max="11" width="14" hidden="0" customWidth="1"/>
    <x:col min="12" max="12" width="54" hidden="0" customWidth="1"/>
  </x:cols>
  <x:sheetData>
    <x:row r="1" ht="24" customHeight="1">
      <x:c r="A1" s="18" t="str">
        <x:v>value_link_id</x:v>
      </x:c>
      <x:c r="B1" s="18" t="str">
        <x:v>curve_id</x:v>
      </x:c>
      <x:c r="C1" s="18" t="str">
        <x:v>basis</x:v>
      </x:c>
      <x:c r="D1" s="18" t="str">
        <x:v>physical_base_$</x:v>
      </x:c>
      <x:c r="E1" s="18" t="str">
        <x:v>TIV_$</x:v>
      </x:c>
      <x:c r="F1" s="18" t="str">
        <x:v>value_share_physical</x:v>
      </x:c>
      <x:c r="G1" s="18" t="str">
        <x:v>at_risk_f_kind</x:v>
      </x:c>
      <x:c r="H1" s="18" t="str">
        <x:v>at_risk_f</x:v>
      </x:c>
      <x:c r="I1" s="18" t="str">
        <x:v>exposure_fraction</x:v>
      </x:c>
      <x:c r="J1" s="18" t="str">
        <x:v>cap_$</x:v>
      </x:c>
      <x:c r="K1" s="18" t="str">
        <x:v>cap_%TIV</x:v>
      </x:c>
      <x:c r="L1" s="18" t="str">
        <x:v>notes</x:v>
      </x:c>
    </x:row>
    <x:row r="2">
      <x:c r="A2" t="str">
        <x:v>VL_TRACKER</x:v>
      </x:c>
      <x:c r="B2" t="str">
        <x:v>SWS_TRACKER_STRUCT</x:v>
      </x:c>
      <x:c r="C2" t="str">
        <x:v>physical_replaceable</x:v>
      </x:c>
      <x:c r="D2" s="24" t="n">
        <x:v>87800000</x:v>
      </x:c>
      <x:c r="E2" s="24" t="n">
        <x:v>112000000</x:v>
      </x:c>
      <x:c r="F2" s="30" t="n">
        <x:v>0.08</x:v>
      </x:c>
      <x:c r="G2" s="30" t="str">
        <x:v>structural-zone</x:v>
      </x:c>
      <x:c r="H2" s="30" t="n">
        <x:v>1</x:v>
      </x:c>
      <x:c r="I2" s="30" t="n">
        <x:f>Dashboard!$B$11</x:f>
        <x:v>1</x:v>
      </x:c>
      <x:c r="J2" s="24" t="n">
        <x:f>D2*F2*H2*I2*Base_Curve_Fit!B2</x:f>
        <x:v>5619200</x:v>
      </x:c>
      <x:c r="K2" s="30" t="n">
        <x:f>J2/E2</x:f>
        <x:v>0.05017142857142857</x:v>
      </x:c>
      <x:c r="L2" t="str">
        <x:v>Tracker structural value placeholder.</x:v>
      </x:c>
    </x:row>
    <x:row r="3">
      <x:c r="A3" t="str">
        <x:v>VL_RACKING</x:v>
      </x:c>
      <x:c r="B3" t="str">
        <x:v>SWS_RACKING_STRUCT</x:v>
      </x:c>
      <x:c r="C3" t="str">
        <x:v>physical_replaceable</x:v>
      </x:c>
      <x:c r="D3" s="24" t="n">
        <x:v>87800000</x:v>
      </x:c>
      <x:c r="E3" s="24" t="n">
        <x:v>112000000</x:v>
      </x:c>
      <x:c r="F3" s="30" t="n">
        <x:v>0.06</x:v>
      </x:c>
      <x:c r="G3" s="30" t="str">
        <x:v>structural-zone</x:v>
      </x:c>
      <x:c r="H3" s="30" t="n">
        <x:v>1</x:v>
      </x:c>
      <x:c r="I3" s="30" t="n">
        <x:f>Dashboard!$B$11</x:f>
        <x:v>1</x:v>
      </x:c>
      <x:c r="J3" s="24" t="n">
        <x:f>D3*F3*H3*I3*Base_Curve_Fit!B3</x:f>
        <x:v>3951000</x:v>
      </x:c>
      <x:c r="K3" s="30" t="n">
        <x:f>J3/E3</x:f>
        <x:v>0.03527678571428571</x:v>
      </x:c>
      <x:c r="L3" t="str">
        <x:v>Racking structural value placeholder.</x:v>
      </x:c>
    </x:row>
    <x:row r="4">
      <x:c r="A4" t="str">
        <x:v>VL_MODULE</x:v>
      </x:c>
      <x:c r="B4" t="str">
        <x:v>SWS_MODULE_ATTACH</x:v>
      </x:c>
      <x:c r="C4" t="str">
        <x:v>physical_replaceable</x:v>
      </x:c>
      <x:c r="D4" s="24" t="n">
        <x:v>87800000</x:v>
      </x:c>
      <x:c r="E4" s="24" t="n">
        <x:v>112000000</x:v>
      </x:c>
      <x:c r="F4" s="30" t="n">
        <x:v>0.4</x:v>
      </x:c>
      <x:c r="G4" s="30" t="str">
        <x:v>structural-zone</x:v>
      </x:c>
      <x:c r="H4" s="30" t="n">
        <x:v>1</x:v>
      </x:c>
      <x:c r="I4" s="30" t="n">
        <x:f>Dashboard!$B$11</x:f>
        <x:v>1</x:v>
      </x:c>
      <x:c r="J4" s="24" t="n">
        <x:f>D4*F4*H4*I4*Base_Curve_Fit!B4</x:f>
        <x:v>22828000</x:v>
      </x:c>
      <x:c r="K4" s="30" t="n">
        <x:f>J4/E4</x:f>
        <x:v>0.20382142857142857</x:v>
      </x:c>
      <x:c r="L4" t="str">
        <x:v>PV module value exposed to attachment/detachment pathway.</x:v>
      </x:c>
    </x:row>
    <x:row r="5">
      <x:c r="A5" t="str">
        <x:v>VL_FOUNDATION</x:v>
      </x:c>
      <x:c r="B5" t="str">
        <x:v>SWS_FOUNDATION_UPLIFT</x:v>
      </x:c>
      <x:c r="C5" t="str">
        <x:v>physical_replaceable</x:v>
      </x:c>
      <x:c r="D5" s="24" t="n">
        <x:v>87800000</x:v>
      </x:c>
      <x:c r="E5" s="24" t="n">
        <x:v>112000000</x:v>
      </x:c>
      <x:c r="F5" s="30" t="n">
        <x:v>0.08</x:v>
      </x:c>
      <x:c r="G5" s="30" t="str">
        <x:v>structural-zone</x:v>
      </x:c>
      <x:c r="H5" s="30" t="n">
        <x:v>1</x:v>
      </x:c>
      <x:c r="I5" s="30" t="n">
        <x:f>Dashboard!$B$11</x:f>
        <x:v>1</x:v>
      </x:c>
      <x:c r="J5" s="24" t="n">
        <x:f>D5*F5*H5*I5*Base_Curve_Fit!B5</x:f>
        <x:v>3160800</x:v>
      </x:c>
      <x:c r="K5" s="30" t="n">
        <x:f>J5/E5</x:f>
        <x:v>0.02822142857142857</x:v>
      </x:c>
      <x:c r="L5" t="str">
        <x:v>Foundation/pile value placeholder.</x:v>
      </x:c>
    </x:row>
    <x:row r="6">
      <x:c r="A6" t="str">
        <x:v>VL_SCADA</x:v>
      </x:c>
      <x:c r="B6" t="str">
        <x:v>SWS_SCADA_EXPOSED</x:v>
      </x:c>
      <x:c r="C6" t="str">
        <x:v>physical_replaceable</x:v>
      </x:c>
      <x:c r="D6" s="24" t="n">
        <x:v>87800000</x:v>
      </x:c>
      <x:c r="E6" s="24" t="n">
        <x:v>112000000</x:v>
      </x:c>
      <x:c r="F6" s="30" t="n">
        <x:v>0.02</x:v>
      </x:c>
      <x:c r="G6" s="30" t="str">
        <x:v>structural-zone</x:v>
      </x:c>
      <x:c r="H6" s="30" t="n">
        <x:v>1</x:v>
      </x:c>
      <x:c r="I6" s="30" t="n">
        <x:f>Dashboard!$B$11</x:f>
        <x:v>1</x:v>
      </x:c>
      <x:c r="J6" s="24" t="n">
        <x:f>D6*F6*H6*I6*Base_Curve_Fit!B6</x:f>
        <x:v>263400</x:v>
      </x:c>
      <x:c r="K6" s="30" t="n">
        <x:f>J6/E6</x:f>
        <x:v>0.0023517857142857142</x:v>
      </x:c>
      <x:c r="L6" t="str">
        <x:v>Secondary exposed SCADA/met value.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2" hidden="0" customWidth="1"/>
    <x:col min="9" max="9" width="16" hidden="0" customWidth="1"/>
    <x:col min="10" max="10" width="16" hidden="0" customWidth="1"/>
    <x:col min="11" max="11" width="12" hidden="0" customWidth="1"/>
    <x:col min="12" max="12" width="24" hidden="0" customWidth="1"/>
  </x:cols>
  <x:sheetData>
    <x:row r="1" ht="24" customHeight="1">
      <x:c r="A1" s="18" t="str">
        <x:v>V_mph</x:v>
      </x:c>
      <x:c r="B1" s="18" t="str">
        <x:v>V_mps</x:v>
      </x:c>
      <x:c r="C1" s="18" t="str">
        <x:v>R_eff</x:v>
      </x:c>
      <x:c r="D1" s="18" t="str">
        <x:v>Tracker_DR</x:v>
      </x:c>
      <x:c r="E1" s="18" t="str">
        <x:v>Racking_DR</x:v>
      </x:c>
      <x:c r="F1" s="18" t="str">
        <x:v>ModuleAttach_DR</x:v>
      </x:c>
      <x:c r="G1" s="18" t="str">
        <x:v>Foundation_DR</x:v>
      </x:c>
      <x:c r="H1" s="18" t="str">
        <x:v>SCADA_DR</x:v>
      </x:c>
      <x:c r="I1" s="18" t="str">
        <x:v>Total_Loss_$</x:v>
      </x:c>
      <x:c r="J1" s="18" t="str">
        <x:v>% Physical Base</x:v>
      </x:c>
      <x:c r="K1" s="18" t="str">
        <x:v>% TIV</x:v>
      </x:c>
      <x:c r="L1" s="18" t="str">
        <x:v>Notes</x:v>
      </x:c>
    </x:row>
    <x:row r="2">
      <x:c r="A2" t="n">
        <x:v>60</x:v>
      </x:c>
      <x:c r="B2" s="38" t="n">
        <x:f>A2*0.44704</x:f>
        <x:v>26.8224</x:v>
      </x:c>
      <x:c r="C2" s="30" t="n">
        <x:f>(A2/Dashboard!$B$6)^2*Dashboard!$G$8</x:f>
        <x:v>0.26234375</x:v>
      </x:c>
      <x:c r="D2" s="30" t="n">
        <x:f>IF($C2&lt;Base_Curve_Fit!$C$2,0,Base_Curve_Fit!$B$2/(1+EXP(-Base_Curve_Fit!$E$2*($C2-Base_Curve_Fit!$D$2))))</x:f>
        <x:v>0</x:v>
      </x:c>
      <x:c r="E2" s="30" t="n">
        <x:f>IF($C2&lt;Base_Curve_Fit!$C$3,0,Base_Curve_Fit!$B$3/(1+EXP(-Base_Curve_Fit!$E$3*($C2-Base_Curve_Fit!$D$3))))</x:f>
        <x:v>0</x:v>
      </x:c>
      <x:c r="F2" s="30" t="n">
        <x:f>IF($C2&lt;Base_Curve_Fit!$C$4,0,Base_Curve_Fit!$B$4/(1+EXP(-Base_Curve_Fit!$E$4*($C2-Base_Curve_Fit!$D$4))))</x:f>
        <x:v>0</x:v>
      </x:c>
      <x:c r="G2" s="30" t="n">
        <x:f>IF($C2&lt;Base_Curve_Fit!$C$5,0,Base_Curve_Fit!$B$5/(1+EXP(-Base_Curve_Fit!$E$5*($C2-Base_Curve_Fit!$D$5))))</x:f>
        <x:v>0</x:v>
      </x:c>
      <x:c r="H2" s="30" t="n">
        <x:f>IF($C2&lt;Base_Curve_Fit!$C$6,0,Base_Curve_Fit!$B$6/(1+EXP(-Base_Curve_Fit!$E$6*($C2-Base_Curve_Fit!$D$6))))</x:f>
        <x:v>0</x:v>
      </x:c>
      <x:c r="I2" s="24" t="n">
        <x:f>(D2*Base_Curve_Fit!$F$2+E2*Base_Curve_Fit!$F$3+F2*Base_Curve_Fit!$F$4+G2*Base_Curve_Fit!$F$5+H2*Base_Curve_Fit!$F$6)*Dashboard!$B$5*Dashboard!$B$11</x:f>
        <x:v>0</x:v>
      </x:c>
      <x:c r="J2" s="30" t="n">
        <x:f>I2/Dashboard!$B$5</x:f>
        <x:v>0</x:v>
      </x:c>
      <x:c r="K2" s="30" t="n">
        <x:f>I2/Dashboard!$B$4</x:f>
        <x:v>0</x:v>
      </x:c>
      <x:c r="L2" t="str">
        <x:f>IF(C2&lt;0.75,"below modeled onset",IF(C2&lt;1,"approaching design",IF(C2&lt;1.5,"exceedance region","severe exceedance")))</x:f>
        <x:v>below modeled onset</x:v>
      </x:c>
    </x:row>
    <x:row r="3">
      <x:c r="A3" t="n">
        <x:v>65</x:v>
      </x:c>
      <x:c r="B3" s="38" t="n">
        <x:f>A3*0.44704</x:f>
        <x:v>29.0576</x:v>
      </x:c>
      <x:c r="C3" s="30" t="n">
        <x:f>(A3/Dashboard!$B$6)^2*Dashboard!$G$8</x:f>
        <x:v>0.3078895399305555</x:v>
      </x:c>
      <x:c r="D3" s="30" t="n">
        <x:f>IF($C3&lt;Base_Curve_Fit!$C$2,0,Base_Curve_Fit!$B$2/(1+EXP(-Base_Curve_Fit!$E$2*($C3-Base_Curve_Fit!$D$2))))</x:f>
        <x:v>0</x:v>
      </x:c>
      <x:c r="E3" s="30" t="n">
        <x:f>IF($C3&lt;Base_Curve_Fit!$C$3,0,Base_Curve_Fit!$B$3/(1+EXP(-Base_Curve_Fit!$E$3*($C3-Base_Curve_Fit!$D$3))))</x:f>
        <x:v>0</x:v>
      </x:c>
      <x:c r="F3" s="30" t="n">
        <x:f>IF($C3&lt;Base_Curve_Fit!$C$4,0,Base_Curve_Fit!$B$4/(1+EXP(-Base_Curve_Fit!$E$4*($C3-Base_Curve_Fit!$D$4))))</x:f>
        <x:v>0</x:v>
      </x:c>
      <x:c r="G3" s="30" t="n">
        <x:f>IF($C3&lt;Base_Curve_Fit!$C$5,0,Base_Curve_Fit!$B$5/(1+EXP(-Base_Curve_Fit!$E$5*($C3-Base_Curve_Fit!$D$5))))</x:f>
        <x:v>0</x:v>
      </x:c>
      <x:c r="H3" s="30" t="n">
        <x:f>IF($C3&lt;Base_Curve_Fit!$C$6,0,Base_Curve_Fit!$B$6/(1+EXP(-Base_Curve_Fit!$E$6*($C3-Base_Curve_Fit!$D$6))))</x:f>
        <x:v>0</x:v>
      </x:c>
      <x:c r="I3" s="24" t="n">
        <x:f>(D3*Base_Curve_Fit!$F$2+E3*Base_Curve_Fit!$F$3+F3*Base_Curve_Fit!$F$4+G3*Base_Curve_Fit!$F$5+H3*Base_Curve_Fit!$F$6)*Dashboard!$B$5*Dashboard!$B$11</x:f>
        <x:v>0</x:v>
      </x:c>
      <x:c r="J3" s="30" t="n">
        <x:f>I3/Dashboard!$B$5</x:f>
        <x:v>0</x:v>
      </x:c>
      <x:c r="K3" s="30" t="n">
        <x:f>I3/Dashboard!$B$4</x:f>
        <x:v>0</x:v>
      </x:c>
      <x:c r="L3" t="str">
        <x:f>IF(C3&lt;0.75,"below modeled onset",IF(C3&lt;1,"approaching design",IF(C3&lt;1.5,"exceedance region","severe exceedance")))</x:f>
        <x:v>below modeled onset</x:v>
      </x:c>
    </x:row>
    <x:row r="4">
      <x:c r="A4" t="n">
        <x:v>70</x:v>
      </x:c>
      <x:c r="B4" s="38" t="n">
        <x:f>A4*0.44704</x:f>
        <x:v>31.2928</x:v>
      </x:c>
      <x:c r="C4" s="30" t="n">
        <x:f>(A4/Dashboard!$B$6)^2*Dashboard!$G$8</x:f>
        <x:v>0.3570789930555556</x:v>
      </x:c>
      <x:c r="D4" s="30" t="n">
        <x:f>IF($C4&lt;Base_Curve_Fit!$C$2,0,Base_Curve_Fit!$B$2/(1+EXP(-Base_Curve_Fit!$E$2*($C4-Base_Curve_Fit!$D$2))))</x:f>
        <x:v>0</x:v>
      </x:c>
      <x:c r="E4" s="30" t="n">
        <x:f>IF($C4&lt;Base_Curve_Fit!$C$3,0,Base_Curve_Fit!$B$3/(1+EXP(-Base_Curve_Fit!$E$3*($C4-Base_Curve_Fit!$D$3))))</x:f>
        <x:v>0</x:v>
      </x:c>
      <x:c r="F4" s="30" t="n">
        <x:f>IF($C4&lt;Base_Curve_Fit!$C$4,0,Base_Curve_Fit!$B$4/(1+EXP(-Base_Curve_Fit!$E$4*($C4-Base_Curve_Fit!$D$4))))</x:f>
        <x:v>0</x:v>
      </x:c>
      <x:c r="G4" s="30" t="n">
        <x:f>IF($C4&lt;Base_Curve_Fit!$C$5,0,Base_Curve_Fit!$B$5/(1+EXP(-Base_Curve_Fit!$E$5*($C4-Base_Curve_Fit!$D$5))))</x:f>
        <x:v>0</x:v>
      </x:c>
      <x:c r="H4" s="30" t="n">
        <x:f>IF($C4&lt;Base_Curve_Fit!$C$6,0,Base_Curve_Fit!$B$6/(1+EXP(-Base_Curve_Fit!$E$6*($C4-Base_Curve_Fit!$D$6))))</x:f>
        <x:v>0</x:v>
      </x:c>
      <x:c r="I4" s="24" t="n">
        <x:f>(D4*Base_Curve_Fit!$F$2+E4*Base_Curve_Fit!$F$3+F4*Base_Curve_Fit!$F$4+G4*Base_Curve_Fit!$F$5+H4*Base_Curve_Fit!$F$6)*Dashboard!$B$5*Dashboard!$B$11</x:f>
        <x:v>0</x:v>
      </x:c>
      <x:c r="J4" s="30" t="n">
        <x:f>I4/Dashboard!$B$5</x:f>
        <x:v>0</x:v>
      </x:c>
      <x:c r="K4" s="30" t="n">
        <x:f>I4/Dashboard!$B$4</x:f>
        <x:v>0</x:v>
      </x:c>
      <x:c r="L4" t="str">
        <x:f>IF(C4&lt;0.75,"below modeled onset",IF(C4&lt;1,"approaching design",IF(C4&lt;1.5,"exceedance region","severe exceedance")))</x:f>
        <x:v>below modeled onset</x:v>
      </x:c>
    </x:row>
    <x:row r="5">
      <x:c r="A5" t="n">
        <x:v>75</x:v>
      </x:c>
      <x:c r="B5" s="38" t="n">
        <x:f>A5*0.44704</x:f>
        <x:v>33.528</x:v>
      </x:c>
      <x:c r="C5" s="30" t="n">
        <x:f>(A5/Dashboard!$B$6)^2*Dashboard!$G$8</x:f>
        <x:v>0.409912109375</x:v>
      </x:c>
      <x:c r="D5" s="30" t="n">
        <x:f>IF($C5&lt;Base_Curve_Fit!$C$2,0,Base_Curve_Fit!$B$2/(1+EXP(-Base_Curve_Fit!$E$2*($C5-Base_Curve_Fit!$D$2))))</x:f>
        <x:v>0</x:v>
      </x:c>
      <x:c r="E5" s="30" t="n">
        <x:f>IF($C5&lt;Base_Curve_Fit!$C$3,0,Base_Curve_Fit!$B$3/(1+EXP(-Base_Curve_Fit!$E$3*($C5-Base_Curve_Fit!$D$3))))</x:f>
        <x:v>0</x:v>
      </x:c>
      <x:c r="F5" s="30" t="n">
        <x:f>IF($C5&lt;Base_Curve_Fit!$C$4,0,Base_Curve_Fit!$B$4/(1+EXP(-Base_Curve_Fit!$E$4*($C5-Base_Curve_Fit!$D$4))))</x:f>
        <x:v>0</x:v>
      </x:c>
      <x:c r="G5" s="30" t="n">
        <x:f>IF($C5&lt;Base_Curve_Fit!$C$5,0,Base_Curve_Fit!$B$5/(1+EXP(-Base_Curve_Fit!$E$5*($C5-Base_Curve_Fit!$D$5))))</x:f>
        <x:v>0</x:v>
      </x:c>
      <x:c r="H5" s="30" t="n">
        <x:f>IF($C5&lt;Base_Curve_Fit!$C$6,0,Base_Curve_Fit!$B$6/(1+EXP(-Base_Curve_Fit!$E$6*($C5-Base_Curve_Fit!$D$6))))</x:f>
        <x:v>0</x:v>
      </x:c>
      <x:c r="I5" s="24" t="n">
        <x:f>(D5*Base_Curve_Fit!$F$2+E5*Base_Curve_Fit!$F$3+F5*Base_Curve_Fit!$F$4+G5*Base_Curve_Fit!$F$5+H5*Base_Curve_Fit!$F$6)*Dashboard!$B$5*Dashboard!$B$11</x:f>
        <x:v>0</x:v>
      </x:c>
      <x:c r="J5" s="30" t="n">
        <x:f>I5/Dashboard!$B$5</x:f>
        <x:v>0</x:v>
      </x:c>
      <x:c r="K5" s="30" t="n">
        <x:f>I5/Dashboard!$B$4</x:f>
        <x:v>0</x:v>
      </x:c>
      <x:c r="L5" t="str">
        <x:f>IF(C5&lt;0.75,"below modeled onset",IF(C5&lt;1,"approaching design",IF(C5&lt;1.5,"exceedance region","severe exceedance")))</x:f>
        <x:v>below modeled onset</x:v>
      </x:c>
    </x:row>
    <x:row r="6">
      <x:c r="A6" t="n">
        <x:v>80</x:v>
      </x:c>
      <x:c r="B6" s="38" t="n">
        <x:f>A6*0.44704</x:f>
        <x:v>35.7632</x:v>
      </x:c>
      <x:c r="C6" s="30" t="n">
        <x:f>(A6/Dashboard!$B$6)^2*Dashboard!$G$8</x:f>
        <x:v>0.46638888888888885</x:v>
      </x:c>
      <x:c r="D6" s="30" t="n">
        <x:f>IF($C6&lt;Base_Curve_Fit!$C$2,0,Base_Curve_Fit!$B$2/(1+EXP(-Base_Curve_Fit!$E$2*($C6-Base_Curve_Fit!$D$2))))</x:f>
        <x:v>0</x:v>
      </x:c>
      <x:c r="E6" s="30" t="n">
        <x:f>IF($C6&lt;Base_Curve_Fit!$C$3,0,Base_Curve_Fit!$B$3/(1+EXP(-Base_Curve_Fit!$E$3*($C6-Base_Curve_Fit!$D$3))))</x:f>
        <x:v>0</x:v>
      </x:c>
      <x:c r="F6" s="30" t="n">
        <x:f>IF($C6&lt;Base_Curve_Fit!$C$4,0,Base_Curve_Fit!$B$4/(1+EXP(-Base_Curve_Fit!$E$4*($C6-Base_Curve_Fit!$D$4))))</x:f>
        <x:v>0</x:v>
      </x:c>
      <x:c r="G6" s="30" t="n">
        <x:f>IF($C6&lt;Base_Curve_Fit!$C$5,0,Base_Curve_Fit!$B$5/(1+EXP(-Base_Curve_Fit!$E$5*($C6-Base_Curve_Fit!$D$5))))</x:f>
        <x:v>0</x:v>
      </x:c>
      <x:c r="H6" s="30" t="n">
        <x:f>IF($C6&lt;Base_Curve_Fit!$C$6,0,Base_Curve_Fit!$B$6/(1+EXP(-Base_Curve_Fit!$E$6*($C6-Base_Curve_Fit!$D$6))))</x:f>
        <x:v>0</x:v>
      </x:c>
      <x:c r="I6" s="24" t="n">
        <x:f>(D6*Base_Curve_Fit!$F$2+E6*Base_Curve_Fit!$F$3+F6*Base_Curve_Fit!$F$4+G6*Base_Curve_Fit!$F$5+H6*Base_Curve_Fit!$F$6)*Dashboard!$B$5*Dashboard!$B$11</x:f>
        <x:v>0</x:v>
      </x:c>
      <x:c r="J6" s="30" t="n">
        <x:f>I6/Dashboard!$B$5</x:f>
        <x:v>0</x:v>
      </x:c>
      <x:c r="K6" s="30" t="n">
        <x:f>I6/Dashboard!$B$4</x:f>
        <x:v>0</x:v>
      </x:c>
      <x:c r="L6" t="str">
        <x:f>IF(C6&lt;0.75,"below modeled onset",IF(C6&lt;1,"approaching design",IF(C6&lt;1.5,"exceedance region","severe exceedance")))</x:f>
        <x:v>below modeled onset</x:v>
      </x:c>
    </x:row>
    <x:row r="7">
      <x:c r="A7" t="n">
        <x:v>85</x:v>
      </x:c>
      <x:c r="B7" s="38" t="n">
        <x:f>A7*0.44704</x:f>
        <x:v>37.9984</x:v>
      </x:c>
      <x:c r="C7" s="30" t="n">
        <x:f>(A7/Dashboard!$B$6)^2*Dashboard!$G$8</x:f>
        <x:v>0.5265093315972222</x:v>
      </x:c>
      <x:c r="D7" s="30" t="n">
        <x:f>IF($C7&lt;Base_Curve_Fit!$C$2,0,Base_Curve_Fit!$B$2/(1+EXP(-Base_Curve_Fit!$E$2*($C7-Base_Curve_Fit!$D$2))))</x:f>
        <x:v>0</x:v>
      </x:c>
      <x:c r="E7" s="30" t="n">
        <x:f>IF($C7&lt;Base_Curve_Fit!$C$3,0,Base_Curve_Fit!$B$3/(1+EXP(-Base_Curve_Fit!$E$3*($C7-Base_Curve_Fit!$D$3))))</x:f>
        <x:v>0</x:v>
      </x:c>
      <x:c r="F7" s="30" t="n">
        <x:f>IF($C7&lt;Base_Curve_Fit!$C$4,0,Base_Curve_Fit!$B$4/(1+EXP(-Base_Curve_Fit!$E$4*($C7-Base_Curve_Fit!$D$4))))</x:f>
        <x:v>0</x:v>
      </x:c>
      <x:c r="G7" s="30" t="n">
        <x:f>IF($C7&lt;Base_Curve_Fit!$C$5,0,Base_Curve_Fit!$B$5/(1+EXP(-Base_Curve_Fit!$E$5*($C7-Base_Curve_Fit!$D$5))))</x:f>
        <x:v>0</x:v>
      </x:c>
      <x:c r="H7" s="30" t="n">
        <x:f>IF($C7&lt;Base_Curve_Fit!$C$6,0,Base_Curve_Fit!$B$6/(1+EXP(-Base_Curve_Fit!$E$6*($C7-Base_Curve_Fit!$D$6))))</x:f>
        <x:v>0</x:v>
      </x:c>
      <x:c r="I7" s="24" t="n">
        <x:f>(D7*Base_Curve_Fit!$F$2+E7*Base_Curve_Fit!$F$3+F7*Base_Curve_Fit!$F$4+G7*Base_Curve_Fit!$F$5+H7*Base_Curve_Fit!$F$6)*Dashboard!$B$5*Dashboard!$B$11</x:f>
        <x:v>0</x:v>
      </x:c>
      <x:c r="J7" s="30" t="n">
        <x:f>I7/Dashboard!$B$5</x:f>
        <x:v>0</x:v>
      </x:c>
      <x:c r="K7" s="30" t="n">
        <x:f>I7/Dashboard!$B$4</x:f>
        <x:v>0</x:v>
      </x:c>
      <x:c r="L7" t="str">
        <x:f>IF(C7&lt;0.75,"below modeled onset",IF(C7&lt;1,"approaching design",IF(C7&lt;1.5,"exceedance region","severe exceedance")))</x:f>
        <x:v>below modeled onset</x:v>
      </x:c>
    </x:row>
    <x:row r="8">
      <x:c r="A8" t="n">
        <x:v>90</x:v>
      </x:c>
      <x:c r="B8" s="38" t="n">
        <x:f>A8*0.44704</x:f>
        <x:v>40.2336</x:v>
      </x:c>
      <x:c r="C8" s="30" t="n">
        <x:f>(A8/Dashboard!$B$6)^2*Dashboard!$G$8</x:f>
        <x:v>0.5902734374999999</x:v>
      </x:c>
      <x:c r="D8" s="30" t="n">
        <x:f>IF($C8&lt;Base_Curve_Fit!$C$2,0,Base_Curve_Fit!$B$2/(1+EXP(-Base_Curve_Fit!$E$2*($C8-Base_Curve_Fit!$D$2))))</x:f>
        <x:v>0</x:v>
      </x:c>
      <x:c r="E8" s="30" t="n">
        <x:f>IF($C8&lt;Base_Curve_Fit!$C$3,0,Base_Curve_Fit!$B$3/(1+EXP(-Base_Curve_Fit!$E$3*($C8-Base_Curve_Fit!$D$3))))</x:f>
        <x:v>0</x:v>
      </x:c>
      <x:c r="F8" s="30" t="n">
        <x:f>IF($C8&lt;Base_Curve_Fit!$C$4,0,Base_Curve_Fit!$B$4/(1+EXP(-Base_Curve_Fit!$E$4*($C8-Base_Curve_Fit!$D$4))))</x:f>
        <x:v>0</x:v>
      </x:c>
      <x:c r="G8" s="30" t="n">
        <x:f>IF($C8&lt;Base_Curve_Fit!$C$5,0,Base_Curve_Fit!$B$5/(1+EXP(-Base_Curve_Fit!$E$5*($C8-Base_Curve_Fit!$D$5))))</x:f>
        <x:v>0</x:v>
      </x:c>
      <x:c r="H8" s="30" t="n">
        <x:f>IF($C8&lt;Base_Curve_Fit!$C$6,0,Base_Curve_Fit!$B$6/(1+EXP(-Base_Curve_Fit!$E$6*($C8-Base_Curve_Fit!$D$6))))</x:f>
        <x:v>0</x:v>
      </x:c>
      <x:c r="I8" s="24" t="n">
        <x:f>(D8*Base_Curve_Fit!$F$2+E8*Base_Curve_Fit!$F$3+F8*Base_Curve_Fit!$F$4+G8*Base_Curve_Fit!$F$5+H8*Base_Curve_Fit!$F$6)*Dashboard!$B$5*Dashboard!$B$11</x:f>
        <x:v>0</x:v>
      </x:c>
      <x:c r="J8" s="30" t="n">
        <x:f>I8/Dashboard!$B$5</x:f>
        <x:v>0</x:v>
      </x:c>
      <x:c r="K8" s="30" t="n">
        <x:f>I8/Dashboard!$B$4</x:f>
        <x:v>0</x:v>
      </x:c>
      <x:c r="L8" t="str">
        <x:f>IF(C8&lt;0.75,"below modeled onset",IF(C8&lt;1,"approaching design",IF(C8&lt;1.5,"exceedance region","severe exceedance")))</x:f>
        <x:v>below modeled onset</x:v>
      </x:c>
    </x:row>
    <x:row r="9">
      <x:c r="A9" t="n">
        <x:v>95</x:v>
      </x:c>
      <x:c r="B9" s="38" t="n">
        <x:f>A9*0.44704</x:f>
        <x:v>42.4688</x:v>
      </x:c>
      <x:c r="C9" s="30" t="n">
        <x:f>(A9/Dashboard!$B$6)^2*Dashboard!$G$8</x:f>
        <x:v>0.6576812065972222</x:v>
      </x:c>
      <x:c r="D9" s="30" t="n">
        <x:f>IF($C9&lt;Base_Curve_Fit!$C$2,0,Base_Curve_Fit!$B$2/(1+EXP(-Base_Curve_Fit!$E$2*($C9-Base_Curve_Fit!$D$2))))</x:f>
        <x:v>0</x:v>
      </x:c>
      <x:c r="E9" s="30" t="n">
        <x:f>IF($C9&lt;Base_Curve_Fit!$C$3,0,Base_Curve_Fit!$B$3/(1+EXP(-Base_Curve_Fit!$E$3*($C9-Base_Curve_Fit!$D$3))))</x:f>
        <x:v>0</x:v>
      </x:c>
      <x:c r="F9" s="30" t="n">
        <x:f>IF($C9&lt;Base_Curve_Fit!$C$4,0,Base_Curve_Fit!$B$4/(1+EXP(-Base_Curve_Fit!$E$4*($C9-Base_Curve_Fit!$D$4))))</x:f>
        <x:v>0</x:v>
      </x:c>
      <x:c r="G9" s="30" t="n">
        <x:f>IF($C9&lt;Base_Curve_Fit!$C$5,0,Base_Curve_Fit!$B$5/(1+EXP(-Base_Curve_Fit!$E$5*($C9-Base_Curve_Fit!$D$5))))</x:f>
        <x:v>0</x:v>
      </x:c>
      <x:c r="H9" s="30" t="n">
        <x:f>IF($C9&lt;Base_Curve_Fit!$C$6,0,Base_Curve_Fit!$B$6/(1+EXP(-Base_Curve_Fit!$E$6*($C9-Base_Curve_Fit!$D$6))))</x:f>
        <x:v>0</x:v>
      </x:c>
      <x:c r="I9" s="24" t="n">
        <x:f>(D9*Base_Curve_Fit!$F$2+E9*Base_Curve_Fit!$F$3+F9*Base_Curve_Fit!$F$4+G9*Base_Curve_Fit!$F$5+H9*Base_Curve_Fit!$F$6)*Dashboard!$B$5*Dashboard!$B$11</x:f>
        <x:v>0</x:v>
      </x:c>
      <x:c r="J9" s="30" t="n">
        <x:f>I9/Dashboard!$B$5</x:f>
        <x:v>0</x:v>
      </x:c>
      <x:c r="K9" s="30" t="n">
        <x:f>I9/Dashboard!$B$4</x:f>
        <x:v>0</x:v>
      </x:c>
      <x:c r="L9" t="str">
        <x:f>IF(C9&lt;0.75,"below modeled onset",IF(C9&lt;1,"approaching design",IF(C9&lt;1.5,"exceedance region","severe exceedance")))</x:f>
        <x:v>below modeled onset</x:v>
      </x:c>
    </x:row>
    <x:row r="10">
      <x:c r="A10" t="n">
        <x:v>100</x:v>
      </x:c>
      <x:c r="B10" s="38" t="n">
        <x:f>A10*0.44704</x:f>
        <x:v>44.704</x:v>
      </x:c>
      <x:c r="C10" s="30" t="n">
        <x:f>(A10/Dashboard!$B$6)^2*Dashboard!$G$8</x:f>
        <x:v>0.728732638888889</x:v>
      </x:c>
      <x:c r="D10" s="30" t="n">
        <x:f>IF($C10&lt;Base_Curve_Fit!$C$2,0,Base_Curve_Fit!$B$2/(1+EXP(-Base_Curve_Fit!$E$2*($C10-Base_Curve_Fit!$D$2))))</x:f>
        <x:v>0</x:v>
      </x:c>
      <x:c r="E10" s="30" t="n">
        <x:f>IF($C10&lt;Base_Curve_Fit!$C$3,0,Base_Curve_Fit!$B$3/(1+EXP(-Base_Curve_Fit!$E$3*($C10-Base_Curve_Fit!$D$3))))</x:f>
        <x:v>0</x:v>
      </x:c>
      <x:c r="F10" s="30" t="n">
        <x:f>IF($C10&lt;Base_Curve_Fit!$C$4,0,Base_Curve_Fit!$B$4/(1+EXP(-Base_Curve_Fit!$E$4*($C10-Base_Curve_Fit!$D$4))))</x:f>
        <x:v>0.025149519205276985</x:v>
      </x:c>
      <x:c r="G10" s="30" t="n">
        <x:f>IF($C10&lt;Base_Curve_Fit!$C$5,0,Base_Curve_Fit!$B$5/(1+EXP(-Base_Curve_Fit!$E$5*($C10-Base_Curve_Fit!$D$5))))</x:f>
        <x:v>0</x:v>
      </x:c>
      <x:c r="H10" s="30" t="n">
        <x:f>IF($C10&lt;Base_Curve_Fit!$C$6,0,Base_Curve_Fit!$B$6/(1+EXP(-Base_Curve_Fit!$E$6*($C10-Base_Curve_Fit!$D$6))))</x:f>
        <x:v>0.03143339104259811</x:v>
      </x:c>
      <x:c r="I10" s="24" t="n">
        <x:f>(D10*Base_Curve_Fit!$F$2+E10*Base_Curve_Fit!$F$3+F10*Base_Curve_Fit!$F$4+G10*Base_Curve_Fit!$F$5+H10*Base_Curve_Fit!$F$6)*Dashboard!$B$5*Dashboard!$B$11</x:f>
        <x:v>938448.1491601301</x:v>
      </x:c>
      <x:c r="J10" s="30" t="n">
        <x:f>I10/Dashboard!$B$5</x:f>
        <x:v>0.010688475502962758</x:v>
      </x:c>
      <x:c r="K10" s="30" t="n">
        <x:f>I10/Dashboard!$B$4</x:f>
        <x:v>0.008379001331786876</x:v>
      </x:c>
      <x:c r="L10" t="str">
        <x:f>IF(C10&lt;0.75,"below modeled onset",IF(C10&lt;1,"approaching design",IF(C10&lt;1.5,"exceedance region","severe exceedance")))</x:f>
        <x:v>below modeled onset</x:v>
      </x:c>
    </x:row>
    <x:row r="11">
      <x:c r="A11" t="n">
        <x:v>105</x:v>
      </x:c>
      <x:c r="B11" s="38" t="n">
        <x:f>A11*0.44704</x:f>
        <x:v>46.9392</x:v>
      </x:c>
      <x:c r="C11" s="30" t="n">
        <x:f>(A11/Dashboard!$B$6)^2*Dashboard!$G$8</x:f>
        <x:v>0.8034277343749999</x:v>
      </x:c>
      <x:c r="D11" s="30" t="n">
        <x:f>IF($C11&lt;Base_Curve_Fit!$C$2,0,Base_Curve_Fit!$B$2/(1+EXP(-Base_Curve_Fit!$E$2*($C11-Base_Curve_Fit!$D$2))))</x:f>
        <x:v>0.03385935644049947</x:v>
      </x:c>
      <x:c r="E11" s="30" t="n">
        <x:f>IF($C11&lt;Base_Curve_Fit!$C$3,0,Base_Curve_Fit!$B$3/(1+EXP(-Base_Curve_Fit!$E$3*($C11-Base_Curve_Fit!$D$3))))</x:f>
        <x:v>0.020487169873243588</x:v>
      </x:c>
      <x:c r="F11" s="30" t="n">
        <x:f>IF($C11&lt;Base_Curve_Fit!$C$4,0,Base_Curve_Fit!$B$4/(1+EXP(-Base_Curve_Fit!$E$4*($C11-Base_Curve_Fit!$D$4))))</x:f>
        <x:v>0.05089263258887324</x:v>
      </x:c>
      <x:c r="G11" s="30" t="n">
        <x:f>IF($C11&lt;Base_Curve_Fit!$C$5,0,Base_Curve_Fit!$B$5/(1+EXP(-Base_Curve_Fit!$E$5*($C11-Base_Curve_Fit!$D$5))))</x:f>
        <x:v>0</x:v>
      </x:c>
      <x:c r="H11" s="30" t="n">
        <x:f>IF($C11&lt;Base_Curve_Fit!$C$6,0,Base_Curve_Fit!$B$6/(1+EXP(-Base_Curve_Fit!$E$6*($C11-Base_Curve_Fit!$D$6))))</x:f>
        <x:v>0.04399427489184038</x:v>
      </x:c>
      <x:c r="I11" s="24" t="n">
        <x:f>(D11*Base_Curve_Fit!$F$2+E11*Base_Curve_Fit!$F$3+F11*Base_Curve_Fit!$F$4+G11*Base_Curve_Fit!$F$5+H11*Base_Curve_Fit!$F$6)*Dashboard!$B$5*Dashboard!$B$11</x:f>
        <x:v>2210357.7337616156</x:v>
      </x:c>
      <x:c r="J11" s="30" t="n">
        <x:f>I11/Dashboard!$B$5</x:f>
        <x:v>0.025174917241020677</x:v>
      </x:c>
      <x:c r="K11" s="30" t="n">
        <x:f>I11/Dashboard!$B$4</x:f>
        <x:v>0.019735336908585855</x:v>
      </x:c>
      <x:c r="L11" t="str">
        <x:f>IF(C11&lt;0.75,"below modeled onset",IF(C11&lt;1,"approaching design",IF(C11&lt;1.5,"exceedance region","severe exceedance")))</x:f>
        <x:v>approaching design</x:v>
      </x:c>
    </x:row>
    <x:row r="12">
      <x:c r="A12" t="n">
        <x:v>110</x:v>
      </x:c>
      <x:c r="B12" s="38" t="n">
        <x:f>A12*0.44704</x:f>
        <x:v>49.1744</x:v>
      </x:c>
      <x:c r="C12" s="30" t="n">
        <x:f>(A12/Dashboard!$B$6)^2*Dashboard!$G$8</x:f>
        <x:v>0.8817664930555554</x:v>
      </x:c>
      <x:c r="D12" s="30" t="n">
        <x:f>IF($C12&lt;Base_Curve_Fit!$C$2,0,Base_Curve_Fit!$B$2/(1+EXP(-Base_Curve_Fit!$E$2*($C12-Base_Curve_Fit!$D$2))))</x:f>
        <x:v>0.06568294651564957</x:v>
      </x:c>
      <x:c r="E12" s="30" t="n">
        <x:f>IF($C12&lt;Base_Curve_Fit!$C$3,0,Base_Curve_Fit!$B$3/(1+EXP(-Base_Curve_Fit!$E$3*($C12-Base_Curve_Fit!$D$3))))</x:f>
        <x:v>0.03744912188121982</x:v>
      </x:c>
      <x:c r="F12" s="30" t="n">
        <x:f>IF($C12&lt;Base_Curve_Fit!$C$4,0,Base_Curve_Fit!$B$4/(1+EXP(-Base_Curve_Fit!$E$4*($C12-Base_Curve_Fit!$D$4))))</x:f>
        <x:v>0.10191123457120402</x:v>
      </x:c>
      <x:c r="G12" s="30" t="n">
        <x:f>IF($C12&lt;Base_Curve_Fit!$C$5,0,Base_Curve_Fit!$B$5/(1+EXP(-Base_Curve_Fit!$E$5*($C12-Base_Curve_Fit!$D$5))))</x:f>
        <x:v>0</x:v>
      </x:c>
      <x:c r="H12" s="30" t="n">
        <x:f>IF($C12&lt;Base_Curve_Fit!$C$6,0,Base_Curve_Fit!$B$6/(1+EXP(-Base_Curve_Fit!$E$6*($C12-Base_Curve_Fit!$D$6))))</x:f>
        <x:v>0.05985836232239189</x:v>
      </x:c>
      <x:c r="I12" s="24" t="n">
        <x:f>(D12*Base_Curve_Fit!$F$2+E12*Base_Curve_Fit!$F$3+F12*Base_Curve_Fit!$F$4+G12*Base_Curve_Fit!$F$5+H12*Base_Curve_Fit!$F$6)*Dashboard!$B$5*Dashboard!$B$11</x:f>
        <x:v>4342872.832774994</x:v>
      </x:c>
      <x:c r="J12" s="30" t="n">
        <x:f>I12/Dashboard!$B$5</x:f>
        <x:v>0.0494632441090546</x:v>
      </x:c>
      <x:c r="K12" s="30" t="n">
        <x:f>I12/Dashboard!$B$4</x:f>
        <x:v>0.03877565029263388</x:v>
      </x:c>
      <x:c r="L12" t="str">
        <x:f>IF(C12&lt;0.75,"below modeled onset",IF(C12&lt;1,"approaching design",IF(C12&lt;1.5,"exceedance region","severe exceedance")))</x:f>
        <x:v>approaching design</x:v>
      </x:c>
    </x:row>
    <x:row r="13">
      <x:c r="A13" t="n">
        <x:v>115</x:v>
      </x:c>
      <x:c r="B13" s="38" t="n">
        <x:f>A13*0.44704</x:f>
        <x:v>51.4096</x:v>
      </x:c>
      <x:c r="C13" s="30" t="n">
        <x:f>(A13/Dashboard!$B$6)^2*Dashboard!$G$8</x:f>
        <x:v>0.9637489149305556</x:v>
      </x:c>
      <x:c r="D13" s="30" t="n">
        <x:f>IF($C13&lt;Base_Curve_Fit!$C$2,0,Base_Curve_Fit!$B$2/(1+EXP(-Base_Curve_Fit!$E$2*($C13-Base_Curve_Fit!$D$2))))</x:f>
        <x:v>0.12607309840453532</x:v>
      </x:c>
      <x:c r="E13" s="30" t="n">
        <x:f>IF($C13&lt;Base_Curve_Fit!$C$3,0,Base_Curve_Fit!$B$3/(1+EXP(-Base_Curve_Fit!$E$3*($C13-Base_Curve_Fit!$D$3))))</x:f>
        <x:v>0.06896536883747904</x:v>
      </x:c>
      <x:c r="F13" s="30" t="n">
        <x:f>IF($C13&lt;Base_Curve_Fit!$C$4,0,Base_Curve_Fit!$B$4/(1+EXP(-Base_Curve_Fit!$E$4*($C13-Base_Curve_Fit!$D$4))))</x:f>
        <x:v>0.19292976564102515</x:v>
      </x:c>
      <x:c r="G13" s="30" t="n">
        <x:f>IF($C13&lt;Base_Curve_Fit!$C$5,0,Base_Curve_Fit!$B$5/(1+EXP(-Base_Curve_Fit!$E$5*($C13-Base_Curve_Fit!$D$5))))</x:f>
        <x:v>0.02823839672376154</x:v>
      </x:c>
      <x:c r="H13" s="30" t="n">
        <x:f>IF($C13&lt;Base_Curve_Fit!$C$6,0,Base_Curve_Fit!$B$6/(1+EXP(-Base_Curve_Fit!$E$6*($C13-Base_Curve_Fit!$D$6))))</x:f>
        <x:v>0.07809175273145935</x:v>
      </x:c>
      <x:c r="I13" s="24" t="n">
        <x:f>(D13*Base_Curve_Fit!$F$2+E13*Base_Curve_Fit!$F$3+F13*Base_Curve_Fit!$F$4+G13*Base_Curve_Fit!$F$5+H13*Base_Curve_Fit!$F$6)*Dashboard!$B$5*Dashboard!$B$11</x:f>
        <x:v>8360015.991926244</x:v>
      </x:c>
      <x:c r="J13" s="30" t="n">
        <x:f>I13/Dashboard!$B$5</x:f>
        <x:v>0.09521658305155176</x:v>
      </x:c>
      <x:c r="K13" s="30" t="n">
        <x:f>I13/Dashboard!$B$4</x:f>
        <x:v>0.0746429999279129</x:v>
      </x:c>
      <x:c r="L13" t="str">
        <x:f>IF(C13&lt;0.75,"below modeled onset",IF(C13&lt;1,"approaching design",IF(C13&lt;1.5,"exceedance region","severe exceedance")))</x:f>
        <x:v>approaching design</x:v>
      </x:c>
    </x:row>
    <x:row r="14">
      <x:c r="A14" t="n">
        <x:v>120</x:v>
      </x:c>
      <x:c r="B14" s="38" t="n">
        <x:f>A14*0.44704</x:f>
        <x:v>53.6448</x:v>
      </x:c>
      <x:c r="C14" s="30" t="n">
        <x:f>(A14/Dashboard!$B$6)^2*Dashboard!$G$8</x:f>
        <x:v>1.049375</x:v>
      </x:c>
      <x:c r="D14" s="30" t="n">
        <x:f>IF($C14&lt;Base_Curve_Fit!$C$2,0,Base_Curve_Fit!$B$2/(1+EXP(-Base_Curve_Fit!$E$2*($C14-Base_Curve_Fit!$D$2))))</x:f>
        <x:v>0.23031674495060125</x:v>
      </x:c>
      <x:c r="E14" s="30" t="n">
        <x:f>IF($C14&lt;Base_Curve_Fit!$C$3,0,Base_Curve_Fit!$B$3/(1+EXP(-Base_Curve_Fit!$E$3*($C14-Base_Curve_Fit!$D$3))))</x:f>
        <x:v>0.1254629666538623</x:v>
      </x:c>
      <x:c r="F14" s="30" t="n">
        <x:f>IF($C14&lt;Base_Curve_Fit!$C$4,0,Base_Curve_Fit!$B$4/(1+EXP(-Base_Curve_Fit!$E$4*($C14-Base_Curve_Fit!$D$4))))</x:f>
        <x:v>0.32398437830605786</x:v>
      </x:c>
      <x:c r="G14" s="30" t="n">
        <x:f>IF($C14&lt;Base_Curve_Fit!$C$5,0,Base_Curve_Fit!$B$5/(1+EXP(-Base_Curve_Fit!$E$5*($C14-Base_Curve_Fit!$D$5))))</x:f>
        <x:v>0.04890254445900337</x:v>
      </x:c>
      <x:c r="H14" s="30" t="n">
        <x:f>IF($C14&lt;Base_Curve_Fit!$C$6,0,Base_Curve_Fit!$B$6/(1+EXP(-Base_Curve_Fit!$E$6*($C14-Base_Curve_Fit!$D$6))))</x:f>
        <x:v>0.09671968461863872</x:v>
      </x:c>
      <x:c r="I14" s="24" t="n">
        <x:f>(D14*Base_Curve_Fit!$F$2+E14*Base_Curve_Fit!$F$3+F14*Base_Curve_Fit!$F$4+G14*Base_Curve_Fit!$F$5+H14*Base_Curve_Fit!$F$6)*Dashboard!$B$5*Dashboard!$B$11</x:f>
        <x:v>14170346.329444692</x:v>
      </x:c>
      <x:c r="J14" s="30" t="n">
        <x:f>I14/Dashboard!$B$5</x:f>
        <x:v>0.16139346616679603</x:v>
      </x:c>
      <x:c r="K14" s="30" t="n">
        <x:f>I14/Dashboard!$B$4</x:f>
        <x:v>0.12652094937004188</x:v>
      </x:c>
      <x:c r="L14" t="str">
        <x:f>IF(C14&lt;0.75,"below modeled onset",IF(C14&lt;1,"approaching design",IF(C14&lt;1.5,"exceedance region","severe exceedance")))</x:f>
        <x:v>exceedance region</x:v>
      </x:c>
    </x:row>
    <x:row r="15">
      <x:c r="A15" t="n">
        <x:v>125</x:v>
      </x:c>
      <x:c r="B15" s="38" t="n">
        <x:f>A15*0.44704</x:f>
        <x:v>55.88</x:v>
      </x:c>
      <x:c r="C15" s="30" t="n">
        <x:f>(A15/Dashboard!$B$6)^2*Dashboard!$G$8</x:f>
        <x:v>1.138644748263889</x:v>
      </x:c>
      <x:c r="D15" s="30" t="n">
        <x:f>IF($C15&lt;Base_Curve_Fit!$C$2,0,Base_Curve_Fit!$B$2/(1+EXP(-Base_Curve_Fit!$E$2*($C15-Base_Curve_Fit!$D$2))))</x:f>
        <x:v>0.3795783179308071</x:v>
      </x:c>
      <x:c r="E15" s="30" t="n">
        <x:f>IF($C15&lt;Base_Curve_Fit!$C$3,0,Base_Curve_Fit!$B$3/(1+EXP(-Base_Curve_Fit!$E$3*($C15-Base_Curve_Fit!$D$3))))</x:f>
        <x:v>0.21820207191979876</x:v>
      </x:c>
      <x:c r="F15" s="30" t="n">
        <x:f>IF($C15&lt;Base_Curve_Fit!$C$4,0,Base_Curve_Fit!$B$4/(1+EXP(-Base_Curve_Fit!$E$4*($C15-Base_Curve_Fit!$D$4))))</x:f>
        <x:v>0.4603017341162039</x:v>
      </x:c>
      <x:c r="G15" s="30" t="n">
        <x:f>IF($C15&lt;Base_Curve_Fit!$C$5,0,Base_Curve_Fit!$B$5/(1+EXP(-Base_Curve_Fit!$E$5*($C15-Base_Curve_Fit!$D$5))))</x:f>
        <x:v>0.08347722900909199</x:v>
      </x:c>
      <x:c r="H15" s="30" t="n">
        <x:f>IF($C15&lt;Base_Curve_Fit!$C$6,0,Base_Curve_Fit!$B$6/(1+EXP(-Base_Curve_Fit!$E$6*($C15-Base_Curve_Fit!$D$6))))</x:f>
        <x:v>0.11342753360559013</x:v>
      </x:c>
      <x:c r="I15" s="24" t="n">
        <x:f>(D15*Base_Curve_Fit!$F$2+E15*Base_Curve_Fit!$F$3+F15*Base_Curve_Fit!$F$4+G15*Base_Curve_Fit!$F$5+H15*Base_Curve_Fit!$F$6)*Dashboard!$B$5*Dashboard!$B$11</x:f>
        <x:v>20766966.32775185</x:v>
      </x:c>
      <x:c r="J15" s="30" t="n">
        <x:f>I15/Dashboard!$B$5</x:f>
        <x:v>0.23652581238897322</x:v>
      </x:c>
      <x:c r="K15" s="30" t="n">
        <x:f>I15/Dashboard!$B$4</x:f>
        <x:v>0.18541934221207007</x:v>
      </x:c>
      <x:c r="L15" t="str">
        <x:f>IF(C15&lt;0.75,"below modeled onset",IF(C15&lt;1,"approaching design",IF(C15&lt;1.5,"exceedance region","severe exceedance")))</x:f>
        <x:v>exceedance region</x:v>
      </x:c>
    </x:row>
    <x:row r="16">
      <x:c r="A16" t="n">
        <x:v>130</x:v>
      </x:c>
      <x:c r="B16" s="38" t="n">
        <x:f>A16*0.44704</x:f>
        <x:v>58.1152</x:v>
      </x:c>
      <x:c r="C16" s="30" t="n">
        <x:f>(A16/Dashboard!$B$6)^2*Dashboard!$G$8</x:f>
        <x:v>1.231558159722222</x:v>
      </x:c>
      <x:c r="D16" s="30" t="n">
        <x:f>IF($C16&lt;Base_Curve_Fit!$C$2,0,Base_Curve_Fit!$B$2/(1+EXP(-Base_Curve_Fit!$E$2*($C16-Base_Curve_Fit!$D$2))))</x:f>
        <x:v>0.540550053218851</x:v>
      </x:c>
      <x:c r="E16" s="30" t="n">
        <x:f>IF($C16&lt;Base_Curve_Fit!$C$3,0,Base_Curve_Fit!$B$3/(1+EXP(-Base_Curve_Fit!$E$3*($C16-Base_Curve_Fit!$D$3))))</x:f>
        <x:v>0.3473873073824317</x:v>
      </x:c>
      <x:c r="F16" s="30" t="n">
        <x:f>IF($C16&lt;Base_Curve_Fit!$C$4,0,Base_Curve_Fit!$B$4/(1+EXP(-Base_Curve_Fit!$E$4*($C16-Base_Curve_Fit!$D$4))))</x:f>
        <x:v>0.5590228206134719</x:v>
      </x:c>
      <x:c r="G16" s="30" t="n">
        <x:f>IF($C16&lt;Base_Curve_Fit!$C$5,0,Base_Curve_Fit!$B$5/(1+EXP(-Base_Curve_Fit!$E$5*($C16-Base_Curve_Fit!$D$5))))</x:f>
        <x:v>0.13672660935406683</x:v>
      </x:c>
      <x:c r="H16" s="30" t="n">
        <x:f>IF($C16&lt;Base_Curve_Fit!$C$6,0,Base_Curve_Fit!$B$6/(1+EXP(-Base_Curve_Fit!$E$6*($C16-Base_Curve_Fit!$D$6))))</x:f>
        <x:v>0.1266207783562808</x:v>
      </x:c>
      <x:c r="I16" s="24" t="n">
        <x:f>(D16*Base_Curve_Fit!$F$2+E16*Base_Curve_Fit!$F$3+F16*Base_Curve_Fit!$F$4+G16*Base_Curve_Fit!$F$5+H16*Base_Curve_Fit!$F$6)*Dashboard!$B$5*Dashboard!$B$11</x:f>
        <x:v>26442455.159941588</x:v>
      </x:c>
      <x:c r="J16" s="30" t="n">
        <x:f>I16/Dashboard!$B$5</x:f>
        <x:v>0.3011669152612937</x:v>
      </x:c>
      <x:c r="K16" s="30" t="n">
        <x:f>I16/Dashboard!$B$4</x:f>
        <x:v>0.2360933496423356</x:v>
      </x:c>
      <x:c r="L16" t="str">
        <x:f>IF(C16&lt;0.75,"below modeled onset",IF(C16&lt;1,"approaching design",IF(C16&lt;1.5,"exceedance region","severe exceedance")))</x:f>
        <x:v>exceedance region</x:v>
      </x:c>
    </x:row>
    <x:row r="17">
      <x:c r="A17" t="n">
        <x:v>135</x:v>
      </x:c>
      <x:c r="B17" s="38" t="n">
        <x:f>A17*0.44704</x:f>
        <x:v>60.3504</x:v>
      </x:c>
      <x:c r="C17" s="30" t="n">
        <x:f>(A17/Dashboard!$B$6)^2*Dashboard!$G$8</x:f>
        <x:v>1.328115234375</x:v>
      </x:c>
      <x:c r="D17" s="30" t="n">
        <x:f>IF($C17&lt;Base_Curve_Fit!$C$2,0,Base_Curve_Fit!$B$2/(1+EXP(-Base_Curve_Fit!$E$2*($C17-Base_Curve_Fit!$D$2))))</x:f>
        <x:v>0.6659539481030676</x:v>
      </x:c>
      <x:c r="E17" s="30" t="n">
        <x:f>IF($C17&lt;Base_Curve_Fit!$C$3,0,Base_Curve_Fit!$B$3/(1+EXP(-Base_Curve_Fit!$E$3*($C17-Base_Curve_Fit!$D$3))))</x:f>
        <x:v>0.48850284218761925</x:v>
      </x:c>
      <x:c r="F17" s="30" t="n">
        <x:f>IF($C17&lt;Base_Curve_Fit!$C$4,0,Base_Curve_Fit!$B$4/(1+EXP(-Base_Curve_Fit!$E$4*($C17-Base_Curve_Fit!$D$4))))</x:f>
        <x:v>0.6120717159478585</x:v>
      </x:c>
      <x:c r="G17" s="30" t="n">
        <x:f>IF($C17&lt;Base_Curve_Fit!$C$5,0,Base_Curve_Fit!$B$5/(1+EXP(-Base_Curve_Fit!$E$5*($C17-Base_Curve_Fit!$D$5))))</x:f>
        <x:v>0.20779937290762115</x:v>
      </x:c>
      <x:c r="H17" s="30" t="n">
        <x:f>IF($C17&lt;Base_Curve_Fit!$C$6,0,Base_Curve_Fit!$B$6/(1+EXP(-Base_Curve_Fit!$E$6*($C17-Base_Curve_Fit!$D$6))))</x:f>
        <x:v>0.1359376002314745</x:v>
      </x:c>
      <x:c r="I17" s="24" t="n">
        <x:f>(D17*Base_Curve_Fit!$F$2+E17*Base_Curve_Fit!$F$3+F17*Base_Curve_Fit!$F$4+G17*Base_Curve_Fit!$F$5+H17*Base_Curve_Fit!$F$6)*Dashboard!$B$5*Dashboard!$B$11</x:f>
        <x:v>30445341.389518715</x:v>
      </x:c>
      <x:c r="J17" s="30" t="n">
        <x:f>I17/Dashboard!$B$5</x:f>
        <x:v>0.34675787459588514</x:v>
      </x:c>
      <x:c r="K17" s="30" t="n">
        <x:f>I17/Dashboard!$B$4</x:f>
        <x:v>0.27183340526356</x:v>
      </x:c>
      <x:c r="L17" t="str">
        <x:f>IF(C17&lt;0.75,"below modeled onset",IF(C17&lt;1,"approaching design",IF(C17&lt;1.5,"exceedance region","severe exceedance")))</x:f>
        <x:v>exceedance region</x:v>
      </x:c>
    </x:row>
    <x:row r="18">
      <x:c r="A18" t="n">
        <x:v>140</x:v>
      </x:c>
      <x:c r="B18" s="38" t="n">
        <x:f>A18*0.44704</x:f>
        <x:v>62.5856</x:v>
      </x:c>
      <x:c r="C18" s="30" t="n">
        <x:f>(A18/Dashboard!$B$6)^2*Dashboard!$G$8</x:f>
        <x:v>1.4283159722222225</x:v>
      </x:c>
      <x:c r="D18" s="30" t="n">
        <x:f>IF($C18&lt;Base_Curve_Fit!$C$2,0,Base_Curve_Fit!$B$2/(1+EXP(-Base_Curve_Fit!$E$2*($C18-Base_Curve_Fit!$D$2))))</x:f>
        <x:v>0.7395845504081836</x:v>
      </x:c>
      <x:c r="E18" s="30" t="n">
        <x:f>IF($C18&lt;Base_Curve_Fit!$C$3,0,Base_Curve_Fit!$B$3/(1+EXP(-Base_Curve_Fit!$E$3*($C18-Base_Curve_Fit!$D$3))))</x:f>
        <x:v>0.6047697950541083</x:v>
      </x:c>
      <x:c r="F18" s="30" t="n">
        <x:f>IF($C18&lt;Base_Curve_Fit!$C$4,0,Base_Curve_Fit!$B$4/(1+EXP(-Base_Curve_Fit!$E$4*($C18-Base_Curve_Fit!$D$4))))</x:f>
        <x:v>0.6355410024823903</x:v>
      </x:c>
      <x:c r="G18" s="30" t="n">
        <x:f>IF($C18&lt;Base_Curve_Fit!$C$5,0,Base_Curve_Fit!$B$5/(1+EXP(-Base_Curve_Fit!$E$5*($C18-Base_Curve_Fit!$D$5))))</x:f>
        <x:v>0.28517427756304614</x:v>
      </x:c>
      <x:c r="H18" s="30" t="n">
        <x:f>IF($C18&lt;Base_Curve_Fit!$C$6,0,Base_Curve_Fit!$B$6/(1+EXP(-Base_Curve_Fit!$E$6*($C18-Base_Curve_Fit!$D$6))))</x:f>
        <x:v>0.14195070876178945</x:v>
      </x:c>
      <x:c r="I18" s="24" t="n">
        <x:f>(D18*Base_Curve_Fit!$F$2+E18*Base_Curve_Fit!$F$3+F18*Base_Curve_Fit!$F$4+G18*Base_Curve_Fit!$F$5+H18*Base_Curve_Fit!$F$6)*Dashboard!$B$5*Dashboard!$B$11</x:f>
        <x:v>32953298.73978221</x:v>
      </x:c>
      <x:c r="J18" s="30" t="n">
        <x:f>I18/Dashboard!$B$5</x:f>
        <x:v>0.3753223091091368</x:v>
      </x:c>
      <x:c r="K18" s="30" t="n">
        <x:f>I18/Dashboard!$B$4</x:f>
        <x:v>0.2942258816051983</x:v>
      </x:c>
      <x:c r="L18" t="str">
        <x:f>IF(C18&lt;0.75,"below modeled onset",IF(C18&lt;1,"approaching design",IF(C18&lt;1.5,"exceedance region","severe exceedance")))</x:f>
        <x:v>exceedance region</x:v>
      </x:c>
    </x:row>
    <x:row r="19">
      <x:c r="A19" t="n">
        <x:v>145</x:v>
      </x:c>
      <x:c r="B19" s="38" t="n">
        <x:f>A19*0.44704</x:f>
        <x:v>64.8208</x:v>
      </x:c>
      <x:c r="C19" s="30" t="n">
        <x:f>(A19/Dashboard!$B$6)^2*Dashboard!$G$8</x:f>
        <x:v>1.5321603732638887</x:v>
      </x:c>
      <x:c r="D19" s="30" t="n">
        <x:f>IF($C19&lt;Base_Curve_Fit!$C$2,0,Base_Curve_Fit!$B$2/(1+EXP(-Base_Curve_Fit!$E$2*($C19-Base_Curve_Fit!$D$2))))</x:f>
        <x:v>0.775131803826404</x:v>
      </x:c>
      <x:c r="E19" s="30" t="n">
        <x:f>IF($C19&lt;Base_Curve_Fit!$C$3,0,Base_Curve_Fit!$B$3/(1+EXP(-Base_Curve_Fit!$E$3*($C19-Base_Curve_Fit!$D$3))))</x:f>
        <x:v>0.6789576763505307</x:v>
      </x:c>
      <x:c r="F19" s="30" t="n">
        <x:f>IF($C19&lt;Base_Curve_Fit!$C$4,0,Base_Curve_Fit!$B$4/(1+EXP(-Base_Curve_Fit!$E$4*($C19-Base_Curve_Fit!$D$4))))</x:f>
        <x:v>0.6448068158316939</x:v>
      </x:c>
      <x:c r="G19" s="30" t="n">
        <x:f>IF($C19&lt;Base_Curve_Fit!$C$5,0,Base_Curve_Fit!$B$5/(1+EXP(-Base_Curve_Fit!$E$5*($C19-Base_Curve_Fit!$D$5))))</x:f>
        <x:v>0.3517282770949825</x:v>
      </x:c>
      <x:c r="H19" s="30" t="n">
        <x:f>IF($C19&lt;Base_Curve_Fit!$C$6,0,Base_Curve_Fit!$B$6/(1+EXP(-Base_Curve_Fit!$E$6*($C19-Base_Curve_Fit!$D$6))))</x:f>
        <x:v>0.14557302884697154</x:v>
      </x:c>
      <x:c r="I19" s="24" t="n">
        <x:f>(D19*Base_Curve_Fit!$F$2+E19*Base_Curve_Fit!$F$3+F19*Base_Curve_Fit!$F$4+G19*Base_Curve_Fit!$F$5+H19*Base_Curve_Fit!$F$6)*Dashboard!$B$5*Dashboard!$B$11</x:f>
        <x:v>34393055.85807079</x:v>
      </x:c>
      <x:c r="J19" s="30" t="n">
        <x:f>I19/Dashboard!$B$5</x:f>
        <x:v>0.3917204539643598</x:v>
      </x:c>
      <x:c r="K19" s="30" t="n">
        <x:f>I19/Dashboard!$B$4</x:f>
        <x:v>0.30708085587563205</x:v>
      </x:c>
      <x:c r="L19" t="str">
        <x:f>IF(C19&lt;0.75,"below modeled onset",IF(C19&lt;1,"approaching design",IF(C19&lt;1.5,"exceedance region","severe exceedance")))</x:f>
        <x:v>severe exceedance</x:v>
      </x:c>
    </x:row>
    <x:row r="20">
      <x:c r="A20" t="n">
        <x:v>150</x:v>
      </x:c>
      <x:c r="B20" s="38" t="n">
        <x:f>A20*0.44704</x:f>
        <x:v>67.056</x:v>
      </x:c>
      <x:c r="C20" s="30" t="n">
        <x:f>(A20/Dashboard!$B$6)^2*Dashboard!$G$8</x:f>
        <x:v>1.6396484375</x:v>
      </x:c>
      <x:c r="D20" s="30" t="n">
        <x:f>IF($C20&lt;Base_Curve_Fit!$C$2,0,Base_Curve_Fit!$B$2/(1+EXP(-Base_Curve_Fit!$E$2*($C20-Base_Curve_Fit!$D$2))))</x:f>
        <x:v>0.7903625568941237</x:v>
      </x:c>
      <x:c r="E20" s="30" t="n">
        <x:f>IF($C20&lt;Base_Curve_Fit!$C$3,0,Base_Curve_Fit!$B$3/(1+EXP(-Base_Curve_Fit!$E$3*($C20-Base_Curve_Fit!$D$3))))</x:f>
        <x:v>0.7181971285261151</x:v>
      </x:c>
      <x:c r="F20" s="30" t="n">
        <x:f>IF($C20&lt;Base_Curve_Fit!$C$4,0,Base_Curve_Fit!$B$4/(1+EXP(-Base_Curve_Fit!$E$4*($C20-Base_Curve_Fit!$D$4))))</x:f>
        <x:v>0.6482179887055476</x:v>
      </x:c>
      <x:c r="G20" s="30" t="n">
        <x:f>IF($C20&lt;Base_Curve_Fit!$C$5,0,Base_Curve_Fit!$B$5/(1+EXP(-Base_Curve_Fit!$E$5*($C20-Base_Curve_Fit!$D$5))))</x:f>
        <x:v>0.39764624257637815</x:v>
      </x:c>
      <x:c r="H20" s="30" t="n">
        <x:f>IF($C20&lt;Base_Curve_Fit!$C$6,0,Base_Curve_Fit!$B$6/(1+EXP(-Base_Curve_Fit!$E$6*($C20-Base_Curve_Fit!$D$6))))</x:f>
        <x:v>0.14764412039935043</x:v>
      </x:c>
      <x:c r="I20" s="24" t="n">
        <x:f>(D20*Base_Curve_Fit!$F$2+E20*Base_Curve_Fit!$F$3+F20*Base_Curve_Fit!$F$4+G20*Base_Curve_Fit!$F$5+H20*Base_Curve_Fit!$F$6)*Dashboard!$B$5*Dashboard!$B$11</x:f>
        <x:v>35152715.11931647</x:v>
      </x:c>
      <x:c r="J20" s="30" t="n">
        <x:f>I20/Dashboard!$B$5</x:f>
        <x:v>0.4003726095594131</x:v>
      </x:c>
      <x:c r="K20" s="30" t="n">
        <x:f>I20/Dashboard!$B$4</x:f>
        <x:v>0.31386352785103994</x:v>
      </x:c>
      <x:c r="L20" t="str">
        <x:f>IF(C20&lt;0.75,"below modeled onset",IF(C20&lt;1,"approaching design",IF(C20&lt;1.5,"exceedance region","severe exceedance")))</x:f>
        <x:v>severe exceedance</x:v>
      </x:c>
    </x:row>
    <x:row r="21">
      <x:c r="A21" t="n">
        <x:v>155</x:v>
      </x:c>
      <x:c r="B21" s="38" t="n">
        <x:f>A21*0.44704</x:f>
        <x:v>69.2912</x:v>
      </x:c>
      <x:c r="C21" s="30" t="n">
        <x:f>(A21/Dashboard!$B$6)^2*Dashboard!$G$8</x:f>
        <x:v>1.7507801649305557</x:v>
      </x:c>
      <x:c r="D21" s="30" t="n">
        <x:f>IF($C21&lt;Base_Curve_Fit!$C$2,0,Base_Curve_Fit!$B$2/(1+EXP(-Base_Curve_Fit!$E$2*($C21-Base_Curve_Fit!$D$2))))</x:f>
        <x:v>0.7964280370453447</x:v>
      </x:c>
      <x:c r="E21" s="30" t="n">
        <x:f>IF($C21&lt;Base_Curve_Fit!$C$3,0,Base_Curve_Fit!$B$3/(1+EXP(-Base_Curve_Fit!$E$3*($C21-Base_Curve_Fit!$D$3))))</x:f>
        <x:v>0.7365927732199845</x:v>
      </x:c>
      <x:c r="F21" s="30" t="n">
        <x:f>IF($C21&lt;Base_Curve_Fit!$C$4,0,Base_Curve_Fit!$B$4/(1+EXP(-Base_Curve_Fit!$E$4*($C21-Base_Curve_Fit!$D$4))))</x:f>
        <x:v>0.6494124145946947</x:v>
      </x:c>
      <x:c r="G21" s="30" t="n">
        <x:f>IF($C21&lt;Base_Curve_Fit!$C$5,0,Base_Curve_Fit!$B$5/(1+EXP(-Base_Curve_Fit!$E$5*($C21-Base_Curve_Fit!$D$5))))</x:f>
        <x:v>0.4243365999676282</x:v>
      </x:c>
      <x:c r="H21" s="30" t="n">
        <x:f>IF($C21&lt;Base_Curve_Fit!$C$6,0,Base_Curve_Fit!$B$6/(1+EXP(-Base_Curve_Fit!$E$6*($C21-Base_Curve_Fit!$D$6))))</x:f>
        <x:v>0.1487812858134255</x:v>
      </x:c>
      <x:c r="I21" s="24" t="n">
        <x:f>(D21*Base_Curve_Fit!$F$2+E21*Base_Curve_Fit!$F$3+F21*Base_Curve_Fit!$F$4+G21*Base_Curve_Fit!$F$5+H21*Base_Curve_Fit!$F$6)*Dashboard!$B$5*Dashboard!$B$11</x:f>
        <x:v>35523645.47815605</x:v>
      </x:c>
      <x:c r="J21" s="30" t="n">
        <x:f>I21/Dashboard!$B$5</x:f>
        <x:v>0.4045973289083833</x:v>
      </x:c>
      <x:c r="K21" s="30" t="n">
        <x:f>I21/Dashboard!$B$4</x:f>
        <x:v>0.31717540605496475</x:v>
      </x:c>
      <x:c r="L21" t="str">
        <x:f>IF(C21&lt;0.75,"below modeled onset",IF(C21&lt;1,"approaching design",IF(C21&lt;1.5,"exceedance region","severe exceedance")))</x:f>
        <x:v>severe exceedance</x:v>
      </x:c>
    </x:row>
    <x:row r="22">
      <x:c r="A22" t="n">
        <x:v>160</x:v>
      </x:c>
      <x:c r="B22" s="38" t="n">
        <x:f>A22*0.44704</x:f>
        <x:v>71.5264</x:v>
      </x:c>
      <x:c r="C22" s="30" t="n">
        <x:f>(A22/Dashboard!$B$6)^2*Dashboard!$G$8</x:f>
        <x:v>1.8655555555555554</x:v>
      </x:c>
      <x:c r="D22" s="30" t="n">
        <x:f>IF($C22&lt;Base_Curve_Fit!$C$2,0,Base_Curve_Fit!$B$2/(1+EXP(-Base_Curve_Fit!$E$2*($C22-Base_Curve_Fit!$D$2))))</x:f>
        <x:v>0.7987249102173577</x:v>
      </x:c>
      <x:c r="E22" s="30" t="n">
        <x:f>IF($C22&lt;Base_Curve_Fit!$C$3,0,Base_Curve_Fit!$B$3/(1+EXP(-Base_Curve_Fit!$E$3*($C22-Base_Curve_Fit!$D$3))))</x:f>
        <x:v>0.7445892469693007</x:v>
      </x:c>
      <x:c r="F22" s="30" t="n">
        <x:f>IF($C22&lt;Base_Curve_Fit!$C$4,0,Base_Curve_Fit!$B$4/(1+EXP(-Base_Curve_Fit!$E$4*($C22-Base_Curve_Fit!$D$4))))</x:f>
        <x:v>0.6498134153559143</x:v>
      </x:c>
      <x:c r="G22" s="30" t="n">
        <x:f>IF($C22&lt;Base_Curve_Fit!$C$5,0,Base_Curve_Fit!$B$5/(1+EXP(-Base_Curve_Fit!$E$5*($C22-Base_Curve_Fit!$D$5))))</x:f>
        <x:v>0.43813447663795974</x:v>
      </x:c>
      <x:c r="H22" s="30" t="n">
        <x:f>IF($C22&lt;Base_Curve_Fit!$C$6,0,Base_Curve_Fit!$B$6/(1+EXP(-Base_Curve_Fit!$E$6*($C22-Base_Curve_Fit!$D$6))))</x:f>
        <x:v>0.14938541233966224</x:v>
      </x:c>
      <x:c r="I22" s="24" t="n">
        <x:f>(D22*Base_Curve_Fit!$F$2+E22*Base_Curve_Fit!$F$3+F22*Base_Curve_Fit!$F$4+G22*Base_Curve_Fit!$F$5+H22*Base_Curve_Fit!$F$6)*Dashboard!$B$5*Dashboard!$B$11</x:f>
        <x:v>35693964.417674184</x:v>
      </x:c>
      <x:c r="J22" s="30" t="n">
        <x:f>I22/Dashboard!$B$5</x:f>
        <x:v>0.4065371801557424</x:v>
      </x:c>
      <x:c r="K22" s="30" t="n">
        <x:f>I22/Dashboard!$B$4</x:f>
        <x:v>0.31869611087209093</x:v>
      </x:c>
      <x:c r="L22" t="str">
        <x:f>IF(C22&lt;0.75,"below modeled onset",IF(C22&lt;1,"approaching design",IF(C22&lt;1.5,"exceedance region","severe exceedance")))</x:f>
        <x:v>severe exceedance</x:v>
      </x:c>
    </x:row>
    <x:row r="23">
      <x:c r="A23" t="n">
        <x:v>165</x:v>
      </x:c>
      <x:c r="B23" s="38" t="n">
        <x:f>A23*0.44704</x:f>
        <x:v>73.7616</x:v>
      </x:c>
      <x:c r="C23" s="30" t="n">
        <x:f>(A23/Dashboard!$B$6)^2*Dashboard!$G$8</x:f>
        <x:v>1.983974609375</x:v>
      </x:c>
      <x:c r="D23" s="30" t="n">
        <x:f>IF($C23&lt;Base_Curve_Fit!$C$2,0,Base_Curve_Fit!$B$2/(1+EXP(-Base_Curve_Fit!$E$2*($C23-Base_Curve_Fit!$D$2))))</x:f>
        <x:v>0.7995603206233008</x:v>
      </x:c>
      <x:c r="E23" s="30" t="n">
        <x:f>IF($C23&lt;Base_Curve_Fit!$C$3,0,Base_Curve_Fit!$B$3/(1+EXP(-Base_Curve_Fit!$E$3*($C23-Base_Curve_Fit!$D$3))))</x:f>
        <x:v>0.7478925841346301</x:v>
      </x:c>
      <x:c r="F23" s="30" t="n">
        <x:f>IF($C23&lt;Base_Curve_Fit!$C$4,0,Base_Curve_Fit!$B$4/(1+EXP(-Base_Curve_Fit!$E$4*($C23-Base_Curve_Fit!$D$4))))</x:f>
        <x:v>0.6499428948851197</x:v>
      </x:c>
      <x:c r="G23" s="30" t="n">
        <x:f>IF($C23&lt;Base_Curve_Fit!$C$5,0,Base_Curve_Fit!$B$5/(1+EXP(-Base_Curve_Fit!$E$5*($C23-Base_Curve_Fit!$D$5))))</x:f>
        <x:v>0.4447424087105328</x:v>
      </x:c>
      <x:c r="H23" s="30" t="n">
        <x:f>IF($C23&lt;Base_Curve_Fit!$C$6,0,Base_Curve_Fit!$B$6/(1+EXP(-Base_Curve_Fit!$E$6*($C23-Base_Curve_Fit!$D$6))))</x:f>
        <x:v>0.14969736625242513</x:v>
      </x:c>
      <x:c r="I23" s="24" t="n">
        <x:f>(D23*Base_Curve_Fit!$F$2+E23*Base_Curve_Fit!$F$3+F23*Base_Curve_Fit!$F$4+G23*Base_Curve_Fit!$F$5+H23*Base_Curve_Fit!$F$6)*Dashboard!$B$5*Dashboard!$B$11</x:f>
        <x:v>35768743.54756674</x:v>
      </x:c>
      <x:c r="J23" s="30" t="n">
        <x:f>I23/Dashboard!$B$5</x:f>
        <x:v>0.4073888786738809</x:v>
      </x:c>
      <x:c r="K23" s="30" t="n">
        <x:f>I23/Dashboard!$B$4</x:f>
        <x:v>0.31936378167470303</x:v>
      </x:c>
      <x:c r="L23" t="str">
        <x:f>IF(C23&lt;0.75,"below modeled onset",IF(C23&lt;1,"approaching design",IF(C23&lt;1.5,"exceedance region","severe exceedance")))</x:f>
        <x:v>severe exceedance</x:v>
      </x:c>
    </x:row>
    <x:row r="24">
      <x:c r="A24" t="n">
        <x:v>170</x:v>
      </x:c>
      <x:c r="B24" s="38" t="n">
        <x:f>A24*0.44704</x:f>
        <x:v>75.9968</x:v>
      </x:c>
      <x:c r="C24" s="30" t="n">
        <x:f>(A24/Dashboard!$B$6)^2*Dashboard!$G$8</x:f>
        <x:v>2.106037326388889</x:v>
      </x:c>
      <x:c r="D24" s="30" t="n">
        <x:f>IF($C24&lt;Base_Curve_Fit!$C$2,0,Base_Curve_Fit!$B$2/(1+EXP(-Base_Curve_Fit!$E$2*($C24-Base_Curve_Fit!$D$2))))</x:f>
        <x:v>0.7998533794764332</x:v>
      </x:c>
      <x:c r="E24" s="30" t="n">
        <x:f>IF($C24&lt;Base_Curve_Fit!$C$3,0,Base_Curve_Fit!$B$3/(1+EXP(-Base_Curve_Fit!$E$3*($C24-Base_Curve_Fit!$D$3))))</x:f>
        <x:v>0.7492048989787263</x:v>
      </x:c>
      <x:c r="F24" s="30" t="n">
        <x:f>IF($C24&lt;Base_Curve_Fit!$C$4,0,Base_Curve_Fit!$B$4/(1+EXP(-Base_Curve_Fit!$E$4*($C24-Base_Curve_Fit!$D$4))))</x:f>
        <x:v>0.6499831503740937</x:v>
      </x:c>
      <x:c r="G24" s="30" t="n">
        <x:f>IF($C24&lt;Base_Curve_Fit!$C$5,0,Base_Curve_Fit!$B$5/(1+EXP(-Base_Curve_Fit!$E$5*($C24-Base_Curve_Fit!$D$5))))</x:f>
        <x:v>0.447747662567626</x:v>
      </x:c>
      <x:c r="H24" s="30" t="n">
        <x:f>IF($C24&lt;Base_Curve_Fit!$C$6,0,Base_Curve_Fit!$B$6/(1+EXP(-Base_Curve_Fit!$E$6*($C24-Base_Curve_Fit!$D$6))))</x:f>
        <x:v>0.14985435165011407</x:v>
      </x:c>
      <x:c r="I24" s="24" t="n">
        <x:f>(D24*Base_Curve_Fit!$F$2+E24*Base_Curve_Fit!$F$3+F24*Base_Curve_Fit!$F$4+G24*Base_Curve_Fit!$F$5+H24*Base_Curve_Fit!$F$6)*Dashboard!$B$5*Dashboard!$B$11</x:f>
        <x:v>35800513.609773174</x:v>
      </x:c>
      <x:c r="J24" s="30" t="n">
        <x:f>I24/Dashboard!$B$5</x:f>
        <x:v>0.4077507244848881</x:v>
      </x:c>
      <x:c r="K24" s="30" t="n">
        <x:f>I24/Dashboard!$B$4</x:f>
        <x:v>0.31964744294440334</x:v>
      </x:c>
      <x:c r="L24" t="str">
        <x:f>IF(C24&lt;0.75,"below modeled onset",IF(C24&lt;1,"approaching design",IF(C24&lt;1.5,"exceedance region","severe exceedance")))</x:f>
        <x:v>severe exceedance</x:v>
      </x:c>
    </x:row>
    <x:row r="25">
      <x:c r="A25" t="n">
        <x:v>175</x:v>
      </x:c>
      <x:c r="B25" s="38" t="n">
        <x:f>A25*0.44704</x:f>
        <x:v>78.232</x:v>
      </x:c>
      <x:c r="C25" s="30" t="n">
        <x:f>(A25/Dashboard!$B$6)^2*Dashboard!$G$8</x:f>
        <x:v>2.231743706597222</x:v>
      </x:c>
      <x:c r="D25" s="30" t="n">
        <x:f>IF($C25&lt;Base_Curve_Fit!$C$2,0,Base_Curve_Fit!$B$2/(1+EXP(-Base_Curve_Fit!$E$2*($C25-Base_Curve_Fit!$D$2))))</x:f>
        <x:v>0.7999526950701908</x:v>
      </x:c>
      <x:c r="E25" s="30" t="n">
        <x:f>IF($C25&lt;Base_Curve_Fit!$C$3,0,Base_Curve_Fit!$B$3/(1+EXP(-Base_Curve_Fit!$E$3*($C25-Base_Curve_Fit!$D$3))))</x:f>
        <x:v>0.7497089512751648</x:v>
      </x:c>
      <x:c r="F25" s="30" t="n">
        <x:f>IF($C25&lt;Base_Curve_Fit!$C$4,0,Base_Curve_Fit!$B$4/(1+EXP(-Base_Curve_Fit!$E$4*($C25-Base_Curve_Fit!$D$4))))</x:f>
        <x:v>0.6499952063927799</x:v>
      </x:c>
      <x:c r="G25" s="30" t="n">
        <x:f>IF($C25&lt;Base_Curve_Fit!$C$5,0,Base_Curve_Fit!$B$5/(1+EXP(-Base_Curve_Fit!$E$5*($C25-Base_Curve_Fit!$D$5))))</x:f>
        <x:v>0.4490629726585211</x:v>
      </x:c>
      <x:c r="H25" s="30" t="n">
        <x:f>IF($C25&lt;Base_Curve_Fit!$C$6,0,Base_Curve_Fit!$B$6/(1+EXP(-Base_Curve_Fit!$E$6*($C25-Base_Curve_Fit!$D$6))))</x:f>
        <x:v>0.14993145631555277</x:v>
      </x:c>
      <x:c r="I25" s="24" t="n">
        <x:f>(D25*Base_Curve_Fit!$F$2+E25*Base_Curve_Fit!$F$3+F25*Base_Curve_Fit!$F$4+G25*Base_Curve_Fit!$F$5+H25*Base_Curve_Fit!$F$6)*Dashboard!$B$5*Dashboard!$B$11</x:f>
        <x:v>35813664.09124858</x:v>
      </x:c>
      <x:c r="J25" s="30" t="n">
        <x:f>I25/Dashboard!$B$5</x:f>
        <x:v>0.4079005021782298</x:v>
      </x:c>
      <x:c r="K25" s="30" t="n">
        <x:f>I25/Dashboard!$B$4</x:f>
        <x:v>0.3197648579575766</x:v>
      </x:c>
      <x:c r="L25" t="str">
        <x:f>IF(C25&lt;0.75,"below modeled onset",IF(C25&lt;1,"approaching design",IF(C25&lt;1.5,"exceedance region","severe exceedance")))</x:f>
        <x:v>severe exceedance</x:v>
      </x:c>
    </x:row>
    <x:row r="26">
      <x:c r="A26" t="n">
        <x:v>180</x:v>
      </x:c>
      <x:c r="B26" s="38" t="n">
        <x:f>A26*0.44704</x:f>
        <x:v>80.4672</x:v>
      </x:c>
      <x:c r="C26" s="30" t="n">
        <x:f>(A26/Dashboard!$B$6)^2*Dashboard!$G$8</x:f>
        <x:v>2.3610937499999998</x:v>
      </x:c>
      <x:c r="D26" s="30" t="n">
        <x:f>IF($C26&lt;Base_Curve_Fit!$C$2,0,Base_Curve_Fit!$B$2/(1+EXP(-Base_Curve_Fit!$E$2*($C26-Base_Curve_Fit!$D$2))))</x:f>
        <x:v>0.7999852313779892</x:v>
      </x:c>
      <x:c r="E26" s="30" t="n">
        <x:f>IF($C26&lt;Base_Curve_Fit!$C$3,0,Base_Curve_Fit!$B$3/(1+EXP(-Base_Curve_Fit!$E$3*($C26-Base_Curve_Fit!$D$3))))</x:f>
        <x:v>0.7498965652930346</x:v>
      </x:c>
      <x:c r="F26" s="30" t="n">
        <x:f>IF($C26&lt;Base_Curve_Fit!$C$4,0,Base_Curve_Fit!$B$4/(1+EXP(-Base_Curve_Fit!$E$4*($C26-Base_Curve_Fit!$D$4))))</x:f>
        <x:v>0.6499986850638374</x:v>
      </x:c>
      <x:c r="G26" s="30" t="n">
        <x:f>IF($C26&lt;Base_Curve_Fit!$C$5,0,Base_Curve_Fit!$B$5/(1+EXP(-Base_Curve_Fit!$E$5*($C26-Base_Curve_Fit!$D$5))))</x:f>
        <x:v>0.4496206333244128</x:v>
      </x:c>
      <x:c r="H26" s="30" t="n">
        <x:f>IF($C26&lt;Base_Curve_Fit!$C$6,0,Base_Curve_Fit!$B$6/(1+EXP(-Base_Curve_Fit!$E$6*($C26-Base_Curve_Fit!$D$6))))</x:f>
        <x:v>0.1499684486080037</x:v>
      </x:c>
      <x:c r="I26" s="24" t="n">
        <x:f>(D26*Base_Curve_Fit!$F$2+E26*Base_Curve_Fit!$F$3+F26*Base_Curve_Fit!$F$4+G26*Base_Curve_Fit!$F$5+H26*Base_Curve_Fit!$F$6)*Dashboard!$B$5*Dashboard!$B$11</x:f>
        <x:v>35818985.114831</x:v>
      </x:c>
      <x:c r="J26" s="30" t="n">
        <x:f>I26/Dashboard!$B$5</x:f>
        <x:v>0.40796110609146924</x:v>
      </x:c>
      <x:c r="K26" s="30" t="n">
        <x:f>I26/Dashboard!$B$4</x:f>
        <x:v>0.31981236709670535</x:v>
      </x:c>
      <x:c r="L26" t="str">
        <x:f>IF(C26&lt;0.75,"below modeled onset",IF(C26&lt;1,"approaching design",IF(C26&lt;1.5,"exceedance region","severe exceedance")))</x:f>
        <x:v>severe exceedance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8" hidden="0" customWidth="1"/>
    <x:col min="5" max="5" width="12" hidden="0" customWidth="1"/>
    <x:col min="6" max="6" width="28" hidden="0" customWidth="1"/>
  </x:cols>
  <x:sheetData>
    <x:row r="1" ht="24" customHeight="1">
      <x:c r="A1" s="18" t="str">
        <x:v>Wind speed mph</x:v>
      </x:c>
      <x:c r="B1" s="18" t="str">
        <x:v>Demand ratio</x:v>
      </x:c>
      <x:c r="C1" s="18" t="str">
        <x:v>Primary DR summary</x:v>
      </x:c>
      <x:c r="D1" s="18" t="str">
        <x:v>Loss $</x:v>
      </x:c>
      <x:c r="E1" s="18" t="str">
        <x:v>% TIV</x:v>
      </x:c>
      <x:c r="F1" s="18" t="str">
        <x:v>Interpretation</x:v>
      </x:c>
    </x:row>
    <x:row r="2">
      <x:c r="A2" t="n">
        <x:v>80</x:v>
      </x:c>
      <x:c r="B2" s="30" t="n">
        <x:f>INDEX(Curve_Data!$C$2:$C$26,MATCH(A2,Curve_Data!$A$2:$A$26,0))</x:f>
        <x:v>0.46638888888888885</x:v>
      </x:c>
      <x:c r="C2" t="str">
        <x:f>"module "&amp;TEXT(INDEX(Curve_Data!$F$2:$F$26,MATCH(A2,Curve_Data!$A$2:$A$26,0)),"0%")&amp;"; mounting "&amp;TEXT(INDEX(Curve_Data!$D$2:$D$26,MATCH(A2,Curve_Data!$A$2:$A$26,0))+INDEX(Curve_Data!$E$2:$E$26,MATCH(A2,Curve_Data!$A$2:$A$26,0)),"0%")</x:f>
        <x:v>module 0%; mounting 0%</x:v>
      </x:c>
      <x:c r="D2" s="24" t="n">
        <x:f>INDEX(Curve_Data!$I$2:$I$26,MATCH(A2,Curve_Data!$A$2:$A$26,0))</x:f>
        <x:v>0</x:v>
      </x:c>
      <x:c r="E2" s="30" t="n">
        <x:f>INDEX(Curve_Data!$K$2:$K$26,MATCH(A2,Curve_Data!$A$2:$A$26,0))</x:f>
        <x:v>0</x:v>
      </x:c>
      <x:c r="F2" t="str">
        <x:f>INDEX(Curve_Data!$L$2:$L$26,MATCH(A2,Curve_Data!$A$2:$A$26,0))</x:f>
        <x:v>below modeled onset</x:v>
      </x:c>
    </x:row>
    <x:row r="3">
      <x:c r="A3" t="n">
        <x:v>100</x:v>
      </x:c>
      <x:c r="B3" s="30" t="n">
        <x:f>INDEX(Curve_Data!$C$2:$C$26,MATCH(A3,Curve_Data!$A$2:$A$26,0))</x:f>
        <x:v>0.728732638888889</x:v>
      </x:c>
      <x:c r="C3" t="str">
        <x:f>"module "&amp;TEXT(INDEX(Curve_Data!$F$2:$F$26,MATCH(A3,Curve_Data!$A$2:$A$26,0)),"0%")&amp;"; mounting "&amp;TEXT(INDEX(Curve_Data!$D$2:$D$26,MATCH(A3,Curve_Data!$A$2:$A$26,0))+INDEX(Curve_Data!$E$2:$E$26,MATCH(A3,Curve_Data!$A$2:$A$26,0)),"0%")</x:f>
        <x:v>module 3%; mounting 0%</x:v>
      </x:c>
      <x:c r="D3" s="24" t="n">
        <x:f>INDEX(Curve_Data!$I$2:$I$26,MATCH(A3,Curve_Data!$A$2:$A$26,0))</x:f>
        <x:v>938448.1491601301</x:v>
      </x:c>
      <x:c r="E3" s="30" t="n">
        <x:f>INDEX(Curve_Data!$K$2:$K$26,MATCH(A3,Curve_Data!$A$2:$A$26,0))</x:f>
        <x:v>0.008379001331786876</x:v>
      </x:c>
      <x:c r="F3" t="str">
        <x:f>INDEX(Curve_Data!$L$2:$L$26,MATCH(A3,Curve_Data!$A$2:$A$26,0))</x:f>
        <x:v>below modeled onset</x:v>
      </x:c>
    </x:row>
    <x:row r="4">
      <x:c r="A4" t="n">
        <x:v>120</x:v>
      </x:c>
      <x:c r="B4" s="30" t="n">
        <x:f>INDEX(Curve_Data!$C$2:$C$26,MATCH(A4,Curve_Data!$A$2:$A$26,0))</x:f>
        <x:v>1.049375</x:v>
      </x:c>
      <x:c r="C4" t="str">
        <x:f>"module "&amp;TEXT(INDEX(Curve_Data!$F$2:$F$26,MATCH(A4,Curve_Data!$A$2:$A$26,0)),"0%")&amp;"; mounting "&amp;TEXT(INDEX(Curve_Data!$D$2:$D$26,MATCH(A4,Curve_Data!$A$2:$A$26,0))+INDEX(Curve_Data!$E$2:$E$26,MATCH(A4,Curve_Data!$A$2:$A$26,0)),"0%")</x:f>
        <x:v>module 32%; mounting 36%</x:v>
      </x:c>
      <x:c r="D4" s="24" t="n">
        <x:f>INDEX(Curve_Data!$I$2:$I$26,MATCH(A4,Curve_Data!$A$2:$A$26,0))</x:f>
        <x:v>14170346.329444692</x:v>
      </x:c>
      <x:c r="E4" s="30" t="n">
        <x:f>INDEX(Curve_Data!$K$2:$K$26,MATCH(A4,Curve_Data!$A$2:$A$26,0))</x:f>
        <x:v>0.12652094937004188</x:v>
      </x:c>
      <x:c r="F4" t="str">
        <x:f>INDEX(Curve_Data!$L$2:$L$26,MATCH(A4,Curve_Data!$A$2:$A$26,0))</x:f>
        <x:v>exceedance region</x:v>
      </x:c>
    </x:row>
    <x:row r="5">
      <x:c r="A5" t="n">
        <x:v>140</x:v>
      </x:c>
      <x:c r="B5" s="30" t="n">
        <x:f>INDEX(Curve_Data!$C$2:$C$26,MATCH(A5,Curve_Data!$A$2:$A$26,0))</x:f>
        <x:v>1.4283159722222225</x:v>
      </x:c>
      <x:c r="C5" t="str">
        <x:f>"module "&amp;TEXT(INDEX(Curve_Data!$F$2:$F$26,MATCH(A5,Curve_Data!$A$2:$A$26,0)),"0%")&amp;"; mounting "&amp;TEXT(INDEX(Curve_Data!$D$2:$D$26,MATCH(A5,Curve_Data!$A$2:$A$26,0))+INDEX(Curve_Data!$E$2:$E$26,MATCH(A5,Curve_Data!$A$2:$A$26,0)),"0%")</x:f>
        <x:v>module 64%; mounting 134%</x:v>
      </x:c>
      <x:c r="D5" s="24" t="n">
        <x:f>INDEX(Curve_Data!$I$2:$I$26,MATCH(A5,Curve_Data!$A$2:$A$26,0))</x:f>
        <x:v>32953298.73978221</x:v>
      </x:c>
      <x:c r="E5" s="30" t="n">
        <x:f>INDEX(Curve_Data!$K$2:$K$26,MATCH(A5,Curve_Data!$A$2:$A$26,0))</x:f>
        <x:v>0.2942258816051983</x:v>
      </x:c>
      <x:c r="F5" t="str">
        <x:f>INDEX(Curve_Data!$L$2:$L$26,MATCH(A5,Curve_Data!$A$2:$A$26,0))</x:f>
        <x:v>exceedance region</x:v>
      </x:c>
    </x:row>
    <x:row r="6">
      <x:c r="A6" t="n">
        <x:v>160</x:v>
      </x:c>
      <x:c r="B6" s="30" t="n">
        <x:f>INDEX(Curve_Data!$C$2:$C$26,MATCH(A6,Curve_Data!$A$2:$A$26,0))</x:f>
        <x:v>1.8655555555555554</x:v>
      </x:c>
      <x:c r="C6" t="str">
        <x:f>"module "&amp;TEXT(INDEX(Curve_Data!$F$2:$F$26,MATCH(A6,Curve_Data!$A$2:$A$26,0)),"0%")&amp;"; mounting "&amp;TEXT(INDEX(Curve_Data!$D$2:$D$26,MATCH(A6,Curve_Data!$A$2:$A$26,0))+INDEX(Curve_Data!$E$2:$E$26,MATCH(A6,Curve_Data!$A$2:$A$26,0)),"0%")</x:f>
        <x:v>module 65%; mounting 154%</x:v>
      </x:c>
      <x:c r="D6" s="24" t="n">
        <x:f>INDEX(Curve_Data!$I$2:$I$26,MATCH(A6,Curve_Data!$A$2:$A$26,0))</x:f>
        <x:v>35693964.417674184</x:v>
      </x:c>
      <x:c r="E6" s="30" t="n">
        <x:f>INDEX(Curve_Data!$K$2:$K$26,MATCH(A6,Curve_Data!$A$2:$A$26,0))</x:f>
        <x:v>0.31869611087209093</x:v>
      </x:c>
      <x:c r="F6" t="str">
        <x:f>INDEX(Curve_Data!$L$2:$L$26,MATCH(A6,Curve_Data!$A$2:$A$26,0))</x:f>
        <x:v>severe exceedance</x:v>
      </x:c>
    </x:row>
    <x:row r="7">
      <x:c r="A7" t="n">
        <x:v>180</x:v>
      </x:c>
      <x:c r="B7" s="30" t="n">
        <x:f>INDEX(Curve_Data!$C$2:$C$26,MATCH(A7,Curve_Data!$A$2:$A$26,0))</x:f>
        <x:v>2.3610937499999998</x:v>
      </x:c>
      <x:c r="C7" t="str">
        <x:f>"module "&amp;TEXT(INDEX(Curve_Data!$F$2:$F$26,MATCH(A7,Curve_Data!$A$2:$A$26,0)),"0%")&amp;"; mounting "&amp;TEXT(INDEX(Curve_Data!$D$2:$D$26,MATCH(A7,Curve_Data!$A$2:$A$26,0))+INDEX(Curve_Data!$E$2:$E$26,MATCH(A7,Curve_Data!$A$2:$A$26,0)),"0%")</x:f>
        <x:v>module 65%; mounting 155%</x:v>
      </x:c>
      <x:c r="D7" s="24" t="n">
        <x:f>INDEX(Curve_Data!$I$2:$I$26,MATCH(A7,Curve_Data!$A$2:$A$26,0))</x:f>
        <x:v>35818985.114831</x:v>
      </x:c>
      <x:c r="E7" s="30" t="n">
        <x:f>INDEX(Curve_Data!$K$2:$K$26,MATCH(A7,Curve_Data!$A$2:$A$26,0))</x:f>
        <x:v>0.31981236709670535</x:v>
      </x:c>
      <x:c r="F7" t="str">
        <x:f>INDEX(Curve_Data!$L$2:$L$26,MATCH(A7,Curve_Data!$A$2:$A$26,0))</x:f>
        <x:v>severe exceedance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4" hidden="0" customWidth="1"/>
    <x:col min="4" max="4" width="38" hidden="0" customWidth="1"/>
    <x:col min="5" max="5" width="60" hidden="0" customWidth="1"/>
  </x:cols>
  <x:sheetData>
    <x:row r="1" ht="24" customHeight="1">
      <x:c r="A1" s="18" t="str">
        <x:v>Field group</x:v>
      </x:c>
      <x:c r="B1" s="18" t="str">
        <x:v>Field</x:v>
      </x:c>
      <x:c r="C1" s="18" t="str">
        <x:v>Required?</x:v>
      </x:c>
      <x:c r="D1" s="18" t="str">
        <x:v>Example / allowed values</x:v>
      </x:c>
      <x:c r="E1" s="18" t="str">
        <x:v>Notes</x:v>
      </x:c>
    </x:row>
    <x:row r="2">
      <x:c r="A2" t="str">
        <x:v>Identity</x:v>
      </x:c>
      <x:c r="B2" t="str">
        <x:v>damage_code_id</x:v>
      </x:c>
      <x:c r="C2" t="str">
        <x:v>yes</x:v>
      </x:c>
      <x:c r="D2" t="str">
        <x:v>SWS_MODULE_ATTACH_V1</x:v>
      </x:c>
      <x:c r="E2" t="str">
        <x:v>One per failure-unit curve.</x:v>
      </x:c>
    </x:row>
    <x:row r="3">
      <x:c r="A3" t="str">
        <x:v>Hazard axis</x:v>
      </x:c>
      <x:c r="B3" t="str">
        <x:v>gust_3s_mph</x:v>
      </x:c>
      <x:c r="C3" t="str">
        <x:v>yes</x:v>
      </x:c>
      <x:c r="D3" t="str">
        <x:v>120</x:v>
      </x:c>
      <x:c r="E3" t="str">
        <x:v>Operational x-axis from hazard catalog.</x:v>
      </x:c>
    </x:row>
    <x:row r="4">
      <x:c r="A4" t="str">
        <x:v>Hazard axis</x:v>
      </x:c>
      <x:c r="B4" t="str">
        <x:v>source_height_m</x:v>
      </x:c>
      <x:c r="C4" t="str">
        <x:v>conditional</x:v>
      </x:c>
      <x:c r="D4" t="str">
        <x:v>10 or array height</x:v>
      </x:c>
      <x:c r="E4" t="str">
        <x:v>Required if height conversion needed.</x:v>
      </x:c>
    </x:row>
    <x:row r="5">
      <x:c r="A5" t="str">
        <x:v>Selector</x:v>
      </x:c>
      <x:c r="B5" t="str">
        <x:v>design_gust_mph</x:v>
      </x:c>
      <x:c r="C5" t="str">
        <x:v>yes</x:v>
      </x:c>
      <x:c r="D5" t="str">
        <x:v>120</x:v>
      </x:c>
      <x:c r="E5" t="str">
        <x:v>Project/site design basis.</x:v>
      </x:c>
    </x:row>
    <x:row r="6">
      <x:c r="A6" t="str">
        <x:v>Selector</x:v>
      </x:c>
      <x:c r="B6" t="str">
        <x:v>mounting_type</x:v>
      </x:c>
      <x:c r="C6" t="str">
        <x:v>yes</x:v>
      </x:c>
      <x:c r="D6" t="str">
        <x:v>single_axis_tracker; fixed_tilt</x:v>
      </x:c>
      <x:c r="E6" t="str">
        <x:v>Chooses tracker/racking emphasis.</x:v>
      </x:c>
    </x:row>
    <x:row r="7">
      <x:c r="A7" t="str">
        <x:v>Conditioner</x:v>
      </x:c>
      <x:c r="B7" t="str">
        <x:v>stow_state</x:v>
      </x:c>
      <x:c r="C7" t="str">
        <x:v>conditional</x:v>
      </x:c>
      <x:c r="D7" t="str">
        <x:v>confirmed_stowed; unstowed_or_failed; probabilistic; not_applicable</x:v>
      </x:c>
      <x:c r="E7" t="str">
        <x:v>Event-time operating state.</x:v>
      </x:c>
    </x:row>
    <x:row r="8">
      <x:c r="A8" t="str">
        <x:v>Conditioner</x:v>
      </x:c>
      <x:c r="B8" t="str">
        <x:v>stow_success_probability</x:v>
      </x:c>
      <x:c r="C8" t="str">
        <x:v>conditional</x:v>
      </x:c>
      <x:c r="D8" t="str">
        <x:v>0.75</x:v>
      </x:c>
      <x:c r="E8" t="str">
        <x:v>Used only when stow_state=probabilistic.</x:v>
      </x:c>
    </x:row>
    <x:row r="9">
      <x:c r="A9" t="str">
        <x:v>Exposure</x:v>
      </x:c>
      <x:c r="B9" t="str">
        <x:v>array_exposure_fraction</x:v>
      </x:c>
      <x:c r="C9" t="str">
        <x:v>yes</x:v>
      </x:c>
      <x:c r="D9" t="str">
        <x:v>0-1</x:v>
      </x:c>
      <x:c r="E9" t="str">
        <x:v>Fraction of affected value inside wind footprint.</x:v>
      </x:c>
    </x:row>
    <x:row r="10">
      <x:c r="A10" t="str">
        <x:v>Exposure</x:v>
      </x:c>
      <x:c r="B10" t="str">
        <x:v>zone_multiplier</x:v>
      </x:c>
      <x:c r="C10" t="str">
        <x:v>conditional</x:v>
      </x:c>
      <x:c r="D10" t="str">
        <x:v>1.0; 1.15; 1.35</x:v>
      </x:c>
      <x:c r="E10" t="str">
        <x:v>Interior/edge/corner or layout multiplier.</x:v>
      </x:c>
    </x:row>
    <x:row r="11">
      <x:c r="A11" t="str">
        <x:v>Output</x:v>
      </x:c>
      <x:c r="B11" t="str">
        <x:v>failure_unit_DR</x:v>
      </x:c>
      <x:c r="C11" t="str">
        <x:v>yes</x:v>
      </x:c>
      <x:c r="D11" t="str">
        <x:v>0-1</x:v>
      </x:c>
      <x:c r="E11" t="str">
        <x:v>Damage ratio by curve ID.</x:v>
      </x:c>
    </x:row>
    <x:row r="12">
      <x:c r="A12" t="str">
        <x:v>Output</x:v>
      </x:c>
      <x:c r="B12" t="str">
        <x:v>model_flags</x:v>
      </x:c>
      <x:c r="C12" t="str">
        <x:v>yes</x:v>
      </x:c>
      <x:c r="D12" t="str">
        <x:v>tornado_deferred; dependency_flag; generic_engineering_fit</x:v>
      </x:c>
      <x:c r="E12" t="str">
        <x:v>Governance flags.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70" hidden="0" customWidth="1"/>
  </x:cols>
  <x:sheetData>
    <x:row r="1" ht="24" customHeight="1">
      <x:c r="A1" s="18" t="str">
        <x:v>Check</x:v>
      </x:c>
      <x:c r="B1" s="18" t="str">
        <x:v>Status</x:v>
      </x:c>
      <x:c r="C1" s="18" t="str">
        <x:v>Evidence</x:v>
      </x:c>
      <x:c r="D1" s="18" t="str">
        <x:v>Notes</x:v>
      </x:c>
    </x:row>
    <x:row r="2">
      <x:c r="A2" t="str">
        <x:v>Coverage reviewed</x:v>
      </x:c>
      <x:c r="B2" t="str">
        <x:v>Pass</x:v>
      </x:c>
      <x:c r="C2" t="str">
        <x:v>StrongWind_Coverage</x:v>
      </x:c>
      <x:c r="D2" t="str">
        <x:v>All solar structural and shared plant buckets classified.</x:v>
      </x:c>
    </x:row>
    <x:row r="3">
      <x:c r="A3" t="str">
        <x:v>X-axis explicit</x:v>
      </x:c>
      <x:c r="B3" t="str">
        <x:v>Pass</x:v>
      </x:c>
      <x:c r="C3" t="str">
        <x:v>X_Axis_Decision</x:v>
      </x:c>
      <x:c r="D3" t="str">
        <x:v>3-sec gust with pressure/demand bridge.</x:v>
      </x:c>
    </x:row>
    <x:row r="4">
      <x:c r="A4" t="str">
        <x:v>Curve form justified</x:v>
      </x:c>
      <x:c r="B4" t="str">
        <x:v>Pass with caveat</x:v>
      </x:c>
      <x:c r="C4" t="str">
        <x:v>Base_Curve_Fit / dossier</x:v>
      </x:c>
      <x:c r="D4" t="str">
        <x:v>Engineering-fit fragility; not claims-calibrated.</x:v>
      </x:c>
    </x:row>
    <x:row r="5">
      <x:c r="A5" t="str">
        <x:v>Tornado excluded from v1.0</x:v>
      </x:c>
      <x:c r="B5" t="str">
        <x:v>Pass</x:v>
      </x:c>
      <x:c r="C5" t="str">
        <x:v>README / X_Axis_Decision</x:v>
      </x:c>
      <x:c r="D5" t="str">
        <x:v>Deferred due debris/missile/swath pathway.</x:v>
      </x:c>
    </x:row>
    <x:row r="6">
      <x:c r="A6" t="str">
        <x:v>Value basis labeled</x:v>
      </x:c>
      <x:c r="B6" t="str">
        <x:v>Pass</x:v>
      </x:c>
      <x:c r="C6" t="str">
        <x:v>Value_Link</x:v>
      </x:c>
      <x:c r="D6" t="str">
        <x:v>Physical replaceable basis used for illustrative loss.</x:v>
      </x:c>
    </x:row>
    <x:row r="7">
      <x:c r="A7" t="str">
        <x:v>Double-count caveat</x:v>
      </x:c>
      <x:c r="B7" t="str">
        <x:v>Flagged</x:v>
      </x:c>
      <x:c r="C7" t="str">
        <x:v>Assumption_Register</x:v>
      </x:c>
      <x:c r="D7" t="str">
        <x:v>Module attachment and racking collapse dependency not fully modeled.</x:v>
      </x:c>
    </x:row>
    <x:row r="8">
      <x:c r="A8" t="str">
        <x:v>Formula scan</x:v>
      </x:c>
      <x:c r="B8" t="str">
        <x:v>Pass</x:v>
      </x:c>
      <x:c r="C8" t="str">
        <x:v>manual scan</x:v>
      </x:c>
      <x:c r="D8" t="str">
        <x:v>No formula error strings found at export verification.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46" hidden="0" customWidth="1"/>
    <x:col min="4" max="4" width="75" hidden="0" customWidth="1"/>
    <x:col min="5" max="5" width="70" hidden="0" customWidth="1"/>
  </x:cols>
  <x:sheetData>
    <x:row r="1" ht="24" customHeight="1">
      <x:c r="A1" s="18" t="str">
        <x:v>source_id</x:v>
      </x:c>
      <x:c r="B1" s="18" t="str">
        <x:v>publisher</x:v>
      </x:c>
      <x:c r="C1" s="18" t="str">
        <x:v>title</x:v>
      </x:c>
      <x:c r="D1" s="18" t="str">
        <x:v>url</x:v>
      </x:c>
      <x:c r="E1" s="18" t="str">
        <x:v>role / note</x:v>
      </x:c>
    </x:row>
    <x:row r="2">
      <x:c r="A2" t="str">
        <x:v>SRC_DOE_FEMP_PV_SEVERE_WEATHER</x:v>
      </x:c>
      <x:c r="B2" t="str">
        <x:v>DOE/FEMP</x:v>
      </x:c>
      <x:c r="C2" t="str">
        <x:v>Severe Weather Resilience in Solar Photovoltaic System Design</x:v>
      </x:c>
      <x:c r="D2" t="str">
        <x:v>https://www.energy.gov/cmei/femp/severe-weather-resilience-solar-photovoltaic-system-design</x:v>
      </x:c>
      <x:c r="E2" t="str">
        <x:v>Supports wind-resilience failure mechanisms and storm-hardening selectors for PV systems; not a quantitative fragility curve.</x:v>
      </x:c>
    </x:row>
    <x:row r="3">
      <x:c r="A3" t="str">
        <x:v>SRC_NREL_STORM_RESILIENCE</x:v>
      </x:c>
      <x:c r="B3" t="str">
        <x:v>NREL / OSTI</x:v>
      </x:c>
      <x:c r="C3" t="str">
        <x:v>Toward Solar Photovoltaic Storm Resilience / storm-hardening observations</x:v>
      </x:c>
      <x:c r="D3" t="str">
        <x:v>https://www.osti.gov/servlets/purl/2448530</x:v>
      </x:c>
      <x:c r="E3" t="str">
        <x:v>Field mechanism evidence for clamp, fastener, bracing, cascading module release and high-wind failures; used for mechanism and curve-form support.</x:v>
      </x:c>
    </x:row>
    <x:row r="4">
      <x:c r="A4" t="str">
        <x:v>SRC_NREL_STORM_HARDENING_COST</x:v>
      </x:c>
      <x:c r="B4" t="str">
        <x:v>NREL</x:v>
      </x:c>
      <x:c r="C4" t="str">
        <x:v>Cost Considerations for Storm Hardening PV Systems for Resilience</x:v>
      </x:c>
      <x:c r="D4" t="str">
        <x:v>https://docs.nrel.gov/docs/fy20osti/75804.pdf</x:v>
      </x:c>
      <x:c r="E4" t="str">
        <x:v>Mechanism evidence for loose fasteners, module-racking attachments, and storm-hardening measures; used for assumptions and selectors.</x:v>
      </x:c>
    </x:row>
    <x:row r="5">
      <x:c r="A5" t="str">
        <x:v>SRC_CPP_WIND_LOADS_UTILITY_PV</x:v>
      </x:c>
      <x:c r="B5" t="str">
        <x:v>CPP / SEAOC-style literature</x:v>
      </x:c>
      <x:c r="C5" t="str">
        <x:v>Wind Loads on Utility Scale Solar PV Power Plants</x:v>
      </x:c>
      <x:c r="D5" t="str">
        <x:v>https://cppwind.com/wp-content/uploads/2020/12/Wind-Loads-on-Utility-Scale-Solar-PV-Power-Plants_DBanks_2015.pdf</x:v>
      </x:c>
      <x:c r="E5" t="str">
        <x:v>Supports dynamic effects, tracker wind loads, and caveat against static-only simplified loads; used for x-axis bridge and curve-form rationale.</x:v>
      </x:c>
    </x:row>
    <x:row r="6">
      <x:c r="A6" t="str">
        <x:v>SRC_CPP_TORSIONAL_TRACKERS</x:v>
      </x:c>
      <x:c r="B6" t="str">
        <x:v>CPP paper</x:v>
      </x:c>
      <x:c r="C6" t="str">
        <x:v>Torsional Instability of Single-Axis Solar Tracking Systems</x:v>
      </x:c>
      <x:c r="D6" t="str">
        <x:v>https://cppwind.com/wp-content/uploads/2014/01/Torsional-Instability-of-Single-Axis-Solar-Tracking-Systems-Rohr-Bourke-Banks-2015.pdf</x:v>
      </x:c>
      <x:c r="E6" t="str">
        <x:v>Supports tracker stow as a conditioner and torsional instability as a mechanism; not used as a numeric generic curve.</x:v>
      </x:c>
    </x:row>
    <x:row r="7">
      <x:c r="A7" t="str">
        <x:v>SRC_DURAMAT_AEROELASTIC</x:v>
      </x:c>
      <x:c r="B7" t="str">
        <x:v>DuraMAT / NREL</x:v>
      </x:c>
      <x:c r="C7" t="str">
        <x:v>Aero-Elastic Modeling and Advanced Field Testing of PV Trackers</x:v>
      </x:c>
      <x:c r="D7" t="str">
        <x:v>https://www.duramat.org/projects/aero-elastic-modeling</x:v>
      </x:c>
      <x:c r="E7" t="str">
        <x:v>Supports that tracker high-wind failure modes and aeroelastic model gaps are active research areas; used for open-seam and caveat.</x:v>
      </x:c>
    </x:row>
    <x:row r="8">
      <x:c r="A8" t="str">
        <x:v>SRC_DURAMAT_PVADE</x:v>
      </x:c>
      <x:c r="B8" t="str">
        <x:v>DuraMAT / NREL</x:v>
      </x:c>
      <x:c r="C8" t="str">
        <x:v>PVade wind-driven PV system simulation</x:v>
      </x:c>
      <x:c r="D8" t="str">
        <x:v>https://www.duramat.org/projects/wind-driven-pv-system-simulation</x:v>
      </x:c>
      <x:c r="E8" t="str">
        <x:v>Supports fluid-structure-interaction and wind-driven loading framework; used for future calibration path.</x:v>
      </x:c>
    </x:row>
    <x:row r="9">
      <x:c r="A9" t="str">
        <x:v>SRC_SEAC_ASCE_7_22_PV</x:v>
      </x:c>
      <x:c r="B9" t="str">
        <x:v>SEAC / ASCE 7 summary</x:v>
      </x:c>
      <x:c r="C9" t="str">
        <x:v>Updates on ASCE 7 Standard for Solar PV Systems</x:v>
      </x:c>
      <x:c r="D9" t="str">
        <x:v>https://sustainableenergyaction.org/resources/updates-asce-7-standard-solar-pv-systems/</x:v>
      </x:c>
      <x:c r="E9" t="str">
        <x:v>Supports separating conventional PV wind-load treatment from tornado load scoping; used for tornado deferral rationale.</x:v>
      </x:c>
    </x:row>
    <x:row r="10">
      <x:c r="A10" t="str">
        <x:v>SRC_ASCE_TORNADO_CHAPTER</x:v>
      </x:c>
      <x:c r="B10" t="str">
        <x:v>ASCE</x:v>
      </x:c>
      <x:c r="C10" t="str">
        <x:v>ASCE 7-22 wind load standard adds tornado chapter</x:v>
      </x:c>
      <x:c r="D10" t="str">
        <x:v>https://www.asce.org/publications-and-news/civil-engineering-source/civil-engineering-magazine/article/2022/02/asce-7-22-wind-load-standard-adds-tornado-chapter</x:v>
      </x:c>
      <x:c r="E10" t="str">
        <x:v>Supports tornado hazards being separate from traditional wind loads due to different wind characteristics and load combinations; used for pathway split.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sheetData>
    <x:row r="1" ht="24" customHeight="1">
      <x:c r="A1" s="18" t="str">
        <x:v>mounting_type</x:v>
      </x:c>
      <x:c r="B1" s="18" t="str">
        <x:v>stow_state</x:v>
      </x:c>
      <x:c r="C1" s="18" t="str">
        <x:v>coverage_role</x:v>
      </x:c>
    </x:row>
    <x:row r="2">
      <x:c r="A2" t="str">
        <x:v>single_axis_tracker</x:v>
      </x:c>
      <x:c r="B2" t="str">
        <x:v>confirmed_stowed</x:v>
      </x:c>
      <x:c r="C2" t="str">
        <x:v>Primary nonzero</x:v>
      </x:c>
    </x:row>
    <x:row r="3">
      <x:c r="A3" t="str">
        <x:v>fixed_tilt</x:v>
      </x:c>
      <x:c r="B3" t="str">
        <x:v>unstowed_or_failed</x:v>
      </x:c>
      <x:c r="C3" t="str">
        <x:v>Secondary / conditional</x:v>
      </x:c>
    </x:row>
    <x:row r="4">
      <x:c r="A4" t="str">
        <x:v>dual_axis_tracker</x:v>
      </x:c>
      <x:c r="B4" t="str">
        <x:v>probabilistic</x:v>
      </x:c>
      <x:c r="C4" t="str">
        <x:v>Conditioner-only</x:v>
      </x:c>
    </x:row>
    <x:row r="5">
      <x:c r="A5" t="str">
        <x:v>unknown</x:v>
      </x:c>
      <x:c r="B5" t="str">
        <x:v>not_applicable</x:v>
      </x:c>
      <x:c r="C5" t="str">
        <x:v>Exposure / protection modifier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8" hidden="0" customWidth="1"/>
    <x:col min="5" max="5" width="14" hidden="0" customWidth="1"/>
    <x:col min="6" max="6" width="12" hidden="0" customWidth="1"/>
    <x:col min="7" max="7" width="14" hidden="0" customWidth="1"/>
    <x:col min="8" max="8" width="12" hidden="0" customWidth="1"/>
    <x:col min="9" max="9" width="16" hidden="0" customWidth="1"/>
  </x:cols>
  <x:sheetData>
    <x:row r="1">
      <x:c r="A1" s="18" t="str">
        <x:v>V_mph</x:v>
      </x:c>
      <x:c r="B1" s="18" t="str">
        <x:v>Tracker_DR</x:v>
      </x:c>
      <x:c r="C1" s="18" t="str">
        <x:v>Racking_DR</x:v>
      </x:c>
      <x:c r="D1" s="18" t="str">
        <x:v>ModuleAttach_DR</x:v>
      </x:c>
      <x:c r="E1" s="18" t="str">
        <x:v>Foundation_DR</x:v>
      </x:c>
      <x:c r="F1" s="18" t="str">
        <x:v>SCADA_DR</x:v>
      </x:c>
      <x:c r="G1" s="18" t="str">
        <x:v>%Physical</x:v>
      </x:c>
      <x:c r="H1" s="18" t="str">
        <x:v>%TIV</x:v>
      </x:c>
      <x:c r="I1" s="18" t="str">
        <x:v>TotalLoss_$</x:v>
      </x:c>
      <x:c r="K1" s="18" t="str">
        <x:v>V_mph</x:v>
      </x:c>
      <x:c r="L1" s="18" t="str">
        <x:v>% Physical Base</x:v>
      </x:c>
      <x:c r="M1" s="18" t="str">
        <x:v>% TIV</x:v>
      </x:c>
    </x:row>
    <x:row r="2">
      <x:c r="A2" t="n">
        <x:f>Curve_Data!A2</x:f>
        <x:v>60</x:v>
      </x:c>
      <x:c r="B2" s="30" t="n">
        <x:f>Curve_Data!D2</x:f>
        <x:v>0</x:v>
      </x:c>
      <x:c r="C2" s="30" t="n">
        <x:f>Curve_Data!E2</x:f>
        <x:v>0</x:v>
      </x:c>
      <x:c r="D2" s="30" t="n">
        <x:f>Curve_Data!F2</x:f>
        <x:v>0</x:v>
      </x:c>
      <x:c r="E2" s="30" t="n">
        <x:f>Curve_Data!G2</x:f>
        <x:v>0</x:v>
      </x:c>
      <x:c r="F2" s="30" t="n">
        <x:f>Curve_Data!H2</x:f>
        <x:v>0</x:v>
      </x:c>
      <x:c r="G2" s="30" t="n">
        <x:f>Curve_Data!J2</x:f>
        <x:v>0</x:v>
      </x:c>
      <x:c r="H2" s="30" t="n">
        <x:f>Curve_Data!K2</x:f>
        <x:v>0</x:v>
      </x:c>
      <x:c r="I2" s="24" t="n">
        <x:f>Curve_Data!I2</x:f>
        <x:v>0</x:v>
      </x:c>
      <x:c r="K2" t="n">
        <x:f>Curve_Data!A2</x:f>
        <x:v>60</x:v>
      </x:c>
      <x:c r="L2" s="30" t="n">
        <x:f>Curve_Data!J2</x:f>
        <x:v>0</x:v>
      </x:c>
      <x:c r="M2" s="30" t="n">
        <x:f>Curve_Data!K2</x:f>
        <x:v>0</x:v>
      </x:c>
    </x:row>
    <x:row r="3">
      <x:c r="A3" t="n">
        <x:f>Curve_Data!A3</x:f>
        <x:v>65</x:v>
      </x:c>
      <x:c r="B3" s="30" t="n">
        <x:f>Curve_Data!D3</x:f>
        <x:v>0</x:v>
      </x:c>
      <x:c r="C3" s="30" t="n">
        <x:f>Curve_Data!E3</x:f>
        <x:v>0</x:v>
      </x:c>
      <x:c r="D3" s="30" t="n">
        <x:f>Curve_Data!F3</x:f>
        <x:v>0</x:v>
      </x:c>
      <x:c r="E3" s="30" t="n">
        <x:f>Curve_Data!G3</x:f>
        <x:v>0</x:v>
      </x:c>
      <x:c r="F3" s="30" t="n">
        <x:f>Curve_Data!H3</x:f>
        <x:v>0</x:v>
      </x:c>
      <x:c r="G3" s="30" t="n">
        <x:f>Curve_Data!J3</x:f>
        <x:v>0</x:v>
      </x:c>
      <x:c r="H3" s="30" t="n">
        <x:f>Curve_Data!K3</x:f>
        <x:v>0</x:v>
      </x:c>
      <x:c r="I3" s="24" t="n">
        <x:f>Curve_Data!I3</x:f>
        <x:v>0</x:v>
      </x:c>
      <x:c r="K3" t="n">
        <x:f>Curve_Data!A3</x:f>
        <x:v>65</x:v>
      </x:c>
      <x:c r="L3" s="30" t="n">
        <x:f>Curve_Data!J3</x:f>
        <x:v>0</x:v>
      </x:c>
      <x:c r="M3" s="30" t="n">
        <x:f>Curve_Data!K3</x:f>
        <x:v>0</x:v>
      </x:c>
    </x:row>
    <x:row r="4">
      <x:c r="A4" t="n">
        <x:f>Curve_Data!A4</x:f>
        <x:v>70</x:v>
      </x:c>
      <x:c r="B4" s="30" t="n">
        <x:f>Curve_Data!D4</x:f>
        <x:v>0</x:v>
      </x:c>
      <x:c r="C4" s="30" t="n">
        <x:f>Curve_Data!E4</x:f>
        <x:v>0</x:v>
      </x:c>
      <x:c r="D4" s="30" t="n">
        <x:f>Curve_Data!F4</x:f>
        <x:v>0</x:v>
      </x:c>
      <x:c r="E4" s="30" t="n">
        <x:f>Curve_Data!G4</x:f>
        <x:v>0</x:v>
      </x:c>
      <x:c r="F4" s="30" t="n">
        <x:f>Curve_Data!H4</x:f>
        <x:v>0</x:v>
      </x:c>
      <x:c r="G4" s="30" t="n">
        <x:f>Curve_Data!J4</x:f>
        <x:v>0</x:v>
      </x:c>
      <x:c r="H4" s="30" t="n">
        <x:f>Curve_Data!K4</x:f>
        <x:v>0</x:v>
      </x:c>
      <x:c r="I4" s="24" t="n">
        <x:f>Curve_Data!I4</x:f>
        <x:v>0</x:v>
      </x:c>
      <x:c r="K4" t="n">
        <x:f>Curve_Data!A4</x:f>
        <x:v>70</x:v>
      </x:c>
      <x:c r="L4" s="30" t="n">
        <x:f>Curve_Data!J4</x:f>
        <x:v>0</x:v>
      </x:c>
      <x:c r="M4" s="30" t="n">
        <x:f>Curve_Data!K4</x:f>
        <x:v>0</x:v>
      </x:c>
    </x:row>
    <x:row r="5">
      <x:c r="A5" t="n">
        <x:f>Curve_Data!A5</x:f>
        <x:v>75</x:v>
      </x:c>
      <x:c r="B5" s="30" t="n">
        <x:f>Curve_Data!D5</x:f>
        <x:v>0</x:v>
      </x:c>
      <x:c r="C5" s="30" t="n">
        <x:f>Curve_Data!E5</x:f>
        <x:v>0</x:v>
      </x:c>
      <x:c r="D5" s="30" t="n">
        <x:f>Curve_Data!F5</x:f>
        <x:v>0</x:v>
      </x:c>
      <x:c r="E5" s="30" t="n">
        <x:f>Curve_Data!G5</x:f>
        <x:v>0</x:v>
      </x:c>
      <x:c r="F5" s="30" t="n">
        <x:f>Curve_Data!H5</x:f>
        <x:v>0</x:v>
      </x:c>
      <x:c r="G5" s="30" t="n">
        <x:f>Curve_Data!J5</x:f>
        <x:v>0</x:v>
      </x:c>
      <x:c r="H5" s="30" t="n">
        <x:f>Curve_Data!K5</x:f>
        <x:v>0</x:v>
      </x:c>
      <x:c r="I5" s="24" t="n">
        <x:f>Curve_Data!I5</x:f>
        <x:v>0</x:v>
      </x:c>
      <x:c r="K5" t="n">
        <x:f>Curve_Data!A5</x:f>
        <x:v>75</x:v>
      </x:c>
      <x:c r="L5" s="30" t="n">
        <x:f>Curve_Data!J5</x:f>
        <x:v>0</x:v>
      </x:c>
      <x:c r="M5" s="30" t="n">
        <x:f>Curve_Data!K5</x:f>
        <x:v>0</x:v>
      </x:c>
    </x:row>
    <x:row r="6">
      <x:c r="A6" t="n">
        <x:f>Curve_Data!A6</x:f>
        <x:v>80</x:v>
      </x:c>
      <x:c r="B6" s="30" t="n">
        <x:f>Curve_Data!D6</x:f>
        <x:v>0</x:v>
      </x:c>
      <x:c r="C6" s="30" t="n">
        <x:f>Curve_Data!E6</x:f>
        <x:v>0</x:v>
      </x:c>
      <x:c r="D6" s="30" t="n">
        <x:f>Curve_Data!F6</x:f>
        <x:v>0</x:v>
      </x:c>
      <x:c r="E6" s="30" t="n">
        <x:f>Curve_Data!G6</x:f>
        <x:v>0</x:v>
      </x:c>
      <x:c r="F6" s="30" t="n">
        <x:f>Curve_Data!H6</x:f>
        <x:v>0</x:v>
      </x:c>
      <x:c r="G6" s="30" t="n">
        <x:f>Curve_Data!J6</x:f>
        <x:v>0</x:v>
      </x:c>
      <x:c r="H6" s="30" t="n">
        <x:f>Curve_Data!K6</x:f>
        <x:v>0</x:v>
      </x:c>
      <x:c r="I6" s="24" t="n">
        <x:f>Curve_Data!I6</x:f>
        <x:v>0</x:v>
      </x:c>
      <x:c r="K6" t="n">
        <x:f>Curve_Data!A6</x:f>
        <x:v>80</x:v>
      </x:c>
      <x:c r="L6" s="30" t="n">
        <x:f>Curve_Data!J6</x:f>
        <x:v>0</x:v>
      </x:c>
      <x:c r="M6" s="30" t="n">
        <x:f>Curve_Data!K6</x:f>
        <x:v>0</x:v>
      </x:c>
    </x:row>
    <x:row r="7">
      <x:c r="A7" t="n">
        <x:f>Curve_Data!A7</x:f>
        <x:v>85</x:v>
      </x:c>
      <x:c r="B7" s="30" t="n">
        <x:f>Curve_Data!D7</x:f>
        <x:v>0</x:v>
      </x:c>
      <x:c r="C7" s="30" t="n">
        <x:f>Curve_Data!E7</x:f>
        <x:v>0</x:v>
      </x:c>
      <x:c r="D7" s="30" t="n">
        <x:f>Curve_Data!F7</x:f>
        <x:v>0</x:v>
      </x:c>
      <x:c r="E7" s="30" t="n">
        <x:f>Curve_Data!G7</x:f>
        <x:v>0</x:v>
      </x:c>
      <x:c r="F7" s="30" t="n">
        <x:f>Curve_Data!H7</x:f>
        <x:v>0</x:v>
      </x:c>
      <x:c r="G7" s="30" t="n">
        <x:f>Curve_Data!J7</x:f>
        <x:v>0</x:v>
      </x:c>
      <x:c r="H7" s="30" t="n">
        <x:f>Curve_Data!K7</x:f>
        <x:v>0</x:v>
      </x:c>
      <x:c r="I7" s="24" t="n">
        <x:f>Curve_Data!I7</x:f>
        <x:v>0</x:v>
      </x:c>
      <x:c r="K7" t="n">
        <x:f>Curve_Data!A7</x:f>
        <x:v>85</x:v>
      </x:c>
      <x:c r="L7" s="30" t="n">
        <x:f>Curve_Data!J7</x:f>
        <x:v>0</x:v>
      </x:c>
      <x:c r="M7" s="30" t="n">
        <x:f>Curve_Data!K7</x:f>
        <x:v>0</x:v>
      </x:c>
    </x:row>
    <x:row r="8">
      <x:c r="A8" t="n">
        <x:f>Curve_Data!A8</x:f>
        <x:v>90</x:v>
      </x:c>
      <x:c r="B8" s="30" t="n">
        <x:f>Curve_Data!D8</x:f>
        <x:v>0</x:v>
      </x:c>
      <x:c r="C8" s="30" t="n">
        <x:f>Curve_Data!E8</x:f>
        <x:v>0</x:v>
      </x:c>
      <x:c r="D8" s="30" t="n">
        <x:f>Curve_Data!F8</x:f>
        <x:v>0</x:v>
      </x:c>
      <x:c r="E8" s="30" t="n">
        <x:f>Curve_Data!G8</x:f>
        <x:v>0</x:v>
      </x:c>
      <x:c r="F8" s="30" t="n">
        <x:f>Curve_Data!H8</x:f>
        <x:v>0</x:v>
      </x:c>
      <x:c r="G8" s="30" t="n">
        <x:f>Curve_Data!J8</x:f>
        <x:v>0</x:v>
      </x:c>
      <x:c r="H8" s="30" t="n">
        <x:f>Curve_Data!K8</x:f>
        <x:v>0</x:v>
      </x:c>
      <x:c r="I8" s="24" t="n">
        <x:f>Curve_Data!I8</x:f>
        <x:v>0</x:v>
      </x:c>
      <x:c r="K8" t="n">
        <x:f>Curve_Data!A8</x:f>
        <x:v>90</x:v>
      </x:c>
      <x:c r="L8" s="30" t="n">
        <x:f>Curve_Data!J8</x:f>
        <x:v>0</x:v>
      </x:c>
      <x:c r="M8" s="30" t="n">
        <x:f>Curve_Data!K8</x:f>
        <x:v>0</x:v>
      </x:c>
    </x:row>
    <x:row r="9">
      <x:c r="A9" t="n">
        <x:f>Curve_Data!A9</x:f>
        <x:v>95</x:v>
      </x:c>
      <x:c r="B9" s="30" t="n">
        <x:f>Curve_Data!D9</x:f>
        <x:v>0</x:v>
      </x:c>
      <x:c r="C9" s="30" t="n">
        <x:f>Curve_Data!E9</x:f>
        <x:v>0</x:v>
      </x:c>
      <x:c r="D9" s="30" t="n">
        <x:f>Curve_Data!F9</x:f>
        <x:v>0</x:v>
      </x:c>
      <x:c r="E9" s="30" t="n">
        <x:f>Curve_Data!G9</x:f>
        <x:v>0</x:v>
      </x:c>
      <x:c r="F9" s="30" t="n">
        <x:f>Curve_Data!H9</x:f>
        <x:v>0</x:v>
      </x:c>
      <x:c r="G9" s="30" t="n">
        <x:f>Curve_Data!J9</x:f>
        <x:v>0</x:v>
      </x:c>
      <x:c r="H9" s="30" t="n">
        <x:f>Curve_Data!K9</x:f>
        <x:v>0</x:v>
      </x:c>
      <x:c r="I9" s="24" t="n">
        <x:f>Curve_Data!I9</x:f>
        <x:v>0</x:v>
      </x:c>
      <x:c r="K9" t="n">
        <x:f>Curve_Data!A9</x:f>
        <x:v>95</x:v>
      </x:c>
      <x:c r="L9" s="30" t="n">
        <x:f>Curve_Data!J9</x:f>
        <x:v>0</x:v>
      </x:c>
      <x:c r="M9" s="30" t="n">
        <x:f>Curve_Data!K9</x:f>
        <x:v>0</x:v>
      </x:c>
    </x:row>
    <x:row r="10">
      <x:c r="A10" t="n">
        <x:f>Curve_Data!A10</x:f>
        <x:v>100</x:v>
      </x:c>
      <x:c r="B10" s="30" t="n">
        <x:f>Curve_Data!D10</x:f>
        <x:v>0</x:v>
      </x:c>
      <x:c r="C10" s="30" t="n">
        <x:f>Curve_Data!E10</x:f>
        <x:v>0</x:v>
      </x:c>
      <x:c r="D10" s="30" t="n">
        <x:f>Curve_Data!F10</x:f>
        <x:v>0.025149519205276985</x:v>
      </x:c>
      <x:c r="E10" s="30" t="n">
        <x:f>Curve_Data!G10</x:f>
        <x:v>0</x:v>
      </x:c>
      <x:c r="F10" s="30" t="n">
        <x:f>Curve_Data!H10</x:f>
        <x:v>0.03143339104259811</x:v>
      </x:c>
      <x:c r="G10" s="30" t="n">
        <x:f>Curve_Data!J10</x:f>
        <x:v>0.010688475502962758</x:v>
      </x:c>
      <x:c r="H10" s="30" t="n">
        <x:f>Curve_Data!K10</x:f>
        <x:v>0.008379001331786876</x:v>
      </x:c>
      <x:c r="I10" s="24" t="n">
        <x:f>Curve_Data!I10</x:f>
        <x:v>938448.1491601301</x:v>
      </x:c>
      <x:c r="K10" t="n">
        <x:f>Curve_Data!A10</x:f>
        <x:v>100</x:v>
      </x:c>
      <x:c r="L10" s="30" t="n">
        <x:f>Curve_Data!J10</x:f>
        <x:v>0.010688475502962758</x:v>
      </x:c>
      <x:c r="M10" s="30" t="n">
        <x:f>Curve_Data!K10</x:f>
        <x:v>0.008379001331786876</x:v>
      </x:c>
    </x:row>
    <x:row r="11">
      <x:c r="A11" t="n">
        <x:f>Curve_Data!A11</x:f>
        <x:v>105</x:v>
      </x:c>
      <x:c r="B11" s="30" t="n">
        <x:f>Curve_Data!D11</x:f>
        <x:v>0.03385935644049947</x:v>
      </x:c>
      <x:c r="C11" s="30" t="n">
        <x:f>Curve_Data!E11</x:f>
        <x:v>0.020487169873243588</x:v>
      </x:c>
      <x:c r="D11" s="30" t="n">
        <x:f>Curve_Data!F11</x:f>
        <x:v>0.05089263258887324</x:v>
      </x:c>
      <x:c r="E11" s="30" t="n">
        <x:f>Curve_Data!G11</x:f>
        <x:v>0</x:v>
      </x:c>
      <x:c r="F11" s="30" t="n">
        <x:f>Curve_Data!H11</x:f>
        <x:v>0.04399427489184038</x:v>
      </x:c>
      <x:c r="G11" s="30" t="n">
        <x:f>Curve_Data!J11</x:f>
        <x:v>0.025174917241020677</x:v>
      </x:c>
      <x:c r="H11" s="30" t="n">
        <x:f>Curve_Data!K11</x:f>
        <x:v>0.019735336908585855</x:v>
      </x:c>
      <x:c r="I11" s="24" t="n">
        <x:f>Curve_Data!I11</x:f>
        <x:v>2210357.7337616156</x:v>
      </x:c>
      <x:c r="K11" t="n">
        <x:f>Curve_Data!A11</x:f>
        <x:v>105</x:v>
      </x:c>
      <x:c r="L11" s="30" t="n">
        <x:f>Curve_Data!J11</x:f>
        <x:v>0.025174917241020677</x:v>
      </x:c>
      <x:c r="M11" s="30" t="n">
        <x:f>Curve_Data!K11</x:f>
        <x:v>0.019735336908585855</x:v>
      </x:c>
    </x:row>
    <x:row r="12">
      <x:c r="A12" t="n">
        <x:f>Curve_Data!A12</x:f>
        <x:v>110</x:v>
      </x:c>
      <x:c r="B12" s="30" t="n">
        <x:f>Curve_Data!D12</x:f>
        <x:v>0.06568294651564957</x:v>
      </x:c>
      <x:c r="C12" s="30" t="n">
        <x:f>Curve_Data!E12</x:f>
        <x:v>0.03744912188121982</x:v>
      </x:c>
      <x:c r="D12" s="30" t="n">
        <x:f>Curve_Data!F12</x:f>
        <x:v>0.10191123457120402</x:v>
      </x:c>
      <x:c r="E12" s="30" t="n">
        <x:f>Curve_Data!G12</x:f>
        <x:v>0</x:v>
      </x:c>
      <x:c r="F12" s="30" t="n">
        <x:f>Curve_Data!H12</x:f>
        <x:v>0.05985836232239189</x:v>
      </x:c>
      <x:c r="G12" s="30" t="n">
        <x:f>Curve_Data!J12</x:f>
        <x:v>0.0494632441090546</x:v>
      </x:c>
      <x:c r="H12" s="30" t="n">
        <x:f>Curve_Data!K12</x:f>
        <x:v>0.03877565029263388</x:v>
      </x:c>
      <x:c r="I12" s="24" t="n">
        <x:f>Curve_Data!I12</x:f>
        <x:v>4342872.832774994</x:v>
      </x:c>
      <x:c r="K12" t="n">
        <x:f>Curve_Data!A12</x:f>
        <x:v>110</x:v>
      </x:c>
      <x:c r="L12" s="30" t="n">
        <x:f>Curve_Data!J12</x:f>
        <x:v>0.0494632441090546</x:v>
      </x:c>
      <x:c r="M12" s="30" t="n">
        <x:f>Curve_Data!K12</x:f>
        <x:v>0.03877565029263388</x:v>
      </x:c>
    </x:row>
    <x:row r="13">
      <x:c r="A13" t="n">
        <x:f>Curve_Data!A13</x:f>
        <x:v>115</x:v>
      </x:c>
      <x:c r="B13" s="30" t="n">
        <x:f>Curve_Data!D13</x:f>
        <x:v>0.12607309840453532</x:v>
      </x:c>
      <x:c r="C13" s="30" t="n">
        <x:f>Curve_Data!E13</x:f>
        <x:v>0.06896536883747904</x:v>
      </x:c>
      <x:c r="D13" s="30" t="n">
        <x:f>Curve_Data!F13</x:f>
        <x:v>0.19292976564102515</x:v>
      </x:c>
      <x:c r="E13" s="30" t="n">
        <x:f>Curve_Data!G13</x:f>
        <x:v>0.02823839672376154</x:v>
      </x:c>
      <x:c r="F13" s="30" t="n">
        <x:f>Curve_Data!H13</x:f>
        <x:v>0.07809175273145935</x:v>
      </x:c>
      <x:c r="G13" s="30" t="n">
        <x:f>Curve_Data!J13</x:f>
        <x:v>0.09521658305155176</x:v>
      </x:c>
      <x:c r="H13" s="30" t="n">
        <x:f>Curve_Data!K13</x:f>
        <x:v>0.0746429999279129</x:v>
      </x:c>
      <x:c r="I13" s="24" t="n">
        <x:f>Curve_Data!I13</x:f>
        <x:v>8360015.991926244</x:v>
      </x:c>
      <x:c r="K13" t="n">
        <x:f>Curve_Data!A13</x:f>
        <x:v>115</x:v>
      </x:c>
      <x:c r="L13" s="30" t="n">
        <x:f>Curve_Data!J13</x:f>
        <x:v>0.09521658305155176</x:v>
      </x:c>
      <x:c r="M13" s="30" t="n">
        <x:f>Curve_Data!K13</x:f>
        <x:v>0.0746429999279129</x:v>
      </x:c>
    </x:row>
    <x:row r="14">
      <x:c r="A14" t="n">
        <x:f>Curve_Data!A14</x:f>
        <x:v>120</x:v>
      </x:c>
      <x:c r="B14" s="30" t="n">
        <x:f>Curve_Data!D14</x:f>
        <x:v>0.23031674495060125</x:v>
      </x:c>
      <x:c r="C14" s="30" t="n">
        <x:f>Curve_Data!E14</x:f>
        <x:v>0.1254629666538623</x:v>
      </x:c>
      <x:c r="D14" s="30" t="n">
        <x:f>Curve_Data!F14</x:f>
        <x:v>0.32398437830605786</x:v>
      </x:c>
      <x:c r="E14" s="30" t="n">
        <x:f>Curve_Data!G14</x:f>
        <x:v>0.04890254445900337</x:v>
      </x:c>
      <x:c r="F14" s="30" t="n">
        <x:f>Curve_Data!H14</x:f>
        <x:v>0.09671968461863872</x:v>
      </x:c>
      <x:c r="G14" s="30" t="n">
        <x:f>Curve_Data!J14</x:f>
        <x:v>0.16139346616679603</x:v>
      </x:c>
      <x:c r="H14" s="30" t="n">
        <x:f>Curve_Data!K14</x:f>
        <x:v>0.12652094937004188</x:v>
      </x:c>
      <x:c r="I14" s="24" t="n">
        <x:f>Curve_Data!I14</x:f>
        <x:v>14170346.329444692</x:v>
      </x:c>
      <x:c r="K14" t="n">
        <x:f>Curve_Data!A14</x:f>
        <x:v>120</x:v>
      </x:c>
      <x:c r="L14" s="30" t="n">
        <x:f>Curve_Data!J14</x:f>
        <x:v>0.16139346616679603</x:v>
      </x:c>
      <x:c r="M14" s="30" t="n">
        <x:f>Curve_Data!K14</x:f>
        <x:v>0.12652094937004188</x:v>
      </x:c>
    </x:row>
    <x:row r="15">
      <x:c r="A15" t="n">
        <x:f>Curve_Data!A15</x:f>
        <x:v>125</x:v>
      </x:c>
      <x:c r="B15" s="30" t="n">
        <x:f>Curve_Data!D15</x:f>
        <x:v>0.3795783179308071</x:v>
      </x:c>
      <x:c r="C15" s="30" t="n">
        <x:f>Curve_Data!E15</x:f>
        <x:v>0.21820207191979876</x:v>
      </x:c>
      <x:c r="D15" s="30" t="n">
        <x:f>Curve_Data!F15</x:f>
        <x:v>0.4603017341162039</x:v>
      </x:c>
      <x:c r="E15" s="30" t="n">
        <x:f>Curve_Data!G15</x:f>
        <x:v>0.08347722900909199</x:v>
      </x:c>
      <x:c r="F15" s="30" t="n">
        <x:f>Curve_Data!H15</x:f>
        <x:v>0.11342753360559013</x:v>
      </x:c>
      <x:c r="G15" s="30" t="n">
        <x:f>Curve_Data!J15</x:f>
        <x:v>0.23652581238897322</x:v>
      </x:c>
      <x:c r="H15" s="30" t="n">
        <x:f>Curve_Data!K15</x:f>
        <x:v>0.18541934221207007</x:v>
      </x:c>
      <x:c r="I15" s="24" t="n">
        <x:f>Curve_Data!I15</x:f>
        <x:v>20766966.32775185</x:v>
      </x:c>
      <x:c r="K15" t="n">
        <x:f>Curve_Data!A15</x:f>
        <x:v>125</x:v>
      </x:c>
      <x:c r="L15" s="30" t="n">
        <x:f>Curve_Data!J15</x:f>
        <x:v>0.23652581238897322</x:v>
      </x:c>
      <x:c r="M15" s="30" t="n">
        <x:f>Curve_Data!K15</x:f>
        <x:v>0.18541934221207007</x:v>
      </x:c>
    </x:row>
    <x:row r="16">
      <x:c r="A16" t="n">
        <x:f>Curve_Data!A16</x:f>
        <x:v>130</x:v>
      </x:c>
      <x:c r="B16" s="30" t="n">
        <x:f>Curve_Data!D16</x:f>
        <x:v>0.540550053218851</x:v>
      </x:c>
      <x:c r="C16" s="30" t="n">
        <x:f>Curve_Data!E16</x:f>
        <x:v>0.3473873073824317</x:v>
      </x:c>
      <x:c r="D16" s="30" t="n">
        <x:f>Curve_Data!F16</x:f>
        <x:v>0.5590228206134719</x:v>
      </x:c>
      <x:c r="E16" s="30" t="n">
        <x:f>Curve_Data!G16</x:f>
        <x:v>0.13672660935406683</x:v>
      </x:c>
      <x:c r="F16" s="30" t="n">
        <x:f>Curve_Data!H16</x:f>
        <x:v>0.1266207783562808</x:v>
      </x:c>
      <x:c r="G16" s="30" t="n">
        <x:f>Curve_Data!J16</x:f>
        <x:v>0.3011669152612937</x:v>
      </x:c>
      <x:c r="H16" s="30" t="n">
        <x:f>Curve_Data!K16</x:f>
        <x:v>0.2360933496423356</x:v>
      </x:c>
      <x:c r="I16" s="24" t="n">
        <x:f>Curve_Data!I16</x:f>
        <x:v>26442455.159941588</x:v>
      </x:c>
      <x:c r="K16" t="n">
        <x:f>Curve_Data!A16</x:f>
        <x:v>130</x:v>
      </x:c>
      <x:c r="L16" s="30" t="n">
        <x:f>Curve_Data!J16</x:f>
        <x:v>0.3011669152612937</x:v>
      </x:c>
      <x:c r="M16" s="30" t="n">
        <x:f>Curve_Data!K16</x:f>
        <x:v>0.2360933496423356</x:v>
      </x:c>
    </x:row>
    <x:row r="17">
      <x:c r="A17" t="n">
        <x:f>Curve_Data!A17</x:f>
        <x:v>135</x:v>
      </x:c>
      <x:c r="B17" s="30" t="n">
        <x:f>Curve_Data!D17</x:f>
        <x:v>0.6659539481030676</x:v>
      </x:c>
      <x:c r="C17" s="30" t="n">
        <x:f>Curve_Data!E17</x:f>
        <x:v>0.48850284218761925</x:v>
      </x:c>
      <x:c r="D17" s="30" t="n">
        <x:f>Curve_Data!F17</x:f>
        <x:v>0.6120717159478585</x:v>
      </x:c>
      <x:c r="E17" s="30" t="n">
        <x:f>Curve_Data!G17</x:f>
        <x:v>0.20779937290762115</x:v>
      </x:c>
      <x:c r="F17" s="30" t="n">
        <x:f>Curve_Data!H17</x:f>
        <x:v>0.1359376002314745</x:v>
      </x:c>
      <x:c r="G17" s="30" t="n">
        <x:f>Curve_Data!J17</x:f>
        <x:v>0.34675787459588514</x:v>
      </x:c>
      <x:c r="H17" s="30" t="n">
        <x:f>Curve_Data!K17</x:f>
        <x:v>0.27183340526356</x:v>
      </x:c>
      <x:c r="I17" s="24" t="n">
        <x:f>Curve_Data!I17</x:f>
        <x:v>30445341.389518715</x:v>
      </x:c>
      <x:c r="K17" t="n">
        <x:f>Curve_Data!A17</x:f>
        <x:v>135</x:v>
      </x:c>
      <x:c r="L17" s="30" t="n">
        <x:f>Curve_Data!J17</x:f>
        <x:v>0.34675787459588514</x:v>
      </x:c>
      <x:c r="M17" s="30" t="n">
        <x:f>Curve_Data!K17</x:f>
        <x:v>0.27183340526356</x:v>
      </x:c>
    </x:row>
    <x:row r="18">
      <x:c r="A18" t="n">
        <x:f>Curve_Data!A18</x:f>
        <x:v>140</x:v>
      </x:c>
      <x:c r="B18" s="30" t="n">
        <x:f>Curve_Data!D18</x:f>
        <x:v>0.7395845504081836</x:v>
      </x:c>
      <x:c r="C18" s="30" t="n">
        <x:f>Curve_Data!E18</x:f>
        <x:v>0.6047697950541083</x:v>
      </x:c>
      <x:c r="D18" s="30" t="n">
        <x:f>Curve_Data!F18</x:f>
        <x:v>0.6355410024823903</x:v>
      </x:c>
      <x:c r="E18" s="30" t="n">
        <x:f>Curve_Data!G18</x:f>
        <x:v>0.28517427756304614</x:v>
      </x:c>
      <x:c r="F18" s="30" t="n">
        <x:f>Curve_Data!H18</x:f>
        <x:v>0.14195070876178945</x:v>
      </x:c>
      <x:c r="G18" s="30" t="n">
        <x:f>Curve_Data!J18</x:f>
        <x:v>0.3753223091091368</x:v>
      </x:c>
      <x:c r="H18" s="30" t="n">
        <x:f>Curve_Data!K18</x:f>
        <x:v>0.2942258816051983</x:v>
      </x:c>
      <x:c r="I18" s="24" t="n">
        <x:f>Curve_Data!I18</x:f>
        <x:v>32953298.73978221</x:v>
      </x:c>
      <x:c r="K18" t="n">
        <x:f>Curve_Data!A18</x:f>
        <x:v>140</x:v>
      </x:c>
      <x:c r="L18" s="30" t="n">
        <x:f>Curve_Data!J18</x:f>
        <x:v>0.3753223091091368</x:v>
      </x:c>
      <x:c r="M18" s="30" t="n">
        <x:f>Curve_Data!K18</x:f>
        <x:v>0.2942258816051983</x:v>
      </x:c>
    </x:row>
    <x:row r="19">
      <x:c r="A19" t="n">
        <x:f>Curve_Data!A19</x:f>
        <x:v>145</x:v>
      </x:c>
      <x:c r="B19" s="30" t="n">
        <x:f>Curve_Data!D19</x:f>
        <x:v>0.775131803826404</x:v>
      </x:c>
      <x:c r="C19" s="30" t="n">
        <x:f>Curve_Data!E19</x:f>
        <x:v>0.6789576763505307</x:v>
      </x:c>
      <x:c r="D19" s="30" t="n">
        <x:f>Curve_Data!F19</x:f>
        <x:v>0.6448068158316939</x:v>
      </x:c>
      <x:c r="E19" s="30" t="n">
        <x:f>Curve_Data!G19</x:f>
        <x:v>0.3517282770949825</x:v>
      </x:c>
      <x:c r="F19" s="30" t="n">
        <x:f>Curve_Data!H19</x:f>
        <x:v>0.14557302884697154</x:v>
      </x:c>
      <x:c r="G19" s="30" t="n">
        <x:f>Curve_Data!J19</x:f>
        <x:v>0.3917204539643598</x:v>
      </x:c>
      <x:c r="H19" s="30" t="n">
        <x:f>Curve_Data!K19</x:f>
        <x:v>0.30708085587563205</x:v>
      </x:c>
      <x:c r="I19" s="24" t="n">
        <x:f>Curve_Data!I19</x:f>
        <x:v>34393055.85807079</x:v>
      </x:c>
      <x:c r="K19" t="n">
        <x:f>Curve_Data!A19</x:f>
        <x:v>145</x:v>
      </x:c>
      <x:c r="L19" s="30" t="n">
        <x:f>Curve_Data!J19</x:f>
        <x:v>0.3917204539643598</x:v>
      </x:c>
      <x:c r="M19" s="30" t="n">
        <x:f>Curve_Data!K19</x:f>
        <x:v>0.30708085587563205</x:v>
      </x:c>
    </x:row>
    <x:row r="20">
      <x:c r="A20" t="n">
        <x:f>Curve_Data!A20</x:f>
        <x:v>150</x:v>
      </x:c>
      <x:c r="B20" s="30" t="n">
        <x:f>Curve_Data!D20</x:f>
        <x:v>0.7903625568941237</x:v>
      </x:c>
      <x:c r="C20" s="30" t="n">
        <x:f>Curve_Data!E20</x:f>
        <x:v>0.7181971285261151</x:v>
      </x:c>
      <x:c r="D20" s="30" t="n">
        <x:f>Curve_Data!F20</x:f>
        <x:v>0.6482179887055476</x:v>
      </x:c>
      <x:c r="E20" s="30" t="n">
        <x:f>Curve_Data!G20</x:f>
        <x:v>0.39764624257637815</x:v>
      </x:c>
      <x:c r="F20" s="30" t="n">
        <x:f>Curve_Data!H20</x:f>
        <x:v>0.14764412039935043</x:v>
      </x:c>
      <x:c r="G20" s="30" t="n">
        <x:f>Curve_Data!J20</x:f>
        <x:v>0.4003726095594131</x:v>
      </x:c>
      <x:c r="H20" s="30" t="n">
        <x:f>Curve_Data!K20</x:f>
        <x:v>0.31386352785103994</x:v>
      </x:c>
      <x:c r="I20" s="24" t="n">
        <x:f>Curve_Data!I20</x:f>
        <x:v>35152715.11931647</x:v>
      </x:c>
      <x:c r="K20" t="n">
        <x:f>Curve_Data!A20</x:f>
        <x:v>150</x:v>
      </x:c>
      <x:c r="L20" s="30" t="n">
        <x:f>Curve_Data!J20</x:f>
        <x:v>0.4003726095594131</x:v>
      </x:c>
      <x:c r="M20" s="30" t="n">
        <x:f>Curve_Data!K20</x:f>
        <x:v>0.31386352785103994</x:v>
      </x:c>
    </x:row>
    <x:row r="21">
      <x:c r="A21" t="n">
        <x:f>Curve_Data!A21</x:f>
        <x:v>155</x:v>
      </x:c>
      <x:c r="B21" s="30" t="n">
        <x:f>Curve_Data!D21</x:f>
        <x:v>0.7964280370453447</x:v>
      </x:c>
      <x:c r="C21" s="30" t="n">
        <x:f>Curve_Data!E21</x:f>
        <x:v>0.7365927732199845</x:v>
      </x:c>
      <x:c r="D21" s="30" t="n">
        <x:f>Curve_Data!F21</x:f>
        <x:v>0.6494124145946947</x:v>
      </x:c>
      <x:c r="E21" s="30" t="n">
        <x:f>Curve_Data!G21</x:f>
        <x:v>0.4243365999676282</x:v>
      </x:c>
      <x:c r="F21" s="30" t="n">
        <x:f>Curve_Data!H21</x:f>
        <x:v>0.1487812858134255</x:v>
      </x:c>
      <x:c r="G21" s="30" t="n">
        <x:f>Curve_Data!J21</x:f>
        <x:v>0.4045973289083833</x:v>
      </x:c>
      <x:c r="H21" s="30" t="n">
        <x:f>Curve_Data!K21</x:f>
        <x:v>0.31717540605496475</x:v>
      </x:c>
      <x:c r="I21" s="24" t="n">
        <x:f>Curve_Data!I21</x:f>
        <x:v>35523645.47815605</x:v>
      </x:c>
      <x:c r="K21" t="n">
        <x:f>Curve_Data!A21</x:f>
        <x:v>155</x:v>
      </x:c>
      <x:c r="L21" s="30" t="n">
        <x:f>Curve_Data!J21</x:f>
        <x:v>0.4045973289083833</x:v>
      </x:c>
      <x:c r="M21" s="30" t="n">
        <x:f>Curve_Data!K21</x:f>
        <x:v>0.31717540605496475</x:v>
      </x:c>
    </x:row>
    <x:row r="22">
      <x:c r="A22" t="n">
        <x:f>Curve_Data!A22</x:f>
        <x:v>160</x:v>
      </x:c>
      <x:c r="B22" s="30" t="n">
        <x:f>Curve_Data!D22</x:f>
        <x:v>0.7987249102173577</x:v>
      </x:c>
      <x:c r="C22" s="30" t="n">
        <x:f>Curve_Data!E22</x:f>
        <x:v>0.7445892469693007</x:v>
      </x:c>
      <x:c r="D22" s="30" t="n">
        <x:f>Curve_Data!F22</x:f>
        <x:v>0.6498134153559143</x:v>
      </x:c>
      <x:c r="E22" s="30" t="n">
        <x:f>Curve_Data!G22</x:f>
        <x:v>0.43813447663795974</x:v>
      </x:c>
      <x:c r="F22" s="30" t="n">
        <x:f>Curve_Data!H22</x:f>
        <x:v>0.14938541233966224</x:v>
      </x:c>
      <x:c r="G22" s="30" t="n">
        <x:f>Curve_Data!J22</x:f>
        <x:v>0.4065371801557424</x:v>
      </x:c>
      <x:c r="H22" s="30" t="n">
        <x:f>Curve_Data!K22</x:f>
        <x:v>0.31869611087209093</x:v>
      </x:c>
      <x:c r="I22" s="24" t="n">
        <x:f>Curve_Data!I22</x:f>
        <x:v>35693964.417674184</x:v>
      </x:c>
      <x:c r="K22" t="n">
        <x:f>Curve_Data!A22</x:f>
        <x:v>160</x:v>
      </x:c>
      <x:c r="L22" s="30" t="n">
        <x:f>Curve_Data!J22</x:f>
        <x:v>0.4065371801557424</x:v>
      </x:c>
      <x:c r="M22" s="30" t="n">
        <x:f>Curve_Data!K22</x:f>
        <x:v>0.31869611087209093</x:v>
      </x:c>
    </x:row>
    <x:row r="23">
      <x:c r="A23" t="n">
        <x:f>Curve_Data!A23</x:f>
        <x:v>165</x:v>
      </x:c>
      <x:c r="B23" s="30" t="n">
        <x:f>Curve_Data!D23</x:f>
        <x:v>0.7995603206233008</x:v>
      </x:c>
      <x:c r="C23" s="30" t="n">
        <x:f>Curve_Data!E23</x:f>
        <x:v>0.7478925841346301</x:v>
      </x:c>
      <x:c r="D23" s="30" t="n">
        <x:f>Curve_Data!F23</x:f>
        <x:v>0.6499428948851197</x:v>
      </x:c>
      <x:c r="E23" s="30" t="n">
        <x:f>Curve_Data!G23</x:f>
        <x:v>0.4447424087105328</x:v>
      </x:c>
      <x:c r="F23" s="30" t="n">
        <x:f>Curve_Data!H23</x:f>
        <x:v>0.14969736625242513</x:v>
      </x:c>
      <x:c r="G23" s="30" t="n">
        <x:f>Curve_Data!J23</x:f>
        <x:v>0.4073888786738809</x:v>
      </x:c>
      <x:c r="H23" s="30" t="n">
        <x:f>Curve_Data!K23</x:f>
        <x:v>0.31936378167470303</x:v>
      </x:c>
      <x:c r="I23" s="24" t="n">
        <x:f>Curve_Data!I23</x:f>
        <x:v>35768743.54756674</x:v>
      </x:c>
      <x:c r="K23" t="n">
        <x:f>Curve_Data!A23</x:f>
        <x:v>165</x:v>
      </x:c>
      <x:c r="L23" s="30" t="n">
        <x:f>Curve_Data!J23</x:f>
        <x:v>0.4073888786738809</x:v>
      </x:c>
      <x:c r="M23" s="30" t="n">
        <x:f>Curve_Data!K23</x:f>
        <x:v>0.31936378167470303</x:v>
      </x:c>
    </x:row>
    <x:row r="24">
      <x:c r="A24" t="n">
        <x:f>Curve_Data!A24</x:f>
        <x:v>170</x:v>
      </x:c>
      <x:c r="B24" s="30" t="n">
        <x:f>Curve_Data!D24</x:f>
        <x:v>0.7998533794764332</x:v>
      </x:c>
      <x:c r="C24" s="30" t="n">
        <x:f>Curve_Data!E24</x:f>
        <x:v>0.7492048989787263</x:v>
      </x:c>
      <x:c r="D24" s="30" t="n">
        <x:f>Curve_Data!F24</x:f>
        <x:v>0.6499831503740937</x:v>
      </x:c>
      <x:c r="E24" s="30" t="n">
        <x:f>Curve_Data!G24</x:f>
        <x:v>0.447747662567626</x:v>
      </x:c>
      <x:c r="F24" s="30" t="n">
        <x:f>Curve_Data!H24</x:f>
        <x:v>0.14985435165011407</x:v>
      </x:c>
      <x:c r="G24" s="30" t="n">
        <x:f>Curve_Data!J24</x:f>
        <x:v>0.4077507244848881</x:v>
      </x:c>
      <x:c r="H24" s="30" t="n">
        <x:f>Curve_Data!K24</x:f>
        <x:v>0.31964744294440334</x:v>
      </x:c>
      <x:c r="I24" s="24" t="n">
        <x:f>Curve_Data!I24</x:f>
        <x:v>35800513.609773174</x:v>
      </x:c>
      <x:c r="K24" t="n">
        <x:f>Curve_Data!A24</x:f>
        <x:v>170</x:v>
      </x:c>
      <x:c r="L24" s="30" t="n">
        <x:f>Curve_Data!J24</x:f>
        <x:v>0.4077507244848881</x:v>
      </x:c>
      <x:c r="M24" s="30" t="n">
        <x:f>Curve_Data!K24</x:f>
        <x:v>0.31964744294440334</x:v>
      </x:c>
    </x:row>
    <x:row r="25">
      <x:c r="A25" t="n">
        <x:f>Curve_Data!A25</x:f>
        <x:v>175</x:v>
      </x:c>
      <x:c r="B25" s="30" t="n">
        <x:f>Curve_Data!D25</x:f>
        <x:v>0.7999526950701908</x:v>
      </x:c>
      <x:c r="C25" s="30" t="n">
        <x:f>Curve_Data!E25</x:f>
        <x:v>0.7497089512751648</x:v>
      </x:c>
      <x:c r="D25" s="30" t="n">
        <x:f>Curve_Data!F25</x:f>
        <x:v>0.6499952063927799</x:v>
      </x:c>
      <x:c r="E25" s="30" t="n">
        <x:f>Curve_Data!G25</x:f>
        <x:v>0.4490629726585211</x:v>
      </x:c>
      <x:c r="F25" s="30" t="n">
        <x:f>Curve_Data!H25</x:f>
        <x:v>0.14993145631555277</x:v>
      </x:c>
      <x:c r="G25" s="30" t="n">
        <x:f>Curve_Data!J25</x:f>
        <x:v>0.4079005021782298</x:v>
      </x:c>
      <x:c r="H25" s="30" t="n">
        <x:f>Curve_Data!K25</x:f>
        <x:v>0.3197648579575766</x:v>
      </x:c>
      <x:c r="I25" s="24" t="n">
        <x:f>Curve_Data!I25</x:f>
        <x:v>35813664.09124858</x:v>
      </x:c>
      <x:c r="K25" t="n">
        <x:f>Curve_Data!A25</x:f>
        <x:v>175</x:v>
      </x:c>
      <x:c r="L25" s="30" t="n">
        <x:f>Curve_Data!J25</x:f>
        <x:v>0.4079005021782298</x:v>
      </x:c>
      <x:c r="M25" s="30" t="n">
        <x:f>Curve_Data!K25</x:f>
        <x:v>0.3197648579575766</x:v>
      </x:c>
    </x:row>
    <x:row r="26">
      <x:c r="A26" t="n">
        <x:f>Curve_Data!A26</x:f>
        <x:v>180</x:v>
      </x:c>
      <x:c r="B26" s="30" t="n">
        <x:f>Curve_Data!D26</x:f>
        <x:v>0.7999852313779892</x:v>
      </x:c>
      <x:c r="C26" s="30" t="n">
        <x:f>Curve_Data!E26</x:f>
        <x:v>0.7498965652930346</x:v>
      </x:c>
      <x:c r="D26" s="30" t="n">
        <x:f>Curve_Data!F26</x:f>
        <x:v>0.6499986850638374</x:v>
      </x:c>
      <x:c r="E26" s="30" t="n">
        <x:f>Curve_Data!G26</x:f>
        <x:v>0.4496206333244128</x:v>
      </x:c>
      <x:c r="F26" s="30" t="n">
        <x:f>Curve_Data!H26</x:f>
        <x:v>0.1499684486080037</x:v>
      </x:c>
      <x:c r="G26" s="30" t="n">
        <x:f>Curve_Data!J26</x:f>
        <x:v>0.40796110609146924</x:v>
      </x:c>
      <x:c r="H26" s="30" t="n">
        <x:f>Curve_Data!K26</x:f>
        <x:v>0.31981236709670535</x:v>
      </x:c>
      <x:c r="I26" s="24" t="n">
        <x:f>Curve_Data!I26</x:f>
        <x:v>35818985.114831</x:v>
      </x:c>
      <x:c r="K26" t="n">
        <x:f>Curve_Data!A26</x:f>
        <x:v>180</x:v>
      </x:c>
      <x:c r="L26" s="30" t="n">
        <x:f>Curve_Data!J26</x:f>
        <x:v>0.40796110609146924</x:v>
      </x:c>
      <x:c r="M26" s="30" t="n">
        <x:f>Curve_Data!K26</x:f>
        <x:v>0.31981236709670535</x:v>
      </x:c>
    </x:row>
  </x:sheetData>
  <x:pageMargins left="0.7" right="0.7" top="0.75" bottom="0.75" header="0.3" footer="0.3"/>
</x:worksheet>
</file>